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3"/>
  <workbookPr codeName="ThisWorkbook"/>
  <mc:AlternateContent xmlns:mc="http://schemas.openxmlformats.org/markup-compatibility/2006">
    <mc:Choice Requires="x15">
      <x15ac:absPath xmlns:x15ac="http://schemas.microsoft.com/office/spreadsheetml/2010/11/ac" url="https://d.docs.live.net/29f448ec057303af/Pulpit/"/>
    </mc:Choice>
  </mc:AlternateContent>
  <xr:revisionPtr revIDLastSave="61" documentId="8_{5028D829-F6D8-4DB8-BEBF-77B64D547D6E}" xr6:coauthVersionLast="47" xr6:coauthVersionMax="47" xr10:uidLastSave="{777D0166-B9C8-4A30-9D59-B96E517D713E}"/>
  <bookViews>
    <workbookView xWindow="-120" yWindow="-120" windowWidth="51840" windowHeight="21120" tabRatio="671" activeTab="3" xr2:uid="{43E40706-EB51-41B4-9D1B-8310667848C4}"/>
  </bookViews>
  <sheets>
    <sheet name="Cover" sheetId="11" r:id="rId1"/>
    <sheet name="Case" sheetId="9" r:id="rId2"/>
    <sheet name="Scene" sheetId="1" r:id="rId3"/>
    <sheet name="Graded Answers" sheetId="10" r:id="rId4"/>
  </sheets>
  <externalReferences>
    <externalReference r:id="rId5"/>
  </externalReference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endTime">[1]BackgroundCalcs!$G$2</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pCountNew">[1]BackgroundCalcs!$S$2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Cover!#REF!</definedName>
    <definedName name="solver_typ" localSheetId="0" hidden="1">1</definedName>
    <definedName name="solver_val" localSheetId="0" hidden="1">0</definedName>
    <definedName name="solver_ver" localSheetId="0" hidden="1">3</definedName>
    <definedName name="SpreadsheetName">[1]BackgroundCalcs!$D$5</definedName>
    <definedName name="startTime">[1]BackgroundCalcs!$F$2</definedName>
    <definedName name="stop15">'[1]Last Tab'!$L$15</definedName>
    <definedName name="stop16">'[1]Last Tab'!$AE$20</definedName>
    <definedName name="stop17">'[1]Last Tab'!$W$31</definedName>
    <definedName name="stop21">'[1]Last Tab'!$AM$129</definedName>
    <definedName name="stop22">'[1]Last Tab'!$AS$129</definedName>
    <definedName name="stop24">'[1]Last Tab'!$BA$57</definedName>
    <definedName name="stop25">'[1]Last Tab'!$BR$22</definedName>
    <definedName name="stop26">'[1]Last Tab'!$BV$92</definedName>
    <definedName name="stop27">'[1]Last Tab'!$BY$6</definedName>
    <definedName name="StudentIDCell">[1]BackgroundCalcs!$D$8</definedName>
    <definedName name="StudentNameCell">[1]BackgroundCalcs!$D$11</definedName>
    <definedName name="totalTime">[1]BackgroundCalcs!$F$29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308" i="9" l="1" a="1"/>
  <c r="AF308" i="9" s="1"/>
  <c r="N39" i="9"/>
  <c r="N38" i="9"/>
  <c r="L38" i="9"/>
  <c r="S178" i="9" a="1"/>
  <c r="S178" i="9" s="1"/>
  <c r="O238" i="9" a="1"/>
  <c r="O238" i="9" s="1"/>
  <c r="O237" i="9" a="1"/>
  <c r="O237" i="9" s="1"/>
  <c r="O236" i="9" a="1"/>
  <c r="O236" i="9" s="1"/>
  <c r="O235" i="9" a="1"/>
  <c r="O235" i="9" s="1"/>
  <c r="O234" i="9" a="1"/>
  <c r="O234" i="9" s="1"/>
  <c r="O233" i="9" a="1"/>
  <c r="O233" i="9" s="1"/>
  <c r="O232" i="9" a="1"/>
  <c r="O232" i="9" s="1"/>
  <c r="O231" i="9" a="1"/>
  <c r="O231" i="9" s="1"/>
  <c r="O230" i="9" a="1"/>
  <c r="O230" i="9" s="1"/>
  <c r="O229" i="9" a="1"/>
  <c r="O229" i="9" s="1"/>
  <c r="O228" i="9" a="1"/>
  <c r="O228" i="9" s="1"/>
  <c r="O227" i="9" a="1"/>
  <c r="O227" i="9" s="1"/>
  <c r="O226" i="9" a="1"/>
  <c r="O226" i="9" s="1"/>
  <c r="O225" i="9" a="1"/>
  <c r="O225" i="9" s="1"/>
  <c r="O224" i="9" a="1"/>
  <c r="O224" i="9" s="1"/>
  <c r="O223" i="9" a="1"/>
  <c r="O223" i="9" s="1"/>
  <c r="O222" i="9" a="1"/>
  <c r="O222" i="9" s="1"/>
  <c r="O221" i="9" a="1"/>
  <c r="O221" i="9" s="1"/>
  <c r="O220" i="9" a="1"/>
  <c r="O220" i="9" s="1"/>
  <c r="O219" i="9" a="1"/>
  <c r="O219" i="9" s="1"/>
  <c r="O217" i="9" a="1"/>
  <c r="O217" i="9" s="1"/>
  <c r="E220" i="9"/>
  <c r="E221" i="9"/>
  <c r="E222" i="9"/>
  <c r="E223" i="9"/>
  <c r="E224" i="9"/>
  <c r="E225" i="9"/>
  <c r="E226" i="9"/>
  <c r="E227" i="9"/>
  <c r="E228" i="9"/>
  <c r="E229" i="9"/>
  <c r="E230" i="9"/>
  <c r="E231" i="9"/>
  <c r="E232" i="9"/>
  <c r="E233" i="9"/>
  <c r="E234" i="9"/>
  <c r="E235" i="9"/>
  <c r="E236" i="9"/>
  <c r="E237" i="9"/>
  <c r="E238" i="9"/>
  <c r="P35" i="1" a="1"/>
  <c r="P35" i="1" s="1"/>
  <c r="P34" i="1" a="1"/>
  <c r="P34" i="1" s="1"/>
  <c r="R33" i="1" a="1"/>
  <c r="R33" i="1" s="1"/>
  <c r="Q33" i="1" a="1"/>
  <c r="Q33" i="1" s="1"/>
  <c r="P33" i="1" a="1"/>
  <c r="P33" i="1" s="1"/>
  <c r="O33" i="1" a="1"/>
  <c r="O33" i="1" s="1"/>
  <c r="N33" i="1" a="1"/>
  <c r="N33" i="1" s="1"/>
  <c r="R32" i="1" a="1"/>
  <c r="R32" i="1" s="1"/>
  <c r="Q32" i="1" a="1"/>
  <c r="Q32" i="1" s="1"/>
  <c r="P32" i="1" a="1"/>
  <c r="P32" i="1" s="1"/>
  <c r="O32" i="1" a="1"/>
  <c r="O32" i="1" s="1"/>
  <c r="N32" i="1" a="1"/>
  <c r="N32" i="1" s="1"/>
  <c r="Q31" i="1" a="1"/>
  <c r="Q31" i="1" s="1"/>
  <c r="P31" i="1" a="1"/>
  <c r="P31" i="1" s="1"/>
  <c r="O31" i="1" a="1"/>
  <c r="O31" i="1" s="1"/>
  <c r="Q30" i="1" a="1"/>
  <c r="Q30" i="1" s="1"/>
  <c r="P30" i="1" a="1"/>
  <c r="P30" i="1" s="1"/>
  <c r="O30" i="1" a="1"/>
  <c r="O30" i="1" s="1"/>
  <c r="P29" i="1" a="1"/>
  <c r="P29" i="1" s="1"/>
  <c r="C33" i="1" a="1"/>
  <c r="C33" i="1" s="1"/>
  <c r="C32" i="1" a="1"/>
  <c r="C32" i="1" s="1"/>
  <c r="D33" i="1" a="1"/>
  <c r="D33" i="1" s="1"/>
  <c r="D32" i="1" a="1"/>
  <c r="D32" i="1" s="1"/>
  <c r="D31" i="1" a="1"/>
  <c r="D31" i="1" s="1"/>
  <c r="D30" i="1" a="1"/>
  <c r="D30" i="1" s="1"/>
  <c r="G33" i="1" a="1"/>
  <c r="G33" i="1" s="1"/>
  <c r="G32" i="1" a="1"/>
  <c r="G32" i="1" s="1"/>
  <c r="F31" i="1" a="1"/>
  <c r="F31" i="1" s="1"/>
  <c r="F32" i="1" a="1"/>
  <c r="F32" i="1" s="1"/>
  <c r="F33" i="1" a="1"/>
  <c r="F33" i="1" s="1"/>
  <c r="F30" i="1" a="1"/>
  <c r="F30" i="1" s="1"/>
  <c r="E35" i="1" a="1"/>
  <c r="E35" i="1" s="1"/>
  <c r="E30" i="1" a="1"/>
  <c r="E30" i="1" s="1"/>
  <c r="E31" i="1" a="1"/>
  <c r="E31" i="1" s="1"/>
  <c r="E32" i="1" a="1"/>
  <c r="E32" i="1" s="1"/>
  <c r="E33" i="1" a="1"/>
  <c r="E33" i="1" s="1"/>
  <c r="E34" i="1" a="1"/>
  <c r="E34" i="1" s="1"/>
  <c r="E29" i="1" a="1"/>
  <c r="E29" i="1" s="1"/>
  <c r="T26" i="9" a="1"/>
  <c r="T26" i="9" s="1"/>
  <c r="R26" i="9" a="1"/>
  <c r="R26" i="9" s="1"/>
  <c r="E26" i="9"/>
  <c r="C4" i="10" s="1"/>
  <c r="DN306" i="9" a="1"/>
  <c r="DN306" i="9" s="1"/>
  <c r="AD264" i="9" a="1"/>
  <c r="AD264" i="9" s="1"/>
  <c r="AF310" i="9" a="1"/>
  <c r="AF310" i="9" s="1"/>
  <c r="DU305" i="9" a="1"/>
  <c r="DU305" i="9" s="1"/>
  <c r="DQ327" i="9" a="1"/>
  <c r="DQ327" i="9" s="1"/>
  <c r="DQ326" i="9" a="1"/>
  <c r="DQ326" i="9" s="1"/>
  <c r="DQ325" i="9" a="1"/>
  <c r="DQ325" i="9" s="1"/>
  <c r="DQ324" i="9" a="1"/>
  <c r="DQ324" i="9" s="1"/>
  <c r="DQ323" i="9" a="1"/>
  <c r="DQ323" i="9" s="1"/>
  <c r="DQ322" i="9" a="1"/>
  <c r="DQ322" i="9" s="1"/>
  <c r="DQ321" i="9" a="1"/>
  <c r="DQ321" i="9" s="1"/>
  <c r="DQ320" i="9" a="1"/>
  <c r="DQ320" i="9" s="1"/>
  <c r="DQ319" i="9" a="1"/>
  <c r="DQ319" i="9" s="1"/>
  <c r="DQ318" i="9" a="1"/>
  <c r="DQ318" i="9" s="1"/>
  <c r="DQ317" i="9" a="1"/>
  <c r="DQ317" i="9" s="1"/>
  <c r="DQ316" i="9" a="1"/>
  <c r="DQ316" i="9" s="1"/>
  <c r="DQ315" i="9" a="1"/>
  <c r="DQ315" i="9" s="1"/>
  <c r="DQ314" i="9" a="1"/>
  <c r="DQ314" i="9" s="1"/>
  <c r="DQ313" i="9" a="1"/>
  <c r="DQ313" i="9" s="1"/>
  <c r="DQ312" i="9" a="1"/>
  <c r="DQ312" i="9" s="1"/>
  <c r="DQ311" i="9" a="1"/>
  <c r="DQ311" i="9" s="1"/>
  <c r="DQ310" i="9" a="1"/>
  <c r="DQ310" i="9" s="1"/>
  <c r="DQ309" i="9" a="1"/>
  <c r="DQ309" i="9" s="1"/>
  <c r="DQ308" i="9" a="1"/>
  <c r="DQ308" i="9" s="1"/>
  <c r="DQ306" i="9" a="1"/>
  <c r="DQ306" i="9" s="1"/>
  <c r="DN327" i="9" a="1"/>
  <c r="DN327" i="9" s="1"/>
  <c r="DN326" i="9" a="1"/>
  <c r="DN326" i="9" s="1"/>
  <c r="DN325" i="9" a="1"/>
  <c r="DN325" i="9" s="1"/>
  <c r="DN324" i="9" a="1"/>
  <c r="DN324" i="9" s="1"/>
  <c r="DN323" i="9" a="1"/>
  <c r="DN323" i="9" s="1"/>
  <c r="DN322" i="9" a="1"/>
  <c r="DN322" i="9" s="1"/>
  <c r="DN321" i="9" a="1"/>
  <c r="DN321" i="9" s="1"/>
  <c r="DN320" i="9" a="1"/>
  <c r="DN320" i="9" s="1"/>
  <c r="DN319" i="9" a="1"/>
  <c r="DN319" i="9" s="1"/>
  <c r="DN318" i="9" a="1"/>
  <c r="DN318" i="9" s="1"/>
  <c r="DN317" i="9" a="1"/>
  <c r="DN317" i="9" s="1"/>
  <c r="DN316" i="9" a="1"/>
  <c r="DN316" i="9" s="1"/>
  <c r="DN315" i="9" a="1"/>
  <c r="DN315" i="9" s="1"/>
  <c r="DN314" i="9" a="1"/>
  <c r="DN314" i="9" s="1"/>
  <c r="DN313" i="9" a="1"/>
  <c r="DN313" i="9" s="1"/>
  <c r="DN312" i="9" a="1"/>
  <c r="DN312" i="9" s="1"/>
  <c r="DN311" i="9" a="1"/>
  <c r="DN311" i="9" s="1"/>
  <c r="DN310" i="9" a="1"/>
  <c r="DN310" i="9" s="1"/>
  <c r="DN309" i="9" a="1"/>
  <c r="DN309" i="9" s="1"/>
  <c r="DN308" i="9" a="1"/>
  <c r="DN308" i="9" s="1"/>
  <c r="AD262" i="9" a="1"/>
  <c r="AD262" i="9" s="1"/>
  <c r="P217" i="9" a="1"/>
  <c r="P217" i="9" s="1"/>
  <c r="AF306" i="9" a="1"/>
  <c r="AF306" i="9" s="1"/>
  <c r="AF309" i="9" a="1"/>
  <c r="AF309" i="9" s="1"/>
  <c r="AG309" i="9" a="1"/>
  <c r="AG309" i="9" s="1"/>
  <c r="AH309" i="9" a="1"/>
  <c r="AH309" i="9" s="1"/>
  <c r="AI309" i="9" a="1"/>
  <c r="AI309" i="9" s="1"/>
  <c r="AJ309" i="9" a="1"/>
  <c r="AJ309" i="9" s="1"/>
  <c r="AK309" i="9" a="1"/>
  <c r="AK309" i="9" s="1"/>
  <c r="AL309" i="9" a="1"/>
  <c r="AL309" i="9" s="1"/>
  <c r="AM309" i="9" a="1"/>
  <c r="AM309" i="9" s="1"/>
  <c r="AN309" i="9" a="1"/>
  <c r="AN309" i="9" s="1"/>
  <c r="AO309" i="9" a="1"/>
  <c r="AO309" i="9" s="1"/>
  <c r="AP309" i="9" a="1"/>
  <c r="AP309" i="9" s="1"/>
  <c r="AQ309" i="9" a="1"/>
  <c r="AQ309" i="9" s="1"/>
  <c r="AR309" i="9" a="1"/>
  <c r="AR309" i="9" s="1"/>
  <c r="AS309" i="9" a="1"/>
  <c r="AS309" i="9" s="1"/>
  <c r="AT309" i="9" a="1"/>
  <c r="AT309" i="9" s="1"/>
  <c r="AU309" i="9" a="1"/>
  <c r="AU309" i="9" s="1"/>
  <c r="AV309" i="9" a="1"/>
  <c r="AV309" i="9" s="1"/>
  <c r="AW309" i="9" a="1"/>
  <c r="AW309" i="9" s="1"/>
  <c r="AX309" i="9" a="1"/>
  <c r="AX309" i="9" s="1"/>
  <c r="AY309" i="9" a="1"/>
  <c r="AY309" i="9" s="1"/>
  <c r="AG310" i="9" a="1"/>
  <c r="AG310" i="9" s="1"/>
  <c r="AH310" i="9" a="1"/>
  <c r="AH310" i="9" s="1"/>
  <c r="AI310" i="9" a="1"/>
  <c r="AI310" i="9" s="1"/>
  <c r="AJ310" i="9" a="1"/>
  <c r="AJ310" i="9" s="1"/>
  <c r="AK310" i="9" a="1"/>
  <c r="AK310" i="9" s="1"/>
  <c r="AL310" i="9" a="1"/>
  <c r="AL310" i="9" s="1"/>
  <c r="AM310" i="9" a="1"/>
  <c r="AM310" i="9" s="1"/>
  <c r="AN310" i="9" a="1"/>
  <c r="AN310" i="9" s="1"/>
  <c r="AO310" i="9" a="1"/>
  <c r="AO310" i="9" s="1"/>
  <c r="AP310" i="9" a="1"/>
  <c r="AP310" i="9" s="1"/>
  <c r="AQ310" i="9" a="1"/>
  <c r="AQ310" i="9" s="1"/>
  <c r="AR310" i="9" a="1"/>
  <c r="AR310" i="9" s="1"/>
  <c r="AS310" i="9" a="1"/>
  <c r="AS310" i="9" s="1"/>
  <c r="AT310" i="9" a="1"/>
  <c r="AT310" i="9" s="1"/>
  <c r="AU310" i="9" a="1"/>
  <c r="AU310" i="9" s="1"/>
  <c r="AV310" i="9" a="1"/>
  <c r="AV310" i="9" s="1"/>
  <c r="AW310" i="9" a="1"/>
  <c r="AW310" i="9" s="1"/>
  <c r="AX310" i="9" a="1"/>
  <c r="AX310" i="9" s="1"/>
  <c r="AY310" i="9" a="1"/>
  <c r="AY310" i="9" s="1"/>
  <c r="AF311" i="9" a="1"/>
  <c r="AF311" i="9" s="1"/>
  <c r="AG311" i="9" a="1"/>
  <c r="AG311" i="9" s="1"/>
  <c r="AH311" i="9" a="1"/>
  <c r="AH311" i="9" s="1"/>
  <c r="AI311" i="9" a="1"/>
  <c r="AI311" i="9" s="1"/>
  <c r="AJ311" i="9" a="1"/>
  <c r="AJ311" i="9" s="1"/>
  <c r="AK311" i="9" a="1"/>
  <c r="AK311" i="9" s="1"/>
  <c r="AL311" i="9" a="1"/>
  <c r="AL311" i="9" s="1"/>
  <c r="AM311" i="9" a="1"/>
  <c r="AM311" i="9" s="1"/>
  <c r="AN311" i="9" a="1"/>
  <c r="AN311" i="9" s="1"/>
  <c r="AO311" i="9" a="1"/>
  <c r="AO311" i="9" s="1"/>
  <c r="AP311" i="9" a="1"/>
  <c r="AP311" i="9" s="1"/>
  <c r="AQ311" i="9" a="1"/>
  <c r="AQ311" i="9" s="1"/>
  <c r="AR311" i="9" a="1"/>
  <c r="AR311" i="9" s="1"/>
  <c r="AS311" i="9" a="1"/>
  <c r="AS311" i="9" s="1"/>
  <c r="AT311" i="9" a="1"/>
  <c r="AT311" i="9" s="1"/>
  <c r="AU311" i="9" a="1"/>
  <c r="AU311" i="9" s="1"/>
  <c r="AV311" i="9" a="1"/>
  <c r="AV311" i="9" s="1"/>
  <c r="AW311" i="9" a="1"/>
  <c r="AW311" i="9" s="1"/>
  <c r="AX311" i="9" a="1"/>
  <c r="AX311" i="9" s="1"/>
  <c r="AY311" i="9" a="1"/>
  <c r="AY311" i="9" s="1"/>
  <c r="AF312" i="9" a="1"/>
  <c r="AF312" i="9" s="1"/>
  <c r="AG312" i="9" a="1"/>
  <c r="AG312" i="9" s="1"/>
  <c r="AH312" i="9" a="1"/>
  <c r="AH312" i="9" s="1"/>
  <c r="AI312" i="9" a="1"/>
  <c r="AI312" i="9" s="1"/>
  <c r="AJ312" i="9" a="1"/>
  <c r="AJ312" i="9" s="1"/>
  <c r="AK312" i="9" a="1"/>
  <c r="AK312" i="9" s="1"/>
  <c r="AL312" i="9" a="1"/>
  <c r="AL312" i="9" s="1"/>
  <c r="AM312" i="9" a="1"/>
  <c r="AM312" i="9" s="1"/>
  <c r="AN312" i="9" a="1"/>
  <c r="AN312" i="9" s="1"/>
  <c r="AO312" i="9" a="1"/>
  <c r="AO312" i="9" s="1"/>
  <c r="AP312" i="9" a="1"/>
  <c r="AP312" i="9" s="1"/>
  <c r="AQ312" i="9" a="1"/>
  <c r="AQ312" i="9" s="1"/>
  <c r="AR312" i="9" a="1"/>
  <c r="AR312" i="9" s="1"/>
  <c r="AS312" i="9" a="1"/>
  <c r="AS312" i="9" s="1"/>
  <c r="AT312" i="9" a="1"/>
  <c r="AT312" i="9" s="1"/>
  <c r="AU312" i="9" a="1"/>
  <c r="AU312" i="9" s="1"/>
  <c r="AV312" i="9" a="1"/>
  <c r="AV312" i="9" s="1"/>
  <c r="AW312" i="9" a="1"/>
  <c r="AW312" i="9" s="1"/>
  <c r="AX312" i="9" a="1"/>
  <c r="AX312" i="9" s="1"/>
  <c r="AY312" i="9" a="1"/>
  <c r="AY312" i="9" s="1"/>
  <c r="AF313" i="9" a="1"/>
  <c r="AF313" i="9" s="1"/>
  <c r="AG313" i="9" a="1"/>
  <c r="AG313" i="9" s="1"/>
  <c r="AH313" i="9" a="1"/>
  <c r="AH313" i="9" s="1"/>
  <c r="AI313" i="9" a="1"/>
  <c r="AI313" i="9" s="1"/>
  <c r="AJ313" i="9" a="1"/>
  <c r="AJ313" i="9" s="1"/>
  <c r="AK313" i="9" a="1"/>
  <c r="AK313" i="9" s="1"/>
  <c r="AL313" i="9" a="1"/>
  <c r="AL313" i="9" s="1"/>
  <c r="AM313" i="9" a="1"/>
  <c r="AM313" i="9" s="1"/>
  <c r="AN313" i="9" a="1"/>
  <c r="AN313" i="9" s="1"/>
  <c r="AO313" i="9" a="1"/>
  <c r="AO313" i="9" s="1"/>
  <c r="AP313" i="9" a="1"/>
  <c r="AP313" i="9" s="1"/>
  <c r="AQ313" i="9" a="1"/>
  <c r="AQ313" i="9" s="1"/>
  <c r="AR313" i="9" a="1"/>
  <c r="AR313" i="9" s="1"/>
  <c r="AS313" i="9" a="1"/>
  <c r="AS313" i="9" s="1"/>
  <c r="AT313" i="9" a="1"/>
  <c r="AT313" i="9" s="1"/>
  <c r="AU313" i="9" a="1"/>
  <c r="AU313" i="9" s="1"/>
  <c r="AV313" i="9" a="1"/>
  <c r="AV313" i="9" s="1"/>
  <c r="AW313" i="9" a="1"/>
  <c r="AW313" i="9" s="1"/>
  <c r="AX313" i="9" a="1"/>
  <c r="AX313" i="9" s="1"/>
  <c r="AY313" i="9" a="1"/>
  <c r="AY313" i="9" s="1"/>
  <c r="AF314" i="9" a="1"/>
  <c r="AF314" i="9" s="1"/>
  <c r="AG314" i="9" a="1"/>
  <c r="AG314" i="9" s="1"/>
  <c r="AH314" i="9" a="1"/>
  <c r="AH314" i="9" s="1"/>
  <c r="AI314" i="9" a="1"/>
  <c r="AI314" i="9" s="1"/>
  <c r="AJ314" i="9" a="1"/>
  <c r="AJ314" i="9" s="1"/>
  <c r="AK314" i="9" a="1"/>
  <c r="AK314" i="9" s="1"/>
  <c r="AL314" i="9" a="1"/>
  <c r="AL314" i="9" s="1"/>
  <c r="AM314" i="9" a="1"/>
  <c r="AM314" i="9" s="1"/>
  <c r="AN314" i="9" a="1"/>
  <c r="AN314" i="9" s="1"/>
  <c r="AO314" i="9" a="1"/>
  <c r="AO314" i="9" s="1"/>
  <c r="AP314" i="9" a="1"/>
  <c r="AP314" i="9" s="1"/>
  <c r="AQ314" i="9" a="1"/>
  <c r="AQ314" i="9" s="1"/>
  <c r="AR314" i="9" a="1"/>
  <c r="AR314" i="9" s="1"/>
  <c r="AS314" i="9" a="1"/>
  <c r="AS314" i="9" s="1"/>
  <c r="AT314" i="9" a="1"/>
  <c r="AT314" i="9" s="1"/>
  <c r="AU314" i="9" a="1"/>
  <c r="AU314" i="9" s="1"/>
  <c r="AV314" i="9" a="1"/>
  <c r="AV314" i="9" s="1"/>
  <c r="AW314" i="9" a="1"/>
  <c r="AW314" i="9" s="1"/>
  <c r="AX314" i="9" a="1"/>
  <c r="AX314" i="9" s="1"/>
  <c r="AY314" i="9" a="1"/>
  <c r="AY314" i="9" s="1"/>
  <c r="AF315" i="9" a="1"/>
  <c r="AF315" i="9" s="1"/>
  <c r="AG315" i="9" a="1"/>
  <c r="AG315" i="9" s="1"/>
  <c r="AH315" i="9" a="1"/>
  <c r="AH315" i="9" s="1"/>
  <c r="AI315" i="9" a="1"/>
  <c r="AI315" i="9" s="1"/>
  <c r="AJ315" i="9" a="1"/>
  <c r="AJ315" i="9" s="1"/>
  <c r="AK315" i="9" a="1"/>
  <c r="AK315" i="9" s="1"/>
  <c r="AL315" i="9" a="1"/>
  <c r="AL315" i="9" s="1"/>
  <c r="AM315" i="9" a="1"/>
  <c r="AM315" i="9" s="1"/>
  <c r="AN315" i="9" a="1"/>
  <c r="AN315" i="9" s="1"/>
  <c r="AO315" i="9" a="1"/>
  <c r="AO315" i="9" s="1"/>
  <c r="AP315" i="9" a="1"/>
  <c r="AP315" i="9" s="1"/>
  <c r="AQ315" i="9" a="1"/>
  <c r="AQ315" i="9" s="1"/>
  <c r="AR315" i="9" a="1"/>
  <c r="AR315" i="9" s="1"/>
  <c r="AS315" i="9" a="1"/>
  <c r="AS315" i="9" s="1"/>
  <c r="AT315" i="9" a="1"/>
  <c r="AT315" i="9" s="1"/>
  <c r="AU315" i="9" a="1"/>
  <c r="AU315" i="9" s="1"/>
  <c r="AV315" i="9" a="1"/>
  <c r="AV315" i="9" s="1"/>
  <c r="AW315" i="9" a="1"/>
  <c r="AW315" i="9" s="1"/>
  <c r="AX315" i="9" a="1"/>
  <c r="AX315" i="9" s="1"/>
  <c r="AY315" i="9" a="1"/>
  <c r="AY315" i="9" s="1"/>
  <c r="AF316" i="9" a="1"/>
  <c r="AF316" i="9" s="1"/>
  <c r="AG316" i="9" a="1"/>
  <c r="AG316" i="9" s="1"/>
  <c r="AH316" i="9" a="1"/>
  <c r="AH316" i="9" s="1"/>
  <c r="AI316" i="9" a="1"/>
  <c r="AI316" i="9" s="1"/>
  <c r="AJ316" i="9" a="1"/>
  <c r="AJ316" i="9" s="1"/>
  <c r="AK316" i="9" a="1"/>
  <c r="AK316" i="9" s="1"/>
  <c r="AL316" i="9" a="1"/>
  <c r="AL316" i="9" s="1"/>
  <c r="AM316" i="9" a="1"/>
  <c r="AM316" i="9" s="1"/>
  <c r="AN316" i="9" a="1"/>
  <c r="AN316" i="9" s="1"/>
  <c r="AO316" i="9" a="1"/>
  <c r="AO316" i="9" s="1"/>
  <c r="AP316" i="9" a="1"/>
  <c r="AP316" i="9" s="1"/>
  <c r="AQ316" i="9" a="1"/>
  <c r="AQ316" i="9" s="1"/>
  <c r="AR316" i="9" a="1"/>
  <c r="AR316" i="9" s="1"/>
  <c r="AS316" i="9" a="1"/>
  <c r="AS316" i="9" s="1"/>
  <c r="AT316" i="9" a="1"/>
  <c r="AT316" i="9" s="1"/>
  <c r="AU316" i="9" a="1"/>
  <c r="AU316" i="9" s="1"/>
  <c r="AV316" i="9" a="1"/>
  <c r="AV316" i="9" s="1"/>
  <c r="AW316" i="9" a="1"/>
  <c r="AW316" i="9" s="1"/>
  <c r="AX316" i="9" a="1"/>
  <c r="AX316" i="9" s="1"/>
  <c r="AY316" i="9" a="1"/>
  <c r="AY316" i="9" s="1"/>
  <c r="AF317" i="9" a="1"/>
  <c r="AF317" i="9" s="1"/>
  <c r="AG317" i="9" a="1"/>
  <c r="AG317" i="9" s="1"/>
  <c r="AH317" i="9" a="1"/>
  <c r="AH317" i="9" s="1"/>
  <c r="AI317" i="9" a="1"/>
  <c r="AI317" i="9" s="1"/>
  <c r="AJ317" i="9" a="1"/>
  <c r="AJ317" i="9" s="1"/>
  <c r="AK317" i="9" a="1"/>
  <c r="AK317" i="9" s="1"/>
  <c r="AL317" i="9" a="1"/>
  <c r="AL317" i="9" s="1"/>
  <c r="AM317" i="9" a="1"/>
  <c r="AM317" i="9" s="1"/>
  <c r="AN317" i="9" a="1"/>
  <c r="AN317" i="9" s="1"/>
  <c r="AO317" i="9" a="1"/>
  <c r="AO317" i="9" s="1"/>
  <c r="AP317" i="9" a="1"/>
  <c r="AP317" i="9" s="1"/>
  <c r="AQ317" i="9" a="1"/>
  <c r="AQ317" i="9" s="1"/>
  <c r="AR317" i="9" a="1"/>
  <c r="AR317" i="9" s="1"/>
  <c r="AS317" i="9" a="1"/>
  <c r="AS317" i="9" s="1"/>
  <c r="AT317" i="9" a="1"/>
  <c r="AT317" i="9" s="1"/>
  <c r="AU317" i="9" a="1"/>
  <c r="AU317" i="9" s="1"/>
  <c r="AV317" i="9" a="1"/>
  <c r="AV317" i="9" s="1"/>
  <c r="AW317" i="9" a="1"/>
  <c r="AW317" i="9" s="1"/>
  <c r="AX317" i="9" a="1"/>
  <c r="AX317" i="9" s="1"/>
  <c r="AY317" i="9" a="1"/>
  <c r="AY317" i="9" s="1"/>
  <c r="AF318" i="9" a="1"/>
  <c r="AF318" i="9" s="1"/>
  <c r="AG318" i="9" a="1"/>
  <c r="AG318" i="9" s="1"/>
  <c r="AH318" i="9" a="1"/>
  <c r="AH318" i="9" s="1"/>
  <c r="AI318" i="9" a="1"/>
  <c r="AI318" i="9" s="1"/>
  <c r="AJ318" i="9" a="1"/>
  <c r="AJ318" i="9" s="1"/>
  <c r="AK318" i="9" a="1"/>
  <c r="AK318" i="9" s="1"/>
  <c r="AL318" i="9" a="1"/>
  <c r="AL318" i="9" s="1"/>
  <c r="AM318" i="9" a="1"/>
  <c r="AM318" i="9" s="1"/>
  <c r="AN318" i="9" a="1"/>
  <c r="AN318" i="9" s="1"/>
  <c r="AO318" i="9" a="1"/>
  <c r="AO318" i="9" s="1"/>
  <c r="AP318" i="9" a="1"/>
  <c r="AP318" i="9" s="1"/>
  <c r="AQ318" i="9" a="1"/>
  <c r="AQ318" i="9" s="1"/>
  <c r="AR318" i="9" a="1"/>
  <c r="AR318" i="9" s="1"/>
  <c r="AS318" i="9" a="1"/>
  <c r="AS318" i="9" s="1"/>
  <c r="AT318" i="9" a="1"/>
  <c r="AT318" i="9" s="1"/>
  <c r="AU318" i="9" a="1"/>
  <c r="AU318" i="9" s="1"/>
  <c r="AV318" i="9" a="1"/>
  <c r="AV318" i="9" s="1"/>
  <c r="AW318" i="9" a="1"/>
  <c r="AW318" i="9" s="1"/>
  <c r="AX318" i="9" a="1"/>
  <c r="AX318" i="9" s="1"/>
  <c r="AY318" i="9" a="1"/>
  <c r="AY318" i="9" s="1"/>
  <c r="AF319" i="9" a="1"/>
  <c r="AF319" i="9" s="1"/>
  <c r="AG319" i="9" a="1"/>
  <c r="AG319" i="9" s="1"/>
  <c r="AH319" i="9" a="1"/>
  <c r="AH319" i="9" s="1"/>
  <c r="AI319" i="9" a="1"/>
  <c r="AI319" i="9" s="1"/>
  <c r="AJ319" i="9" a="1"/>
  <c r="AJ319" i="9" s="1"/>
  <c r="AK319" i="9" a="1"/>
  <c r="AK319" i="9" s="1"/>
  <c r="AL319" i="9" a="1"/>
  <c r="AL319" i="9" s="1"/>
  <c r="AM319" i="9" a="1"/>
  <c r="AM319" i="9" s="1"/>
  <c r="AN319" i="9" a="1"/>
  <c r="AN319" i="9" s="1"/>
  <c r="AO319" i="9" a="1"/>
  <c r="AO319" i="9" s="1"/>
  <c r="AP319" i="9" a="1"/>
  <c r="AP319" i="9" s="1"/>
  <c r="AQ319" i="9" a="1"/>
  <c r="AQ319" i="9" s="1"/>
  <c r="AR319" i="9" a="1"/>
  <c r="AR319" i="9" s="1"/>
  <c r="AS319" i="9" a="1"/>
  <c r="AS319" i="9" s="1"/>
  <c r="AT319" i="9" a="1"/>
  <c r="AT319" i="9" s="1"/>
  <c r="AU319" i="9" a="1"/>
  <c r="AU319" i="9" s="1"/>
  <c r="AV319" i="9" a="1"/>
  <c r="AV319" i="9" s="1"/>
  <c r="AW319" i="9" a="1"/>
  <c r="AW319" i="9" s="1"/>
  <c r="AX319" i="9" a="1"/>
  <c r="AX319" i="9" s="1"/>
  <c r="AY319" i="9" a="1"/>
  <c r="AY319" i="9" s="1"/>
  <c r="AF320" i="9" a="1"/>
  <c r="AF320" i="9" s="1"/>
  <c r="AG320" i="9" a="1"/>
  <c r="AG320" i="9" s="1"/>
  <c r="AH320" i="9" a="1"/>
  <c r="AH320" i="9" s="1"/>
  <c r="AI320" i="9" a="1"/>
  <c r="AI320" i="9" s="1"/>
  <c r="AJ320" i="9" a="1"/>
  <c r="AJ320" i="9" s="1"/>
  <c r="AK320" i="9" a="1"/>
  <c r="AK320" i="9" s="1"/>
  <c r="AL320" i="9" a="1"/>
  <c r="AL320" i="9" s="1"/>
  <c r="AM320" i="9" a="1"/>
  <c r="AM320" i="9" s="1"/>
  <c r="AN320" i="9" a="1"/>
  <c r="AN320" i="9" s="1"/>
  <c r="AO320" i="9" a="1"/>
  <c r="AO320" i="9" s="1"/>
  <c r="AP320" i="9" a="1"/>
  <c r="AP320" i="9" s="1"/>
  <c r="AQ320" i="9" a="1"/>
  <c r="AQ320" i="9" s="1"/>
  <c r="AR320" i="9" a="1"/>
  <c r="AR320" i="9" s="1"/>
  <c r="AS320" i="9" a="1"/>
  <c r="AS320" i="9" s="1"/>
  <c r="AT320" i="9" a="1"/>
  <c r="AT320" i="9" s="1"/>
  <c r="AU320" i="9" a="1"/>
  <c r="AU320" i="9" s="1"/>
  <c r="AV320" i="9" a="1"/>
  <c r="AV320" i="9" s="1"/>
  <c r="AW320" i="9" a="1"/>
  <c r="AW320" i="9" s="1"/>
  <c r="AX320" i="9" a="1"/>
  <c r="AX320" i="9" s="1"/>
  <c r="AY320" i="9" a="1"/>
  <c r="AY320" i="9" s="1"/>
  <c r="AF321" i="9" a="1"/>
  <c r="AF321" i="9" s="1"/>
  <c r="AG321" i="9" a="1"/>
  <c r="AG321" i="9" s="1"/>
  <c r="AH321" i="9" a="1"/>
  <c r="AH321" i="9" s="1"/>
  <c r="AI321" i="9" a="1"/>
  <c r="AI321" i="9" s="1"/>
  <c r="AJ321" i="9" a="1"/>
  <c r="AJ321" i="9" s="1"/>
  <c r="AK321" i="9" a="1"/>
  <c r="AK321" i="9" s="1"/>
  <c r="AL321" i="9" a="1"/>
  <c r="AL321" i="9" s="1"/>
  <c r="AM321" i="9" a="1"/>
  <c r="AM321" i="9" s="1"/>
  <c r="AN321" i="9" a="1"/>
  <c r="AN321" i="9" s="1"/>
  <c r="AO321" i="9" a="1"/>
  <c r="AO321" i="9" s="1"/>
  <c r="AP321" i="9" a="1"/>
  <c r="AP321" i="9" s="1"/>
  <c r="AQ321" i="9" a="1"/>
  <c r="AQ321" i="9" s="1"/>
  <c r="AR321" i="9" a="1"/>
  <c r="AR321" i="9" s="1"/>
  <c r="AS321" i="9" a="1"/>
  <c r="AS321" i="9" s="1"/>
  <c r="AT321" i="9" a="1"/>
  <c r="AT321" i="9" s="1"/>
  <c r="AU321" i="9" a="1"/>
  <c r="AU321" i="9" s="1"/>
  <c r="AV321" i="9" a="1"/>
  <c r="AV321" i="9" s="1"/>
  <c r="AW321" i="9" a="1"/>
  <c r="AW321" i="9" s="1"/>
  <c r="AX321" i="9" a="1"/>
  <c r="AX321" i="9" s="1"/>
  <c r="AY321" i="9" a="1"/>
  <c r="AY321" i="9" s="1"/>
  <c r="AF322" i="9" a="1"/>
  <c r="AF322" i="9" s="1"/>
  <c r="AG322" i="9" a="1"/>
  <c r="AG322" i="9" s="1"/>
  <c r="AH322" i="9" a="1"/>
  <c r="AH322" i="9" s="1"/>
  <c r="AI322" i="9" a="1"/>
  <c r="AI322" i="9" s="1"/>
  <c r="AJ322" i="9" a="1"/>
  <c r="AJ322" i="9" s="1"/>
  <c r="AK322" i="9" a="1"/>
  <c r="AK322" i="9" s="1"/>
  <c r="AL322" i="9" a="1"/>
  <c r="AL322" i="9" s="1"/>
  <c r="AM322" i="9" a="1"/>
  <c r="AM322" i="9" s="1"/>
  <c r="AN322" i="9" a="1"/>
  <c r="AN322" i="9" s="1"/>
  <c r="AO322" i="9" a="1"/>
  <c r="AO322" i="9" s="1"/>
  <c r="AP322" i="9" a="1"/>
  <c r="AP322" i="9" s="1"/>
  <c r="AQ322" i="9" a="1"/>
  <c r="AQ322" i="9" s="1"/>
  <c r="AR322" i="9" a="1"/>
  <c r="AR322" i="9" s="1"/>
  <c r="AS322" i="9" a="1"/>
  <c r="AS322" i="9" s="1"/>
  <c r="AT322" i="9" a="1"/>
  <c r="AT322" i="9" s="1"/>
  <c r="AU322" i="9" a="1"/>
  <c r="AU322" i="9" s="1"/>
  <c r="AV322" i="9" a="1"/>
  <c r="AV322" i="9" s="1"/>
  <c r="AW322" i="9" a="1"/>
  <c r="AW322" i="9" s="1"/>
  <c r="AX322" i="9" a="1"/>
  <c r="AX322" i="9" s="1"/>
  <c r="AY322" i="9" a="1"/>
  <c r="AY322" i="9" s="1"/>
  <c r="AF323" i="9" a="1"/>
  <c r="AF323" i="9" s="1"/>
  <c r="AG323" i="9" a="1"/>
  <c r="AG323" i="9" s="1"/>
  <c r="AH323" i="9" a="1"/>
  <c r="AH323" i="9" s="1"/>
  <c r="AI323" i="9" a="1"/>
  <c r="AI323" i="9" s="1"/>
  <c r="AJ323" i="9" a="1"/>
  <c r="AJ323" i="9" s="1"/>
  <c r="AK323" i="9" a="1"/>
  <c r="AK323" i="9" s="1"/>
  <c r="AL323" i="9" a="1"/>
  <c r="AL323" i="9" s="1"/>
  <c r="AM323" i="9" a="1"/>
  <c r="AM323" i="9" s="1"/>
  <c r="AN323" i="9" a="1"/>
  <c r="AN323" i="9" s="1"/>
  <c r="AO323" i="9" a="1"/>
  <c r="AO323" i="9" s="1"/>
  <c r="AP323" i="9" a="1"/>
  <c r="AP323" i="9" s="1"/>
  <c r="AQ323" i="9" a="1"/>
  <c r="AQ323" i="9" s="1"/>
  <c r="AR323" i="9" a="1"/>
  <c r="AR323" i="9" s="1"/>
  <c r="AS323" i="9" a="1"/>
  <c r="AS323" i="9" s="1"/>
  <c r="AT323" i="9" a="1"/>
  <c r="AT323" i="9" s="1"/>
  <c r="AU323" i="9" a="1"/>
  <c r="AU323" i="9" s="1"/>
  <c r="AV323" i="9" a="1"/>
  <c r="AV323" i="9" s="1"/>
  <c r="AW323" i="9" a="1"/>
  <c r="AW323" i="9" s="1"/>
  <c r="AX323" i="9" a="1"/>
  <c r="AX323" i="9" s="1"/>
  <c r="AY323" i="9" a="1"/>
  <c r="AY323" i="9" s="1"/>
  <c r="AF324" i="9" a="1"/>
  <c r="AF324" i="9" s="1"/>
  <c r="AG324" i="9" a="1"/>
  <c r="AG324" i="9" s="1"/>
  <c r="AH324" i="9" a="1"/>
  <c r="AH324" i="9" s="1"/>
  <c r="AI324" i="9" a="1"/>
  <c r="AI324" i="9" s="1"/>
  <c r="AJ324" i="9" a="1"/>
  <c r="AJ324" i="9" s="1"/>
  <c r="AK324" i="9" a="1"/>
  <c r="AK324" i="9" s="1"/>
  <c r="AL324" i="9" a="1"/>
  <c r="AL324" i="9" s="1"/>
  <c r="AM324" i="9" a="1"/>
  <c r="AM324" i="9" s="1"/>
  <c r="AN324" i="9" a="1"/>
  <c r="AN324" i="9" s="1"/>
  <c r="AO324" i="9" a="1"/>
  <c r="AO324" i="9" s="1"/>
  <c r="AP324" i="9" a="1"/>
  <c r="AP324" i="9" s="1"/>
  <c r="AQ324" i="9" a="1"/>
  <c r="AQ324" i="9" s="1"/>
  <c r="AR324" i="9" a="1"/>
  <c r="AR324" i="9" s="1"/>
  <c r="AS324" i="9" a="1"/>
  <c r="AS324" i="9" s="1"/>
  <c r="AT324" i="9" a="1"/>
  <c r="AT324" i="9" s="1"/>
  <c r="AU324" i="9" a="1"/>
  <c r="AU324" i="9" s="1"/>
  <c r="AV324" i="9" a="1"/>
  <c r="AV324" i="9" s="1"/>
  <c r="AW324" i="9" a="1"/>
  <c r="AW324" i="9" s="1"/>
  <c r="AX324" i="9" a="1"/>
  <c r="AX324" i="9" s="1"/>
  <c r="AY324" i="9" a="1"/>
  <c r="AY324" i="9" s="1"/>
  <c r="AF325" i="9" a="1"/>
  <c r="AF325" i="9" s="1"/>
  <c r="AG325" i="9" a="1"/>
  <c r="AG325" i="9" s="1"/>
  <c r="AH325" i="9" a="1"/>
  <c r="AH325" i="9" s="1"/>
  <c r="AI325" i="9" a="1"/>
  <c r="AI325" i="9" s="1"/>
  <c r="AJ325" i="9" a="1"/>
  <c r="AJ325" i="9" s="1"/>
  <c r="AK325" i="9" a="1"/>
  <c r="AK325" i="9" s="1"/>
  <c r="AL325" i="9" a="1"/>
  <c r="AL325" i="9" s="1"/>
  <c r="AM325" i="9" a="1"/>
  <c r="AM325" i="9" s="1"/>
  <c r="AN325" i="9" a="1"/>
  <c r="AN325" i="9" s="1"/>
  <c r="AO325" i="9" a="1"/>
  <c r="AO325" i="9" s="1"/>
  <c r="AP325" i="9" a="1"/>
  <c r="AP325" i="9" s="1"/>
  <c r="AQ325" i="9" a="1"/>
  <c r="AQ325" i="9" s="1"/>
  <c r="AR325" i="9" a="1"/>
  <c r="AR325" i="9" s="1"/>
  <c r="AS325" i="9" a="1"/>
  <c r="AS325" i="9" s="1"/>
  <c r="AT325" i="9" a="1"/>
  <c r="AT325" i="9" s="1"/>
  <c r="AU325" i="9" a="1"/>
  <c r="AU325" i="9" s="1"/>
  <c r="AV325" i="9" a="1"/>
  <c r="AV325" i="9" s="1"/>
  <c r="AW325" i="9" a="1"/>
  <c r="AW325" i="9" s="1"/>
  <c r="AX325" i="9" a="1"/>
  <c r="AX325" i="9" s="1"/>
  <c r="AY325" i="9" a="1"/>
  <c r="AY325" i="9" s="1"/>
  <c r="AF326" i="9" a="1"/>
  <c r="AF326" i="9" s="1"/>
  <c r="AG326" i="9" a="1"/>
  <c r="AG326" i="9" s="1"/>
  <c r="AH326" i="9" a="1"/>
  <c r="AH326" i="9" s="1"/>
  <c r="AI326" i="9" a="1"/>
  <c r="AI326" i="9" s="1"/>
  <c r="AJ326" i="9" a="1"/>
  <c r="AJ326" i="9" s="1"/>
  <c r="AK326" i="9" a="1"/>
  <c r="AK326" i="9" s="1"/>
  <c r="AL326" i="9" a="1"/>
  <c r="AL326" i="9" s="1"/>
  <c r="AM326" i="9" a="1"/>
  <c r="AM326" i="9" s="1"/>
  <c r="AN326" i="9" a="1"/>
  <c r="AN326" i="9" s="1"/>
  <c r="AO326" i="9" a="1"/>
  <c r="AO326" i="9" s="1"/>
  <c r="AP326" i="9" a="1"/>
  <c r="AP326" i="9" s="1"/>
  <c r="AQ326" i="9" a="1"/>
  <c r="AQ326" i="9" s="1"/>
  <c r="AR326" i="9" a="1"/>
  <c r="AR326" i="9" s="1"/>
  <c r="AS326" i="9" a="1"/>
  <c r="AS326" i="9" s="1"/>
  <c r="AT326" i="9" a="1"/>
  <c r="AT326" i="9" s="1"/>
  <c r="AU326" i="9" a="1"/>
  <c r="AU326" i="9" s="1"/>
  <c r="AV326" i="9" a="1"/>
  <c r="AV326" i="9" s="1"/>
  <c r="AW326" i="9" a="1"/>
  <c r="AW326" i="9" s="1"/>
  <c r="AX326" i="9" a="1"/>
  <c r="AX326" i="9" s="1"/>
  <c r="AY326" i="9" a="1"/>
  <c r="AY326" i="9" s="1"/>
  <c r="AF327" i="9" a="1"/>
  <c r="AF327" i="9" s="1"/>
  <c r="AG327" i="9" a="1"/>
  <c r="AG327" i="9" s="1"/>
  <c r="AH327" i="9" a="1"/>
  <c r="AH327" i="9" s="1"/>
  <c r="AI327" i="9" a="1"/>
  <c r="AI327" i="9" s="1"/>
  <c r="AJ327" i="9" a="1"/>
  <c r="AJ327" i="9" s="1"/>
  <c r="AK327" i="9" a="1"/>
  <c r="AK327" i="9" s="1"/>
  <c r="AL327" i="9" a="1"/>
  <c r="AL327" i="9" s="1"/>
  <c r="AM327" i="9" a="1"/>
  <c r="AM327" i="9" s="1"/>
  <c r="AN327" i="9" a="1"/>
  <c r="AN327" i="9" s="1"/>
  <c r="AO327" i="9" a="1"/>
  <c r="AO327" i="9" s="1"/>
  <c r="AP327" i="9" a="1"/>
  <c r="AP327" i="9" s="1"/>
  <c r="AQ327" i="9" a="1"/>
  <c r="AQ327" i="9" s="1"/>
  <c r="AR327" i="9" a="1"/>
  <c r="AR327" i="9" s="1"/>
  <c r="AS327" i="9" a="1"/>
  <c r="AS327" i="9" s="1"/>
  <c r="AT327" i="9" a="1"/>
  <c r="AT327" i="9" s="1"/>
  <c r="AU327" i="9" a="1"/>
  <c r="AU327" i="9" s="1"/>
  <c r="AV327" i="9" a="1"/>
  <c r="AV327" i="9" s="1"/>
  <c r="AW327" i="9" a="1"/>
  <c r="AW327" i="9" s="1"/>
  <c r="AX327" i="9" a="1"/>
  <c r="AX327" i="9" s="1"/>
  <c r="AY327" i="9" a="1"/>
  <c r="AY327" i="9" s="1"/>
  <c r="AY308" i="9" a="1"/>
  <c r="AY308" i="9" s="1"/>
  <c r="AX308" i="9" a="1"/>
  <c r="AX308" i="9" s="1"/>
  <c r="AW308" i="9" a="1"/>
  <c r="AW308" i="9" s="1"/>
  <c r="AV308" i="9" a="1"/>
  <c r="AV308" i="9" s="1"/>
  <c r="AU308" i="9" a="1"/>
  <c r="AU308" i="9" s="1"/>
  <c r="AT308" i="9" a="1"/>
  <c r="AT308" i="9" s="1"/>
  <c r="AS308" i="9" a="1"/>
  <c r="AS308" i="9" s="1"/>
  <c r="AR308" i="9" a="1"/>
  <c r="AR308" i="9" s="1"/>
  <c r="AQ308" i="9" a="1"/>
  <c r="AQ308" i="9" s="1"/>
  <c r="AP308" i="9" a="1"/>
  <c r="AP308" i="9" s="1"/>
  <c r="AO308" i="9" a="1"/>
  <c r="AO308" i="9" s="1"/>
  <c r="AN308" i="9" a="1"/>
  <c r="AN308" i="9" s="1"/>
  <c r="AM308" i="9" a="1"/>
  <c r="AM308" i="9" s="1"/>
  <c r="AL308" i="9" a="1"/>
  <c r="AL308" i="9" s="1"/>
  <c r="AK308" i="9" a="1"/>
  <c r="AK308" i="9" s="1"/>
  <c r="AJ308" i="9" a="1"/>
  <c r="AJ308" i="9" s="1"/>
  <c r="AI308" i="9" a="1"/>
  <c r="AI308" i="9" s="1"/>
  <c r="AH308" i="9" a="1"/>
  <c r="AH308" i="9" s="1"/>
  <c r="AG308" i="9" a="1"/>
  <c r="AG308" i="9" s="1"/>
  <c r="AG306" i="9" a="1"/>
  <c r="AG306" i="9" s="1"/>
  <c r="AH306" i="9" a="1"/>
  <c r="AH306" i="9" s="1"/>
  <c r="AI306" i="9" a="1"/>
  <c r="AI306" i="9" s="1"/>
  <c r="AJ306" i="9" a="1"/>
  <c r="AJ306" i="9" s="1"/>
  <c r="AK306" i="9" a="1"/>
  <c r="AK306" i="9" s="1"/>
  <c r="AL306" i="9" a="1"/>
  <c r="AL306" i="9" s="1"/>
  <c r="AM306" i="9" a="1"/>
  <c r="AM306" i="9" s="1"/>
  <c r="AN306" i="9" a="1"/>
  <c r="AN306" i="9" s="1"/>
  <c r="AO306" i="9" a="1"/>
  <c r="AO306" i="9" s="1"/>
  <c r="AP306" i="9" a="1"/>
  <c r="AP306" i="9" s="1"/>
  <c r="AQ306" i="9" a="1"/>
  <c r="AQ306" i="9" s="1"/>
  <c r="AR306" i="9" a="1"/>
  <c r="AR306" i="9" s="1"/>
  <c r="AS306" i="9" a="1"/>
  <c r="AS306" i="9" s="1"/>
  <c r="AT306" i="9" a="1"/>
  <c r="AT306" i="9" s="1"/>
  <c r="AU306" i="9" a="1"/>
  <c r="AU306" i="9" s="1"/>
  <c r="AV306" i="9" a="1"/>
  <c r="AV306" i="9" s="1"/>
  <c r="AW306" i="9" a="1"/>
  <c r="AW306" i="9" s="1"/>
  <c r="AX306" i="9" a="1"/>
  <c r="AX306" i="9" s="1"/>
  <c r="AY306" i="9" a="1"/>
  <c r="AY306" i="9" s="1"/>
  <c r="K303" i="9" a="1"/>
  <c r="K303" i="9" s="1"/>
  <c r="I259" i="9" a="1"/>
  <c r="I259" i="9" s="1"/>
  <c r="AE262" i="9" a="1"/>
  <c r="AE262" i="9" s="1"/>
  <c r="CC265" i="9"/>
  <c r="CC266" i="9"/>
  <c r="CC267" i="9"/>
  <c r="CC268" i="9"/>
  <c r="CC269" i="9"/>
  <c r="CC270" i="9"/>
  <c r="CC271" i="9"/>
  <c r="CC272" i="9"/>
  <c r="CC273" i="9"/>
  <c r="CC274" i="9"/>
  <c r="CC275" i="9"/>
  <c r="CC276" i="9"/>
  <c r="CC277" i="9"/>
  <c r="CC278" i="9"/>
  <c r="CC279" i="9"/>
  <c r="CC280" i="9"/>
  <c r="CC281" i="9"/>
  <c r="CC282" i="9"/>
  <c r="CC283" i="9"/>
  <c r="CC264" i="9"/>
  <c r="CC262" i="9"/>
  <c r="AW283" i="9" a="1"/>
  <c r="AW283" i="9" s="1"/>
  <c r="AV283" i="9" a="1"/>
  <c r="AV283" i="9" s="1"/>
  <c r="AU283" i="9" a="1"/>
  <c r="AU283" i="9" s="1"/>
  <c r="AT283" i="9" a="1"/>
  <c r="AT283" i="9" s="1"/>
  <c r="AS283" i="9" a="1"/>
  <c r="AS283" i="9" s="1"/>
  <c r="AR283" i="9" a="1"/>
  <c r="AR283" i="9" s="1"/>
  <c r="AQ283" i="9" a="1"/>
  <c r="AQ283" i="9" s="1"/>
  <c r="AP283" i="9" a="1"/>
  <c r="AP283" i="9" s="1"/>
  <c r="AO283" i="9" a="1"/>
  <c r="AO283" i="9" s="1"/>
  <c r="AN283" i="9" a="1"/>
  <c r="AN283" i="9" s="1"/>
  <c r="AM283" i="9" a="1"/>
  <c r="AM283" i="9" s="1"/>
  <c r="AL283" i="9" a="1"/>
  <c r="AL283" i="9" s="1"/>
  <c r="AK283" i="9" a="1"/>
  <c r="AK283" i="9" s="1"/>
  <c r="AJ283" i="9" a="1"/>
  <c r="AJ283" i="9" s="1"/>
  <c r="AI283" i="9" a="1"/>
  <c r="AI283" i="9" s="1"/>
  <c r="AH283" i="9" a="1"/>
  <c r="AH283" i="9" s="1"/>
  <c r="AG283" i="9" a="1"/>
  <c r="AG283" i="9" s="1"/>
  <c r="AF283" i="9" a="1"/>
  <c r="AF283" i="9" s="1"/>
  <c r="AE283" i="9" a="1"/>
  <c r="AE283" i="9" s="1"/>
  <c r="AW282" i="9" a="1"/>
  <c r="AW282" i="9" s="1"/>
  <c r="AV282" i="9" a="1"/>
  <c r="AV282" i="9" s="1"/>
  <c r="AU282" i="9" a="1"/>
  <c r="AU282" i="9" s="1"/>
  <c r="AT282" i="9" a="1"/>
  <c r="AT282" i="9" s="1"/>
  <c r="AS282" i="9" a="1"/>
  <c r="AS282" i="9" s="1"/>
  <c r="AR282" i="9" a="1"/>
  <c r="AR282" i="9" s="1"/>
  <c r="AQ282" i="9" a="1"/>
  <c r="AQ282" i="9" s="1"/>
  <c r="AP282" i="9" a="1"/>
  <c r="AP282" i="9" s="1"/>
  <c r="AO282" i="9" a="1"/>
  <c r="AO282" i="9" s="1"/>
  <c r="AN282" i="9" a="1"/>
  <c r="AN282" i="9" s="1"/>
  <c r="AM282" i="9" a="1"/>
  <c r="AM282" i="9" s="1"/>
  <c r="AL282" i="9" a="1"/>
  <c r="AL282" i="9" s="1"/>
  <c r="AK282" i="9" a="1"/>
  <c r="AK282" i="9" s="1"/>
  <c r="AJ282" i="9" a="1"/>
  <c r="AJ282" i="9" s="1"/>
  <c r="AI282" i="9" a="1"/>
  <c r="AI282" i="9" s="1"/>
  <c r="AH282" i="9" a="1"/>
  <c r="AH282" i="9" s="1"/>
  <c r="AG282" i="9" a="1"/>
  <c r="AG282" i="9" s="1"/>
  <c r="AF282" i="9" a="1"/>
  <c r="AF282" i="9" s="1"/>
  <c r="AE282" i="9" a="1"/>
  <c r="AE282" i="9" s="1"/>
  <c r="AW281" i="9" a="1"/>
  <c r="AW281" i="9" s="1"/>
  <c r="AV281" i="9" a="1"/>
  <c r="AV281" i="9" s="1"/>
  <c r="AU281" i="9" a="1"/>
  <c r="AU281" i="9" s="1"/>
  <c r="AT281" i="9" a="1"/>
  <c r="AT281" i="9" s="1"/>
  <c r="AS281" i="9" a="1"/>
  <c r="AS281" i="9" s="1"/>
  <c r="AR281" i="9" a="1"/>
  <c r="AR281" i="9" s="1"/>
  <c r="AQ281" i="9" a="1"/>
  <c r="AQ281" i="9" s="1"/>
  <c r="AP281" i="9" a="1"/>
  <c r="AP281" i="9" s="1"/>
  <c r="AO281" i="9" a="1"/>
  <c r="AO281" i="9" s="1"/>
  <c r="AN281" i="9" a="1"/>
  <c r="AN281" i="9" s="1"/>
  <c r="AM281" i="9" a="1"/>
  <c r="AM281" i="9" s="1"/>
  <c r="AL281" i="9" a="1"/>
  <c r="AL281" i="9" s="1"/>
  <c r="AK281" i="9" a="1"/>
  <c r="AK281" i="9" s="1"/>
  <c r="AJ281" i="9" a="1"/>
  <c r="AJ281" i="9" s="1"/>
  <c r="AI281" i="9" a="1"/>
  <c r="AI281" i="9" s="1"/>
  <c r="AH281" i="9" a="1"/>
  <c r="AH281" i="9" s="1"/>
  <c r="AG281" i="9" a="1"/>
  <c r="AG281" i="9" s="1"/>
  <c r="AF281" i="9" a="1"/>
  <c r="AF281" i="9" s="1"/>
  <c r="AE281" i="9" a="1"/>
  <c r="AE281" i="9" s="1"/>
  <c r="AW280" i="9" a="1"/>
  <c r="AW280" i="9" s="1"/>
  <c r="AV280" i="9" a="1"/>
  <c r="AV280" i="9" s="1"/>
  <c r="AU280" i="9" a="1"/>
  <c r="AU280" i="9" s="1"/>
  <c r="AT280" i="9" a="1"/>
  <c r="AT280" i="9" s="1"/>
  <c r="AS280" i="9" a="1"/>
  <c r="AS280" i="9" s="1"/>
  <c r="AR280" i="9" a="1"/>
  <c r="AR280" i="9" s="1"/>
  <c r="AQ280" i="9" a="1"/>
  <c r="AQ280" i="9" s="1"/>
  <c r="AP280" i="9" a="1"/>
  <c r="AP280" i="9" s="1"/>
  <c r="AO280" i="9" a="1"/>
  <c r="AO280" i="9" s="1"/>
  <c r="AN280" i="9" a="1"/>
  <c r="AN280" i="9" s="1"/>
  <c r="AM280" i="9" a="1"/>
  <c r="AM280" i="9" s="1"/>
  <c r="AL280" i="9" a="1"/>
  <c r="AL280" i="9" s="1"/>
  <c r="AK280" i="9" a="1"/>
  <c r="AK280" i="9" s="1"/>
  <c r="AJ280" i="9" a="1"/>
  <c r="AJ280" i="9" s="1"/>
  <c r="AI280" i="9" a="1"/>
  <c r="AI280" i="9" s="1"/>
  <c r="AH280" i="9" a="1"/>
  <c r="AH280" i="9" s="1"/>
  <c r="AG280" i="9" a="1"/>
  <c r="AG280" i="9" s="1"/>
  <c r="AF280" i="9" a="1"/>
  <c r="AF280" i="9" s="1"/>
  <c r="AE280" i="9" a="1"/>
  <c r="AE280" i="9" s="1"/>
  <c r="AW279" i="9" a="1"/>
  <c r="AW279" i="9" s="1"/>
  <c r="AV279" i="9" a="1"/>
  <c r="AV279" i="9" s="1"/>
  <c r="AU279" i="9" a="1"/>
  <c r="AU279" i="9" s="1"/>
  <c r="AT279" i="9" a="1"/>
  <c r="AT279" i="9" s="1"/>
  <c r="AS279" i="9" a="1"/>
  <c r="AS279" i="9" s="1"/>
  <c r="AR279" i="9" a="1"/>
  <c r="AR279" i="9" s="1"/>
  <c r="AQ279" i="9" a="1"/>
  <c r="AQ279" i="9" s="1"/>
  <c r="AP279" i="9" a="1"/>
  <c r="AP279" i="9" s="1"/>
  <c r="AO279" i="9" a="1"/>
  <c r="AO279" i="9" s="1"/>
  <c r="AN279" i="9" a="1"/>
  <c r="AN279" i="9" s="1"/>
  <c r="AM279" i="9" a="1"/>
  <c r="AM279" i="9" s="1"/>
  <c r="AL279" i="9" a="1"/>
  <c r="AL279" i="9" s="1"/>
  <c r="AK279" i="9" a="1"/>
  <c r="AK279" i="9" s="1"/>
  <c r="AJ279" i="9" a="1"/>
  <c r="AJ279" i="9" s="1"/>
  <c r="AI279" i="9" a="1"/>
  <c r="AI279" i="9" s="1"/>
  <c r="AH279" i="9" a="1"/>
  <c r="AH279" i="9" s="1"/>
  <c r="AG279" i="9" a="1"/>
  <c r="AG279" i="9" s="1"/>
  <c r="AF279" i="9" a="1"/>
  <c r="AF279" i="9" s="1"/>
  <c r="AE279" i="9" a="1"/>
  <c r="AE279" i="9" s="1"/>
  <c r="AW278" i="9" a="1"/>
  <c r="AW278" i="9" s="1"/>
  <c r="AV278" i="9" a="1"/>
  <c r="AV278" i="9" s="1"/>
  <c r="AU278" i="9" a="1"/>
  <c r="AU278" i="9" s="1"/>
  <c r="AT278" i="9" a="1"/>
  <c r="AT278" i="9" s="1"/>
  <c r="AS278" i="9" a="1"/>
  <c r="AS278" i="9" s="1"/>
  <c r="AR278" i="9" a="1"/>
  <c r="AR278" i="9" s="1"/>
  <c r="AQ278" i="9" a="1"/>
  <c r="AQ278" i="9" s="1"/>
  <c r="AP278" i="9" a="1"/>
  <c r="AP278" i="9" s="1"/>
  <c r="AO278" i="9" a="1"/>
  <c r="AO278" i="9" s="1"/>
  <c r="AN278" i="9" a="1"/>
  <c r="AN278" i="9" s="1"/>
  <c r="AM278" i="9" a="1"/>
  <c r="AM278" i="9" s="1"/>
  <c r="AL278" i="9" a="1"/>
  <c r="AL278" i="9" s="1"/>
  <c r="AK278" i="9" a="1"/>
  <c r="AK278" i="9" s="1"/>
  <c r="AJ278" i="9" a="1"/>
  <c r="AJ278" i="9" s="1"/>
  <c r="AI278" i="9" a="1"/>
  <c r="AI278" i="9" s="1"/>
  <c r="AH278" i="9" a="1"/>
  <c r="AH278" i="9" s="1"/>
  <c r="AG278" i="9" a="1"/>
  <c r="AG278" i="9" s="1"/>
  <c r="AF278" i="9" a="1"/>
  <c r="AF278" i="9" s="1"/>
  <c r="AE278" i="9" a="1"/>
  <c r="AE278" i="9" s="1"/>
  <c r="AW277" i="9" a="1"/>
  <c r="AW277" i="9" s="1"/>
  <c r="AV277" i="9" a="1"/>
  <c r="AV277" i="9" s="1"/>
  <c r="AU277" i="9" a="1"/>
  <c r="AU277" i="9" s="1"/>
  <c r="AT277" i="9" a="1"/>
  <c r="AT277" i="9" s="1"/>
  <c r="AS277" i="9" a="1"/>
  <c r="AS277" i="9" s="1"/>
  <c r="AR277" i="9" a="1"/>
  <c r="AR277" i="9" s="1"/>
  <c r="AQ277" i="9" a="1"/>
  <c r="AQ277" i="9" s="1"/>
  <c r="AP277" i="9" a="1"/>
  <c r="AP277" i="9" s="1"/>
  <c r="AO277" i="9" a="1"/>
  <c r="AO277" i="9" s="1"/>
  <c r="AN277" i="9" a="1"/>
  <c r="AN277" i="9" s="1"/>
  <c r="AM277" i="9" a="1"/>
  <c r="AM277" i="9" s="1"/>
  <c r="AL277" i="9" a="1"/>
  <c r="AL277" i="9" s="1"/>
  <c r="AK277" i="9" a="1"/>
  <c r="AK277" i="9" s="1"/>
  <c r="AJ277" i="9" a="1"/>
  <c r="AJ277" i="9" s="1"/>
  <c r="AI277" i="9" a="1"/>
  <c r="AI277" i="9" s="1"/>
  <c r="AH277" i="9" a="1"/>
  <c r="AH277" i="9" s="1"/>
  <c r="AG277" i="9" a="1"/>
  <c r="AG277" i="9" s="1"/>
  <c r="AF277" i="9" a="1"/>
  <c r="AF277" i="9" s="1"/>
  <c r="AE277" i="9" a="1"/>
  <c r="AE277" i="9" s="1"/>
  <c r="AW276" i="9" a="1"/>
  <c r="AW276" i="9" s="1"/>
  <c r="AV276" i="9" a="1"/>
  <c r="AV276" i="9" s="1"/>
  <c r="AU276" i="9" a="1"/>
  <c r="AU276" i="9" s="1"/>
  <c r="AT276" i="9" a="1"/>
  <c r="AT276" i="9" s="1"/>
  <c r="AS276" i="9" a="1"/>
  <c r="AS276" i="9" s="1"/>
  <c r="AR276" i="9" a="1"/>
  <c r="AR276" i="9" s="1"/>
  <c r="AQ276" i="9" a="1"/>
  <c r="AQ276" i="9" s="1"/>
  <c r="AP276" i="9" a="1"/>
  <c r="AP276" i="9" s="1"/>
  <c r="AO276" i="9" a="1"/>
  <c r="AO276" i="9" s="1"/>
  <c r="AN276" i="9" a="1"/>
  <c r="AN276" i="9" s="1"/>
  <c r="AM276" i="9" a="1"/>
  <c r="AM276" i="9" s="1"/>
  <c r="AL276" i="9" a="1"/>
  <c r="AL276" i="9" s="1"/>
  <c r="AK276" i="9" a="1"/>
  <c r="AK276" i="9" s="1"/>
  <c r="AJ276" i="9" a="1"/>
  <c r="AJ276" i="9" s="1"/>
  <c r="AI276" i="9" a="1"/>
  <c r="AI276" i="9" s="1"/>
  <c r="AH276" i="9" a="1"/>
  <c r="AH276" i="9" s="1"/>
  <c r="AG276" i="9" a="1"/>
  <c r="AG276" i="9" s="1"/>
  <c r="AF276" i="9" a="1"/>
  <c r="AF276" i="9" s="1"/>
  <c r="AE276" i="9" a="1"/>
  <c r="AE276" i="9" s="1"/>
  <c r="AW275" i="9" a="1"/>
  <c r="AW275" i="9" s="1"/>
  <c r="AV275" i="9" a="1"/>
  <c r="AV275" i="9" s="1"/>
  <c r="AU275" i="9" a="1"/>
  <c r="AU275" i="9" s="1"/>
  <c r="AT275" i="9" a="1"/>
  <c r="AT275" i="9" s="1"/>
  <c r="AS275" i="9" a="1"/>
  <c r="AS275" i="9" s="1"/>
  <c r="AR275" i="9" a="1"/>
  <c r="AR275" i="9" s="1"/>
  <c r="AQ275" i="9" a="1"/>
  <c r="AQ275" i="9" s="1"/>
  <c r="AP275" i="9" a="1"/>
  <c r="AP275" i="9" s="1"/>
  <c r="AO275" i="9" a="1"/>
  <c r="AO275" i="9" s="1"/>
  <c r="AN275" i="9" a="1"/>
  <c r="AN275" i="9" s="1"/>
  <c r="AM275" i="9" a="1"/>
  <c r="AM275" i="9" s="1"/>
  <c r="AL275" i="9" a="1"/>
  <c r="AL275" i="9" s="1"/>
  <c r="AK275" i="9" a="1"/>
  <c r="AK275" i="9" s="1"/>
  <c r="AJ275" i="9" a="1"/>
  <c r="AJ275" i="9" s="1"/>
  <c r="AI275" i="9" a="1"/>
  <c r="AI275" i="9" s="1"/>
  <c r="AH275" i="9" a="1"/>
  <c r="AH275" i="9" s="1"/>
  <c r="AG275" i="9" a="1"/>
  <c r="AG275" i="9" s="1"/>
  <c r="AF275" i="9" a="1"/>
  <c r="AF275" i="9" s="1"/>
  <c r="AE275" i="9" a="1"/>
  <c r="AE275" i="9" s="1"/>
  <c r="AW274" i="9" a="1"/>
  <c r="AW274" i="9" s="1"/>
  <c r="AV274" i="9" a="1"/>
  <c r="AV274" i="9" s="1"/>
  <c r="AU274" i="9" a="1"/>
  <c r="AU274" i="9" s="1"/>
  <c r="AT274" i="9" a="1"/>
  <c r="AT274" i="9" s="1"/>
  <c r="AS274" i="9" a="1"/>
  <c r="AS274" i="9" s="1"/>
  <c r="AR274" i="9" a="1"/>
  <c r="AR274" i="9" s="1"/>
  <c r="AQ274" i="9" a="1"/>
  <c r="AQ274" i="9" s="1"/>
  <c r="AP274" i="9" a="1"/>
  <c r="AP274" i="9" s="1"/>
  <c r="AO274" i="9" a="1"/>
  <c r="AO274" i="9" s="1"/>
  <c r="AN274" i="9" a="1"/>
  <c r="AN274" i="9" s="1"/>
  <c r="AM274" i="9" a="1"/>
  <c r="AM274" i="9" s="1"/>
  <c r="AL274" i="9" a="1"/>
  <c r="AL274" i="9" s="1"/>
  <c r="AK274" i="9" a="1"/>
  <c r="AK274" i="9" s="1"/>
  <c r="AJ274" i="9" a="1"/>
  <c r="AJ274" i="9" s="1"/>
  <c r="AI274" i="9" a="1"/>
  <c r="AI274" i="9" s="1"/>
  <c r="AH274" i="9" a="1"/>
  <c r="AH274" i="9" s="1"/>
  <c r="AG274" i="9" a="1"/>
  <c r="AG274" i="9" s="1"/>
  <c r="AF274" i="9" a="1"/>
  <c r="AF274" i="9" s="1"/>
  <c r="AE274" i="9" a="1"/>
  <c r="AE274" i="9" s="1"/>
  <c r="AW273" i="9" a="1"/>
  <c r="AW273" i="9" s="1"/>
  <c r="AV273" i="9" a="1"/>
  <c r="AV273" i="9" s="1"/>
  <c r="AU273" i="9" a="1"/>
  <c r="AU273" i="9" s="1"/>
  <c r="AT273" i="9" a="1"/>
  <c r="AT273" i="9" s="1"/>
  <c r="AS273" i="9" a="1"/>
  <c r="AS273" i="9" s="1"/>
  <c r="AR273" i="9" a="1"/>
  <c r="AR273" i="9" s="1"/>
  <c r="AQ273" i="9" a="1"/>
  <c r="AQ273" i="9" s="1"/>
  <c r="AP273" i="9" a="1"/>
  <c r="AP273" i="9" s="1"/>
  <c r="AO273" i="9" a="1"/>
  <c r="AO273" i="9" s="1"/>
  <c r="AN273" i="9" a="1"/>
  <c r="AN273" i="9" s="1"/>
  <c r="AM273" i="9" a="1"/>
  <c r="AM273" i="9" s="1"/>
  <c r="AL273" i="9" a="1"/>
  <c r="AL273" i="9" s="1"/>
  <c r="AK273" i="9" a="1"/>
  <c r="AK273" i="9" s="1"/>
  <c r="AJ273" i="9" a="1"/>
  <c r="AJ273" i="9" s="1"/>
  <c r="AI273" i="9" a="1"/>
  <c r="AI273" i="9" s="1"/>
  <c r="AH273" i="9" a="1"/>
  <c r="AH273" i="9" s="1"/>
  <c r="AG273" i="9" a="1"/>
  <c r="AG273" i="9" s="1"/>
  <c r="AF273" i="9" a="1"/>
  <c r="AF273" i="9" s="1"/>
  <c r="AE273" i="9" a="1"/>
  <c r="AE273" i="9" s="1"/>
  <c r="AW272" i="9" a="1"/>
  <c r="AW272" i="9" s="1"/>
  <c r="AV272" i="9" a="1"/>
  <c r="AV272" i="9" s="1"/>
  <c r="AU272" i="9" a="1"/>
  <c r="AU272" i="9" s="1"/>
  <c r="AT272" i="9" a="1"/>
  <c r="AT272" i="9" s="1"/>
  <c r="AS272" i="9" a="1"/>
  <c r="AS272" i="9" s="1"/>
  <c r="AR272" i="9" a="1"/>
  <c r="AR272" i="9" s="1"/>
  <c r="AQ272" i="9" a="1"/>
  <c r="AQ272" i="9" s="1"/>
  <c r="AP272" i="9" a="1"/>
  <c r="AP272" i="9" s="1"/>
  <c r="AO272" i="9" a="1"/>
  <c r="AO272" i="9" s="1"/>
  <c r="AN272" i="9" a="1"/>
  <c r="AN272" i="9" s="1"/>
  <c r="AM272" i="9" a="1"/>
  <c r="AM272" i="9" s="1"/>
  <c r="AL272" i="9" a="1"/>
  <c r="AL272" i="9" s="1"/>
  <c r="AK272" i="9" a="1"/>
  <c r="AK272" i="9" s="1"/>
  <c r="AJ272" i="9" a="1"/>
  <c r="AJ272" i="9" s="1"/>
  <c r="AI272" i="9" a="1"/>
  <c r="AI272" i="9" s="1"/>
  <c r="AH272" i="9" a="1"/>
  <c r="AH272" i="9" s="1"/>
  <c r="AG272" i="9" a="1"/>
  <c r="AG272" i="9" s="1"/>
  <c r="AF272" i="9" a="1"/>
  <c r="AF272" i="9" s="1"/>
  <c r="AE272" i="9" a="1"/>
  <c r="AE272" i="9" s="1"/>
  <c r="AW271" i="9" a="1"/>
  <c r="AW271" i="9" s="1"/>
  <c r="AV271" i="9" a="1"/>
  <c r="AV271" i="9" s="1"/>
  <c r="AU271" i="9" a="1"/>
  <c r="AU271" i="9" s="1"/>
  <c r="AT271" i="9" a="1"/>
  <c r="AT271" i="9" s="1"/>
  <c r="AS271" i="9" a="1"/>
  <c r="AS271" i="9" s="1"/>
  <c r="AR271" i="9" a="1"/>
  <c r="AR271" i="9" s="1"/>
  <c r="AQ271" i="9" a="1"/>
  <c r="AQ271" i="9" s="1"/>
  <c r="AP271" i="9" a="1"/>
  <c r="AP271" i="9" s="1"/>
  <c r="AO271" i="9" a="1"/>
  <c r="AO271" i="9" s="1"/>
  <c r="AN271" i="9" a="1"/>
  <c r="AN271" i="9" s="1"/>
  <c r="AM271" i="9" a="1"/>
  <c r="AM271" i="9" s="1"/>
  <c r="AL271" i="9" a="1"/>
  <c r="AL271" i="9" s="1"/>
  <c r="AK271" i="9" a="1"/>
  <c r="AK271" i="9" s="1"/>
  <c r="AJ271" i="9" a="1"/>
  <c r="AJ271" i="9" s="1"/>
  <c r="AI271" i="9" a="1"/>
  <c r="AI271" i="9" s="1"/>
  <c r="AH271" i="9" a="1"/>
  <c r="AH271" i="9" s="1"/>
  <c r="AG271" i="9" a="1"/>
  <c r="AG271" i="9" s="1"/>
  <c r="AF271" i="9" a="1"/>
  <c r="AF271" i="9" s="1"/>
  <c r="AE271" i="9" a="1"/>
  <c r="AE271" i="9" s="1"/>
  <c r="AW270" i="9" a="1"/>
  <c r="AW270" i="9" s="1"/>
  <c r="AV270" i="9" a="1"/>
  <c r="AV270" i="9" s="1"/>
  <c r="AU270" i="9" a="1"/>
  <c r="AU270" i="9" s="1"/>
  <c r="AT270" i="9" a="1"/>
  <c r="AT270" i="9" s="1"/>
  <c r="AS270" i="9" a="1"/>
  <c r="AS270" i="9" s="1"/>
  <c r="AR270" i="9" a="1"/>
  <c r="AR270" i="9" s="1"/>
  <c r="AQ270" i="9" a="1"/>
  <c r="AQ270" i="9" s="1"/>
  <c r="AP270" i="9" a="1"/>
  <c r="AP270" i="9" s="1"/>
  <c r="AO270" i="9" a="1"/>
  <c r="AO270" i="9" s="1"/>
  <c r="AN270" i="9" a="1"/>
  <c r="AN270" i="9" s="1"/>
  <c r="AM270" i="9" a="1"/>
  <c r="AM270" i="9" s="1"/>
  <c r="AL270" i="9" a="1"/>
  <c r="AL270" i="9" s="1"/>
  <c r="AK270" i="9" a="1"/>
  <c r="AK270" i="9" s="1"/>
  <c r="AJ270" i="9" a="1"/>
  <c r="AJ270" i="9" s="1"/>
  <c r="AI270" i="9" a="1"/>
  <c r="AI270" i="9" s="1"/>
  <c r="AH270" i="9" a="1"/>
  <c r="AH270" i="9" s="1"/>
  <c r="AG270" i="9" a="1"/>
  <c r="AG270" i="9" s="1"/>
  <c r="AF270" i="9" a="1"/>
  <c r="AF270" i="9" s="1"/>
  <c r="AE270" i="9" a="1"/>
  <c r="AE270" i="9" s="1"/>
  <c r="AW269" i="9" a="1"/>
  <c r="AW269" i="9" s="1"/>
  <c r="AV269" i="9" a="1"/>
  <c r="AV269" i="9" s="1"/>
  <c r="AU269" i="9" a="1"/>
  <c r="AU269" i="9" s="1"/>
  <c r="AT269" i="9" a="1"/>
  <c r="AT269" i="9" s="1"/>
  <c r="AS269" i="9" a="1"/>
  <c r="AS269" i="9" s="1"/>
  <c r="AR269" i="9" a="1"/>
  <c r="AR269" i="9" s="1"/>
  <c r="AQ269" i="9" a="1"/>
  <c r="AQ269" i="9" s="1"/>
  <c r="AP269" i="9" a="1"/>
  <c r="AP269" i="9" s="1"/>
  <c r="AO269" i="9" a="1"/>
  <c r="AO269" i="9" s="1"/>
  <c r="AN269" i="9" a="1"/>
  <c r="AN269" i="9" s="1"/>
  <c r="AM269" i="9" a="1"/>
  <c r="AM269" i="9" s="1"/>
  <c r="AL269" i="9" a="1"/>
  <c r="AL269" i="9" s="1"/>
  <c r="AK269" i="9" a="1"/>
  <c r="AK269" i="9" s="1"/>
  <c r="AJ269" i="9" a="1"/>
  <c r="AJ269" i="9" s="1"/>
  <c r="AI269" i="9" a="1"/>
  <c r="AI269" i="9" s="1"/>
  <c r="AH269" i="9" a="1"/>
  <c r="AH269" i="9" s="1"/>
  <c r="AG269" i="9" a="1"/>
  <c r="AG269" i="9" s="1"/>
  <c r="AF269" i="9" a="1"/>
  <c r="AF269" i="9" s="1"/>
  <c r="AE269" i="9" a="1"/>
  <c r="AE269" i="9" s="1"/>
  <c r="AW268" i="9" a="1"/>
  <c r="AW268" i="9" s="1"/>
  <c r="AV268" i="9" a="1"/>
  <c r="AV268" i="9" s="1"/>
  <c r="AU268" i="9" a="1"/>
  <c r="AU268" i="9" s="1"/>
  <c r="AT268" i="9" a="1"/>
  <c r="AT268" i="9" s="1"/>
  <c r="AS268" i="9" a="1"/>
  <c r="AS268" i="9" s="1"/>
  <c r="AR268" i="9" a="1"/>
  <c r="AR268" i="9" s="1"/>
  <c r="AQ268" i="9" a="1"/>
  <c r="AQ268" i="9" s="1"/>
  <c r="AP268" i="9" a="1"/>
  <c r="AP268" i="9" s="1"/>
  <c r="AO268" i="9" a="1"/>
  <c r="AO268" i="9" s="1"/>
  <c r="AN268" i="9" a="1"/>
  <c r="AN268" i="9" s="1"/>
  <c r="AM268" i="9" a="1"/>
  <c r="AM268" i="9" s="1"/>
  <c r="AL268" i="9" a="1"/>
  <c r="AL268" i="9" s="1"/>
  <c r="AK268" i="9" a="1"/>
  <c r="AK268" i="9" s="1"/>
  <c r="AJ268" i="9" a="1"/>
  <c r="AJ268" i="9" s="1"/>
  <c r="AI268" i="9" a="1"/>
  <c r="AI268" i="9" s="1"/>
  <c r="AH268" i="9" a="1"/>
  <c r="AH268" i="9" s="1"/>
  <c r="AG268" i="9" a="1"/>
  <c r="AG268" i="9" s="1"/>
  <c r="AF268" i="9" a="1"/>
  <c r="AF268" i="9" s="1"/>
  <c r="AE268" i="9" a="1"/>
  <c r="AE268" i="9" s="1"/>
  <c r="AW267" i="9" a="1"/>
  <c r="AW267" i="9" s="1"/>
  <c r="AV267" i="9" a="1"/>
  <c r="AV267" i="9" s="1"/>
  <c r="AU267" i="9" a="1"/>
  <c r="AU267" i="9" s="1"/>
  <c r="AT267" i="9" a="1"/>
  <c r="AT267" i="9" s="1"/>
  <c r="AS267" i="9" a="1"/>
  <c r="AS267" i="9" s="1"/>
  <c r="AR267" i="9" a="1"/>
  <c r="AR267" i="9" s="1"/>
  <c r="AQ267" i="9" a="1"/>
  <c r="AQ267" i="9" s="1"/>
  <c r="AP267" i="9" a="1"/>
  <c r="AP267" i="9" s="1"/>
  <c r="AO267" i="9" a="1"/>
  <c r="AO267" i="9" s="1"/>
  <c r="AN267" i="9" a="1"/>
  <c r="AN267" i="9" s="1"/>
  <c r="AM267" i="9" a="1"/>
  <c r="AM267" i="9" s="1"/>
  <c r="AL267" i="9" a="1"/>
  <c r="AL267" i="9" s="1"/>
  <c r="AK267" i="9" a="1"/>
  <c r="AK267" i="9" s="1"/>
  <c r="AJ267" i="9" a="1"/>
  <c r="AJ267" i="9" s="1"/>
  <c r="AI267" i="9" a="1"/>
  <c r="AI267" i="9" s="1"/>
  <c r="AH267" i="9" a="1"/>
  <c r="AH267" i="9" s="1"/>
  <c r="AG267" i="9" a="1"/>
  <c r="AG267" i="9" s="1"/>
  <c r="AF267" i="9" a="1"/>
  <c r="AF267" i="9" s="1"/>
  <c r="AE267" i="9" a="1"/>
  <c r="AE267" i="9" s="1"/>
  <c r="AW266" i="9" a="1"/>
  <c r="AW266" i="9" s="1"/>
  <c r="AV266" i="9" a="1"/>
  <c r="AV266" i="9" s="1"/>
  <c r="AU266" i="9" a="1"/>
  <c r="AU266" i="9" s="1"/>
  <c r="AT266" i="9" a="1"/>
  <c r="AT266" i="9" s="1"/>
  <c r="AS266" i="9" a="1"/>
  <c r="AS266" i="9" s="1"/>
  <c r="AR266" i="9" a="1"/>
  <c r="AR266" i="9" s="1"/>
  <c r="AQ266" i="9" a="1"/>
  <c r="AQ266" i="9" s="1"/>
  <c r="AP266" i="9" a="1"/>
  <c r="AP266" i="9" s="1"/>
  <c r="AO266" i="9" a="1"/>
  <c r="AO266" i="9" s="1"/>
  <c r="AN266" i="9" a="1"/>
  <c r="AN266" i="9" s="1"/>
  <c r="AM266" i="9" a="1"/>
  <c r="AM266" i="9" s="1"/>
  <c r="AL266" i="9" a="1"/>
  <c r="AL266" i="9" s="1"/>
  <c r="AK266" i="9" a="1"/>
  <c r="AK266" i="9" s="1"/>
  <c r="AJ266" i="9" a="1"/>
  <c r="AJ266" i="9" s="1"/>
  <c r="AI266" i="9" a="1"/>
  <c r="AI266" i="9" s="1"/>
  <c r="AH266" i="9" a="1"/>
  <c r="AH266" i="9" s="1"/>
  <c r="AG266" i="9" a="1"/>
  <c r="AG266" i="9" s="1"/>
  <c r="AF266" i="9" a="1"/>
  <c r="AF266" i="9" s="1"/>
  <c r="AE266" i="9" a="1"/>
  <c r="AE266" i="9" s="1"/>
  <c r="AW265" i="9" a="1"/>
  <c r="AW265" i="9" s="1"/>
  <c r="AV265" i="9" a="1"/>
  <c r="AV265" i="9" s="1"/>
  <c r="AU265" i="9" a="1"/>
  <c r="AU265" i="9" s="1"/>
  <c r="AT265" i="9" a="1"/>
  <c r="AT265" i="9" s="1"/>
  <c r="AS265" i="9" a="1"/>
  <c r="AS265" i="9" s="1"/>
  <c r="AR265" i="9" a="1"/>
  <c r="AR265" i="9" s="1"/>
  <c r="AQ265" i="9" a="1"/>
  <c r="AQ265" i="9" s="1"/>
  <c r="AP265" i="9" a="1"/>
  <c r="AP265" i="9" s="1"/>
  <c r="AO265" i="9" a="1"/>
  <c r="AO265" i="9" s="1"/>
  <c r="AN265" i="9" a="1"/>
  <c r="AN265" i="9" s="1"/>
  <c r="AM265" i="9" a="1"/>
  <c r="AM265" i="9" s="1"/>
  <c r="AL265" i="9" a="1"/>
  <c r="AL265" i="9" s="1"/>
  <c r="AK265" i="9" a="1"/>
  <c r="AK265" i="9" s="1"/>
  <c r="AJ265" i="9" a="1"/>
  <c r="AJ265" i="9" s="1"/>
  <c r="AI265" i="9" a="1"/>
  <c r="AI265" i="9" s="1"/>
  <c r="AH265" i="9" a="1"/>
  <c r="AH265" i="9" s="1"/>
  <c r="AG265" i="9" a="1"/>
  <c r="AG265" i="9" s="1"/>
  <c r="AF265" i="9" a="1"/>
  <c r="AF265" i="9" s="1"/>
  <c r="AE265" i="9" a="1"/>
  <c r="AE265" i="9" s="1"/>
  <c r="AW264" i="9" a="1"/>
  <c r="AW264" i="9" s="1"/>
  <c r="AV264" i="9" a="1"/>
  <c r="AV264" i="9" s="1"/>
  <c r="AU264" i="9" a="1"/>
  <c r="AU264" i="9" s="1"/>
  <c r="AT264" i="9" a="1"/>
  <c r="AT264" i="9" s="1"/>
  <c r="AS264" i="9" a="1"/>
  <c r="AS264" i="9" s="1"/>
  <c r="AR264" i="9" a="1"/>
  <c r="AR264" i="9" s="1"/>
  <c r="AQ264" i="9" a="1"/>
  <c r="AQ264" i="9" s="1"/>
  <c r="AP264" i="9" a="1"/>
  <c r="AP264" i="9" s="1"/>
  <c r="AO264" i="9" a="1"/>
  <c r="AO264" i="9" s="1"/>
  <c r="AN264" i="9" a="1"/>
  <c r="AN264" i="9" s="1"/>
  <c r="AM264" i="9" a="1"/>
  <c r="AM264" i="9" s="1"/>
  <c r="AL264" i="9" a="1"/>
  <c r="AL264" i="9" s="1"/>
  <c r="AK264" i="9" a="1"/>
  <c r="AK264" i="9" s="1"/>
  <c r="AJ264" i="9" a="1"/>
  <c r="AJ264" i="9" s="1"/>
  <c r="AI264" i="9" a="1"/>
  <c r="AI264" i="9" s="1"/>
  <c r="AH264" i="9" a="1"/>
  <c r="AH264" i="9" s="1"/>
  <c r="AG264" i="9" a="1"/>
  <c r="AG264" i="9" s="1"/>
  <c r="AF264" i="9" a="1"/>
  <c r="AF264" i="9" s="1"/>
  <c r="AE264" i="9" a="1"/>
  <c r="AE264" i="9" s="1"/>
  <c r="AW262" i="9" a="1"/>
  <c r="AW262" i="9" s="1"/>
  <c r="AV262" i="9" a="1"/>
  <c r="AV262" i="9" s="1"/>
  <c r="AU262" i="9" a="1"/>
  <c r="AU262" i="9" s="1"/>
  <c r="AT262" i="9" a="1"/>
  <c r="AT262" i="9" s="1"/>
  <c r="AS262" i="9" a="1"/>
  <c r="AS262" i="9" s="1"/>
  <c r="AR262" i="9" a="1"/>
  <c r="AR262" i="9" s="1"/>
  <c r="AQ262" i="9" a="1"/>
  <c r="AQ262" i="9" s="1"/>
  <c r="AP262" i="9" a="1"/>
  <c r="AP262" i="9" s="1"/>
  <c r="AO262" i="9" a="1"/>
  <c r="AO262" i="9" s="1"/>
  <c r="AN262" i="9" a="1"/>
  <c r="AN262" i="9" s="1"/>
  <c r="AM262" i="9" a="1"/>
  <c r="AM262" i="9" s="1"/>
  <c r="AL262" i="9" a="1"/>
  <c r="AL262" i="9" s="1"/>
  <c r="AK262" i="9" a="1"/>
  <c r="AK262" i="9" s="1"/>
  <c r="AJ262" i="9" a="1"/>
  <c r="AJ262" i="9" s="1"/>
  <c r="AI262" i="9" a="1"/>
  <c r="AI262" i="9" s="1"/>
  <c r="AH262" i="9" a="1"/>
  <c r="AH262" i="9" s="1"/>
  <c r="AG262" i="9" a="1"/>
  <c r="AG262" i="9" s="1"/>
  <c r="AF262" i="9" a="1"/>
  <c r="AF262" i="9" s="1"/>
  <c r="BH261" i="9" a="1"/>
  <c r="BH261" i="9" s="1"/>
  <c r="BB262" i="9" a="1"/>
  <c r="BB262" i="9" s="1"/>
  <c r="AY262" i="9" a="1"/>
  <c r="AY262" i="9" s="1"/>
  <c r="BB265" i="9" a="1"/>
  <c r="BB265" i="9" s="1"/>
  <c r="BB266" i="9" a="1"/>
  <c r="BB266" i="9" s="1"/>
  <c r="BB267" i="9" a="1"/>
  <c r="BB267" i="9" s="1"/>
  <c r="BB268" i="9" a="1"/>
  <c r="BB268" i="9" s="1"/>
  <c r="BB269" i="9" a="1"/>
  <c r="BB269" i="9" s="1"/>
  <c r="BB270" i="9" a="1"/>
  <c r="BB270" i="9" s="1"/>
  <c r="BB271" i="9" a="1"/>
  <c r="BB271" i="9" s="1"/>
  <c r="BB272" i="9" a="1"/>
  <c r="BB272" i="9" s="1"/>
  <c r="BB273" i="9" a="1"/>
  <c r="BB273" i="9" s="1"/>
  <c r="BB274" i="9" a="1"/>
  <c r="BB274" i="9" s="1"/>
  <c r="BB275" i="9" a="1"/>
  <c r="BB275" i="9" s="1"/>
  <c r="BB276" i="9" a="1"/>
  <c r="BB276" i="9" s="1"/>
  <c r="BB277" i="9" a="1"/>
  <c r="BB277" i="9" s="1"/>
  <c r="BB278" i="9" a="1"/>
  <c r="BB278" i="9" s="1"/>
  <c r="BB279" i="9" a="1"/>
  <c r="BB279" i="9" s="1"/>
  <c r="BB280" i="9" a="1"/>
  <c r="BB280" i="9" s="1"/>
  <c r="BB281" i="9" a="1"/>
  <c r="BB281" i="9" s="1"/>
  <c r="BB282" i="9" a="1"/>
  <c r="BB282" i="9" s="1"/>
  <c r="BB283" i="9" a="1"/>
  <c r="BB283" i="9" s="1"/>
  <c r="BB264" i="9" a="1"/>
  <c r="BB264" i="9" s="1"/>
  <c r="AY265" i="9" a="1"/>
  <c r="AY265" i="9" s="1"/>
  <c r="AY266" i="9" a="1"/>
  <c r="AY266" i="9" s="1"/>
  <c r="AY267" i="9" a="1"/>
  <c r="AY267" i="9" s="1"/>
  <c r="AY268" i="9" a="1"/>
  <c r="AY268" i="9" s="1"/>
  <c r="AY269" i="9" a="1"/>
  <c r="AY269" i="9" s="1"/>
  <c r="AY270" i="9" a="1"/>
  <c r="AY270" i="9" s="1"/>
  <c r="AY271" i="9" a="1"/>
  <c r="AY271" i="9" s="1"/>
  <c r="AY272" i="9" a="1"/>
  <c r="AY272" i="9" s="1"/>
  <c r="AY273" i="9" a="1"/>
  <c r="AY273" i="9" s="1"/>
  <c r="AY274" i="9" a="1"/>
  <c r="AY274" i="9" s="1"/>
  <c r="AY275" i="9" a="1"/>
  <c r="AY275" i="9" s="1"/>
  <c r="AY276" i="9" a="1"/>
  <c r="AY276" i="9" s="1"/>
  <c r="AY277" i="9" a="1"/>
  <c r="AY277" i="9" s="1"/>
  <c r="AY278" i="9" a="1"/>
  <c r="AY278" i="9" s="1"/>
  <c r="AY279" i="9" a="1"/>
  <c r="AY279" i="9" s="1"/>
  <c r="AY280" i="9" a="1"/>
  <c r="AY280" i="9" s="1"/>
  <c r="AY281" i="9" a="1"/>
  <c r="AY281" i="9" s="1"/>
  <c r="AY282" i="9" a="1"/>
  <c r="AY282" i="9" s="1"/>
  <c r="AY283" i="9" a="1"/>
  <c r="AY283" i="9" s="1"/>
  <c r="AY264" i="9" a="1"/>
  <c r="AY264" i="9" s="1"/>
  <c r="P219" i="9" a="1"/>
  <c r="P219" i="9" s="1"/>
  <c r="E217" i="9"/>
  <c r="E219" i="9"/>
  <c r="C88" i="10" s="1"/>
  <c r="X238" i="9" a="1"/>
  <c r="X238" i="9" s="1"/>
  <c r="X237" i="9" a="1"/>
  <c r="X237" i="9" s="1"/>
  <c r="X236" i="9" a="1"/>
  <c r="X236" i="9" s="1"/>
  <c r="X235" i="9" a="1"/>
  <c r="X235" i="9" s="1"/>
  <c r="X234" i="9" a="1"/>
  <c r="X234" i="9" s="1"/>
  <c r="X233" i="9" a="1"/>
  <c r="X233" i="9" s="1"/>
  <c r="X232" i="9" a="1"/>
  <c r="X232" i="9" s="1"/>
  <c r="X231" i="9" a="1"/>
  <c r="X231" i="9" s="1"/>
  <c r="X230" i="9" a="1"/>
  <c r="X230" i="9" s="1"/>
  <c r="X229" i="9" a="1"/>
  <c r="X229" i="9" s="1"/>
  <c r="X228" i="9" a="1"/>
  <c r="X228" i="9" s="1"/>
  <c r="X227" i="9" a="1"/>
  <c r="X227" i="9" s="1"/>
  <c r="X226" i="9" a="1"/>
  <c r="X226" i="9" s="1"/>
  <c r="X225" i="9" a="1"/>
  <c r="X225" i="9" s="1"/>
  <c r="X224" i="9" a="1"/>
  <c r="X224" i="9" s="1"/>
  <c r="X223" i="9" a="1"/>
  <c r="X223" i="9" s="1"/>
  <c r="X222" i="9" a="1"/>
  <c r="X222" i="9" s="1"/>
  <c r="X221" i="9" a="1"/>
  <c r="X221" i="9" s="1"/>
  <c r="X220" i="9" a="1"/>
  <c r="X220" i="9" s="1"/>
  <c r="X219" i="9" a="1"/>
  <c r="X219" i="9" s="1"/>
  <c r="X217" i="9" a="1"/>
  <c r="X217" i="9" s="1"/>
  <c r="U217" i="9" a="1"/>
  <c r="U217" i="9" s="1"/>
  <c r="U220" i="9" a="1"/>
  <c r="U220" i="9" s="1"/>
  <c r="U221" i="9" a="1"/>
  <c r="U221" i="9" s="1"/>
  <c r="U222" i="9" a="1"/>
  <c r="U222" i="9" s="1"/>
  <c r="U223" i="9" a="1"/>
  <c r="U223" i="9" s="1"/>
  <c r="U224" i="9" a="1"/>
  <c r="U224" i="9" s="1"/>
  <c r="U225" i="9" a="1"/>
  <c r="U225" i="9" s="1"/>
  <c r="U226" i="9" a="1"/>
  <c r="U226" i="9" s="1"/>
  <c r="U227" i="9" a="1"/>
  <c r="U227" i="9" s="1"/>
  <c r="U228" i="9" a="1"/>
  <c r="U228" i="9" s="1"/>
  <c r="U229" i="9" a="1"/>
  <c r="U229" i="9" s="1"/>
  <c r="U230" i="9" a="1"/>
  <c r="U230" i="9" s="1"/>
  <c r="U231" i="9" a="1"/>
  <c r="U231" i="9" s="1"/>
  <c r="U232" i="9" a="1"/>
  <c r="U232" i="9" s="1"/>
  <c r="U233" i="9" a="1"/>
  <c r="U233" i="9" s="1"/>
  <c r="U234" i="9" a="1"/>
  <c r="U234" i="9" s="1"/>
  <c r="U235" i="9" a="1"/>
  <c r="U235" i="9" s="1"/>
  <c r="U236" i="9" a="1"/>
  <c r="U236" i="9" s="1"/>
  <c r="U237" i="9" a="1"/>
  <c r="U237" i="9" s="1"/>
  <c r="U238" i="9" a="1"/>
  <c r="U238" i="9" s="1"/>
  <c r="U219" i="9" a="1"/>
  <c r="U219" i="9" s="1"/>
  <c r="S217" i="9" a="1"/>
  <c r="S217" i="9" s="1"/>
  <c r="R217" i="9" a="1"/>
  <c r="R217" i="9" s="1"/>
  <c r="Q217" i="9" a="1"/>
  <c r="Q217" i="9" s="1"/>
  <c r="Q219" i="9" a="1"/>
  <c r="Q219" i="9" s="1"/>
  <c r="R219" i="9" a="1"/>
  <c r="R219" i="9" s="1"/>
  <c r="S219" i="9" a="1"/>
  <c r="S219" i="9" s="1"/>
  <c r="P220" i="9" a="1"/>
  <c r="P220" i="9" s="1"/>
  <c r="Q220" i="9" a="1"/>
  <c r="Q220" i="9" s="1"/>
  <c r="R220" i="9" a="1"/>
  <c r="R220" i="9" s="1"/>
  <c r="S220" i="9" a="1"/>
  <c r="S220" i="9" s="1"/>
  <c r="P221" i="9" a="1"/>
  <c r="P221" i="9" s="1"/>
  <c r="Q221" i="9" a="1"/>
  <c r="Q221" i="9" s="1"/>
  <c r="R221" i="9" a="1"/>
  <c r="R221" i="9" s="1"/>
  <c r="S221" i="9" a="1"/>
  <c r="S221" i="9" s="1"/>
  <c r="P222" i="9" a="1"/>
  <c r="P222" i="9" s="1"/>
  <c r="Q222" i="9" a="1"/>
  <c r="Q222" i="9" s="1"/>
  <c r="R222" i="9" a="1"/>
  <c r="R222" i="9" s="1"/>
  <c r="S222" i="9" a="1"/>
  <c r="S222" i="9" s="1"/>
  <c r="P223" i="9" a="1"/>
  <c r="P223" i="9" s="1"/>
  <c r="Q223" i="9" a="1"/>
  <c r="Q223" i="9" s="1"/>
  <c r="R223" i="9" a="1"/>
  <c r="R223" i="9" s="1"/>
  <c r="S223" i="9" a="1"/>
  <c r="S223" i="9" s="1"/>
  <c r="P224" i="9" a="1"/>
  <c r="P224" i="9" s="1"/>
  <c r="Q224" i="9" a="1"/>
  <c r="Q224" i="9" s="1"/>
  <c r="R224" i="9" a="1"/>
  <c r="R224" i="9" s="1"/>
  <c r="S224" i="9" a="1"/>
  <c r="S224" i="9" s="1"/>
  <c r="P225" i="9" a="1"/>
  <c r="P225" i="9" s="1"/>
  <c r="Q225" i="9" a="1"/>
  <c r="Q225" i="9" s="1"/>
  <c r="R225" i="9" a="1"/>
  <c r="R225" i="9" s="1"/>
  <c r="S225" i="9" a="1"/>
  <c r="S225" i="9" s="1"/>
  <c r="P226" i="9" a="1"/>
  <c r="P226" i="9" s="1"/>
  <c r="Q226" i="9" a="1"/>
  <c r="Q226" i="9" s="1"/>
  <c r="R226" i="9" a="1"/>
  <c r="R226" i="9" s="1"/>
  <c r="S226" i="9" a="1"/>
  <c r="S226" i="9" s="1"/>
  <c r="P227" i="9" a="1"/>
  <c r="P227" i="9" s="1"/>
  <c r="Q227" i="9" a="1"/>
  <c r="Q227" i="9" s="1"/>
  <c r="R227" i="9" a="1"/>
  <c r="R227" i="9" s="1"/>
  <c r="S227" i="9" a="1"/>
  <c r="S227" i="9" s="1"/>
  <c r="P228" i="9" a="1"/>
  <c r="P228" i="9" s="1"/>
  <c r="Q228" i="9" a="1"/>
  <c r="Q228" i="9" s="1"/>
  <c r="R228" i="9" a="1"/>
  <c r="R228" i="9" s="1"/>
  <c r="S228" i="9" a="1"/>
  <c r="S228" i="9" s="1"/>
  <c r="P229" i="9" a="1"/>
  <c r="P229" i="9" s="1"/>
  <c r="Q229" i="9" a="1"/>
  <c r="Q229" i="9" s="1"/>
  <c r="R229" i="9" a="1"/>
  <c r="R229" i="9" s="1"/>
  <c r="S229" i="9" a="1"/>
  <c r="S229" i="9" s="1"/>
  <c r="P230" i="9" a="1"/>
  <c r="P230" i="9" s="1"/>
  <c r="Q230" i="9" a="1"/>
  <c r="Q230" i="9" s="1"/>
  <c r="R230" i="9" a="1"/>
  <c r="R230" i="9" s="1"/>
  <c r="S230" i="9" a="1"/>
  <c r="S230" i="9" s="1"/>
  <c r="P231" i="9" a="1"/>
  <c r="P231" i="9" s="1"/>
  <c r="Q231" i="9" a="1"/>
  <c r="Q231" i="9" s="1"/>
  <c r="R231" i="9" a="1"/>
  <c r="R231" i="9" s="1"/>
  <c r="S231" i="9" a="1"/>
  <c r="S231" i="9" s="1"/>
  <c r="P232" i="9" a="1"/>
  <c r="P232" i="9" s="1"/>
  <c r="Q232" i="9" a="1"/>
  <c r="Q232" i="9" s="1"/>
  <c r="R232" i="9" a="1"/>
  <c r="R232" i="9" s="1"/>
  <c r="S232" i="9" a="1"/>
  <c r="S232" i="9" s="1"/>
  <c r="P233" i="9" a="1"/>
  <c r="P233" i="9" s="1"/>
  <c r="Q233" i="9" a="1"/>
  <c r="Q233" i="9" s="1"/>
  <c r="R233" i="9" a="1"/>
  <c r="R233" i="9" s="1"/>
  <c r="S233" i="9" a="1"/>
  <c r="S233" i="9" s="1"/>
  <c r="P234" i="9" a="1"/>
  <c r="P234" i="9" s="1"/>
  <c r="Q234" i="9" a="1"/>
  <c r="Q234" i="9" s="1"/>
  <c r="R234" i="9" a="1"/>
  <c r="R234" i="9" s="1"/>
  <c r="S234" i="9" a="1"/>
  <c r="S234" i="9" s="1"/>
  <c r="P235" i="9" a="1"/>
  <c r="P235" i="9" s="1"/>
  <c r="Q235" i="9" a="1"/>
  <c r="Q235" i="9" s="1"/>
  <c r="R235" i="9" a="1"/>
  <c r="R235" i="9" s="1"/>
  <c r="S235" i="9" a="1"/>
  <c r="S235" i="9" s="1"/>
  <c r="P236" i="9" a="1"/>
  <c r="P236" i="9" s="1"/>
  <c r="Q236" i="9" a="1"/>
  <c r="Q236" i="9" s="1"/>
  <c r="R236" i="9" a="1"/>
  <c r="R236" i="9" s="1"/>
  <c r="S236" i="9" a="1"/>
  <c r="S236" i="9" s="1"/>
  <c r="P237" i="9" a="1"/>
  <c r="P237" i="9" s="1"/>
  <c r="Q237" i="9" a="1"/>
  <c r="Q237" i="9" s="1"/>
  <c r="R237" i="9" a="1"/>
  <c r="R237" i="9" s="1"/>
  <c r="S237" i="9" a="1"/>
  <c r="S237" i="9" s="1"/>
  <c r="P238" i="9" a="1"/>
  <c r="P238" i="9" s="1"/>
  <c r="Q238" i="9" a="1"/>
  <c r="Q238" i="9" s="1"/>
  <c r="R238" i="9" a="1"/>
  <c r="R238" i="9" s="1"/>
  <c r="S238" i="9" a="1"/>
  <c r="S238" i="9" s="1"/>
  <c r="O175" i="9" a="1"/>
  <c r="O175" i="9" s="1"/>
  <c r="L175" i="9" a="1"/>
  <c r="L175" i="9" s="1"/>
  <c r="J175" i="9" a="1"/>
  <c r="J175" i="9" s="1"/>
  <c r="N178" i="9" a="1"/>
  <c r="N178" i="9" s="1"/>
  <c r="N179" i="9" a="1"/>
  <c r="N179" i="9" s="1"/>
  <c r="N180" i="9" a="1"/>
  <c r="N180" i="9" s="1"/>
  <c r="N181" i="9" a="1"/>
  <c r="N181" i="9" s="1"/>
  <c r="N182" i="9" a="1"/>
  <c r="N182" i="9" s="1"/>
  <c r="N183" i="9" a="1"/>
  <c r="N183" i="9" s="1"/>
  <c r="N184" i="9" a="1"/>
  <c r="N184" i="9" s="1"/>
  <c r="N185" i="9" a="1"/>
  <c r="N185" i="9" s="1"/>
  <c r="N186" i="9" a="1"/>
  <c r="N186" i="9" s="1"/>
  <c r="N187" i="9" a="1"/>
  <c r="N187" i="9" s="1"/>
  <c r="N188" i="9" a="1"/>
  <c r="N188" i="9" s="1"/>
  <c r="N189" i="9" a="1"/>
  <c r="N189" i="9" s="1"/>
  <c r="N190" i="9" a="1"/>
  <c r="N190" i="9" s="1"/>
  <c r="N191" i="9" a="1"/>
  <c r="N191" i="9" s="1"/>
  <c r="N192" i="9" a="1"/>
  <c r="N192" i="9" s="1"/>
  <c r="N193" i="9" a="1"/>
  <c r="N193" i="9" s="1"/>
  <c r="N194" i="9" a="1"/>
  <c r="N194" i="9" s="1"/>
  <c r="N195" i="9" a="1"/>
  <c r="N195" i="9" s="1"/>
  <c r="N196" i="9" a="1"/>
  <c r="N196" i="9" s="1"/>
  <c r="N177" i="9" a="1"/>
  <c r="N177" i="9" s="1"/>
  <c r="L177" i="9" a="1"/>
  <c r="L177" i="9" s="1"/>
  <c r="L178" i="9" a="1"/>
  <c r="L178" i="9" s="1"/>
  <c r="L179" i="9" a="1"/>
  <c r="L179" i="9" s="1"/>
  <c r="L180" i="9" a="1"/>
  <c r="L180" i="9" s="1"/>
  <c r="L181" i="9" a="1"/>
  <c r="L181" i="9" s="1"/>
  <c r="L182" i="9" a="1"/>
  <c r="L182" i="9" s="1"/>
  <c r="L183" i="9" a="1"/>
  <c r="L183" i="9" s="1"/>
  <c r="L184" i="9" a="1"/>
  <c r="L184" i="9" s="1"/>
  <c r="L185" i="9" a="1"/>
  <c r="L185" i="9" s="1"/>
  <c r="L186" i="9" a="1"/>
  <c r="L186" i="9" s="1"/>
  <c r="L187" i="9" a="1"/>
  <c r="L187" i="9" s="1"/>
  <c r="L188" i="9" a="1"/>
  <c r="L188" i="9" s="1"/>
  <c r="L189" i="9" a="1"/>
  <c r="L189" i="9" s="1"/>
  <c r="L190" i="9" a="1"/>
  <c r="L190" i="9" s="1"/>
  <c r="L191" i="9" a="1"/>
  <c r="L191" i="9" s="1"/>
  <c r="L192" i="9" a="1"/>
  <c r="L192" i="9" s="1"/>
  <c r="L193" i="9" a="1"/>
  <c r="L193" i="9" s="1"/>
  <c r="L194" i="9" a="1"/>
  <c r="L194" i="9" s="1"/>
  <c r="L195" i="9" a="1"/>
  <c r="L195" i="9" s="1"/>
  <c r="L196" i="9" a="1"/>
  <c r="L196" i="9" s="1"/>
  <c r="K178" i="9" a="1"/>
  <c r="K178" i="9" s="1"/>
  <c r="K179" i="9" a="1"/>
  <c r="K179" i="9" s="1"/>
  <c r="K180" i="9" a="1"/>
  <c r="K180" i="9" s="1"/>
  <c r="K181" i="9" a="1"/>
  <c r="K181" i="9" s="1"/>
  <c r="K182" i="9" a="1"/>
  <c r="K182" i="9" s="1"/>
  <c r="K183" i="9" a="1"/>
  <c r="K183" i="9" s="1"/>
  <c r="K184" i="9" a="1"/>
  <c r="K184" i="9" s="1"/>
  <c r="K185" i="9" a="1"/>
  <c r="K185" i="9" s="1"/>
  <c r="K186" i="9" a="1"/>
  <c r="K186" i="9" s="1"/>
  <c r="K187" i="9" a="1"/>
  <c r="K187" i="9" s="1"/>
  <c r="K188" i="9" a="1"/>
  <c r="K188" i="9" s="1"/>
  <c r="K189" i="9" a="1"/>
  <c r="K189" i="9" s="1"/>
  <c r="K190" i="9" a="1"/>
  <c r="K190" i="9" s="1"/>
  <c r="K191" i="9" a="1"/>
  <c r="K191" i="9" s="1"/>
  <c r="K192" i="9" a="1"/>
  <c r="K192" i="9" s="1"/>
  <c r="K193" i="9" a="1"/>
  <c r="K193" i="9" s="1"/>
  <c r="K194" i="9" a="1"/>
  <c r="K194" i="9" s="1"/>
  <c r="K195" i="9" a="1"/>
  <c r="K195" i="9" s="1"/>
  <c r="K196" i="9" a="1"/>
  <c r="K196" i="9" s="1"/>
  <c r="K177" i="9" a="1"/>
  <c r="K177" i="9" s="1"/>
  <c r="O178" i="9" a="1"/>
  <c r="O178" i="9" s="1"/>
  <c r="O179" i="9" a="1"/>
  <c r="O179" i="9" s="1"/>
  <c r="O180" i="9" a="1"/>
  <c r="O180" i="9" s="1"/>
  <c r="O181" i="9" a="1"/>
  <c r="O181" i="9" s="1"/>
  <c r="O182" i="9" a="1"/>
  <c r="O182" i="9" s="1"/>
  <c r="O183" i="9" a="1"/>
  <c r="O183" i="9" s="1"/>
  <c r="O184" i="9" a="1"/>
  <c r="O184" i="9" s="1"/>
  <c r="O185" i="9" a="1"/>
  <c r="O185" i="9" s="1"/>
  <c r="O186" i="9" a="1"/>
  <c r="O186" i="9" s="1"/>
  <c r="O187" i="9" a="1"/>
  <c r="O187" i="9" s="1"/>
  <c r="O188" i="9" a="1"/>
  <c r="O188" i="9" s="1"/>
  <c r="O189" i="9" a="1"/>
  <c r="O189" i="9" s="1"/>
  <c r="O190" i="9" a="1"/>
  <c r="O190" i="9" s="1"/>
  <c r="O191" i="9" a="1"/>
  <c r="O191" i="9" s="1"/>
  <c r="O192" i="9" a="1"/>
  <c r="O192" i="9" s="1"/>
  <c r="O193" i="9" a="1"/>
  <c r="O193" i="9" s="1"/>
  <c r="O194" i="9" a="1"/>
  <c r="O194" i="9" s="1"/>
  <c r="O195" i="9" a="1"/>
  <c r="O195" i="9" s="1"/>
  <c r="O196" i="9" a="1"/>
  <c r="O196" i="9" s="1"/>
  <c r="O177" i="9" a="1"/>
  <c r="O177" i="9" s="1"/>
  <c r="E135" i="9" a="1"/>
  <c r="E135" i="9" s="1"/>
  <c r="C49" i="10" s="1"/>
  <c r="E136" i="9" a="1"/>
  <c r="E136" i="9" s="1"/>
  <c r="C50" i="10" s="1"/>
  <c r="E137" i="9" a="1"/>
  <c r="E137" i="9" s="1"/>
  <c r="C51" i="10" s="1"/>
  <c r="E138" i="9" a="1"/>
  <c r="E138" i="9" s="1"/>
  <c r="C52" i="10" s="1"/>
  <c r="E139" i="9" a="1"/>
  <c r="E139" i="9" s="1"/>
  <c r="C53" i="10" s="1"/>
  <c r="E140" i="9" a="1"/>
  <c r="E140" i="9" s="1"/>
  <c r="C54" i="10" s="1"/>
  <c r="E141" i="9" a="1"/>
  <c r="E141" i="9" s="1"/>
  <c r="C55" i="10" s="1"/>
  <c r="E142" i="9" a="1"/>
  <c r="E142" i="9" s="1"/>
  <c r="C56" i="10" s="1"/>
  <c r="E143" i="9" a="1"/>
  <c r="E143" i="9" s="1"/>
  <c r="C57" i="10" s="1"/>
  <c r="E144" i="9" a="1"/>
  <c r="E144" i="9" s="1"/>
  <c r="C58" i="10" s="1"/>
  <c r="E145" i="9" a="1"/>
  <c r="E145" i="9" s="1"/>
  <c r="C59" i="10" s="1"/>
  <c r="E146" i="9" a="1"/>
  <c r="E146" i="9" s="1"/>
  <c r="C60" i="10" s="1"/>
  <c r="E147" i="9" a="1"/>
  <c r="E147" i="9" s="1"/>
  <c r="C61" i="10" s="1"/>
  <c r="E148" i="9" a="1"/>
  <c r="E148" i="9" s="1"/>
  <c r="C62" i="10" s="1"/>
  <c r="E149" i="9" a="1"/>
  <c r="E149" i="9" s="1"/>
  <c r="C63" i="10" s="1"/>
  <c r="E150" i="9" a="1"/>
  <c r="E150" i="9" s="1"/>
  <c r="C64" i="10" s="1"/>
  <c r="E151" i="9" a="1"/>
  <c r="E151" i="9" s="1"/>
  <c r="C65" i="10" s="1"/>
  <c r="E152" i="9" a="1"/>
  <c r="E152" i="9" s="1"/>
  <c r="C66" i="10" s="1"/>
  <c r="E153" i="9" a="1"/>
  <c r="E153" i="9" s="1"/>
  <c r="C67" i="10" s="1"/>
  <c r="E134" i="9" a="1"/>
  <c r="E134" i="9" s="1"/>
  <c r="C48" i="10" s="1"/>
  <c r="E93" i="9" a="1"/>
  <c r="E93" i="9" s="1"/>
  <c r="C29" i="10" s="1"/>
  <c r="E94" i="9" a="1"/>
  <c r="E94" i="9" s="1"/>
  <c r="C30" i="10" s="1"/>
  <c r="E95" i="9" a="1"/>
  <c r="E95" i="9" s="1"/>
  <c r="C31" i="10" s="1"/>
  <c r="E96" i="9" a="1"/>
  <c r="E96" i="9" s="1"/>
  <c r="C32" i="10" s="1"/>
  <c r="E97" i="9" a="1"/>
  <c r="E97" i="9" s="1"/>
  <c r="C33" i="10" s="1"/>
  <c r="E98" i="9" a="1"/>
  <c r="E98" i="9" s="1"/>
  <c r="C34" i="10" s="1"/>
  <c r="E99" i="9" a="1"/>
  <c r="E99" i="9" s="1"/>
  <c r="C35" i="10" s="1"/>
  <c r="E100" i="9" a="1"/>
  <c r="E100" i="9" s="1"/>
  <c r="C36" i="10" s="1"/>
  <c r="E101" i="9" a="1"/>
  <c r="E101" i="9" s="1"/>
  <c r="C37" i="10" s="1"/>
  <c r="E102" i="9" a="1"/>
  <c r="E102" i="9" s="1"/>
  <c r="C38" i="10" s="1"/>
  <c r="E103" i="9" a="1"/>
  <c r="E103" i="9" s="1"/>
  <c r="C39" i="10" s="1"/>
  <c r="E104" i="9" a="1"/>
  <c r="E104" i="9" s="1"/>
  <c r="C40" i="10" s="1"/>
  <c r="E105" i="9" a="1"/>
  <c r="E105" i="9" s="1"/>
  <c r="C41" i="10" s="1"/>
  <c r="E106" i="9" a="1"/>
  <c r="E106" i="9" s="1"/>
  <c r="C42" i="10" s="1"/>
  <c r="E107" i="9" a="1"/>
  <c r="E107" i="9" s="1"/>
  <c r="C43" i="10" s="1"/>
  <c r="E108" i="9" a="1"/>
  <c r="E108" i="9" s="1"/>
  <c r="C44" i="10" s="1"/>
  <c r="E109" i="9" a="1"/>
  <c r="E109" i="9" s="1"/>
  <c r="C45" i="10" s="1"/>
  <c r="E110" i="9" a="1"/>
  <c r="E110" i="9" s="1"/>
  <c r="C46" i="10" s="1"/>
  <c r="E111" i="9" a="1"/>
  <c r="E111" i="9" s="1"/>
  <c r="C47" i="10" s="1"/>
  <c r="E92" i="9" a="1"/>
  <c r="E92" i="9" s="1"/>
  <c r="C28" i="10" s="1"/>
  <c r="E53" i="9" a="1"/>
  <c r="E53" i="9" s="1"/>
  <c r="E54" i="9" a="1"/>
  <c r="E54" i="9" s="1"/>
  <c r="E55" i="9" a="1"/>
  <c r="E55" i="9" s="1"/>
  <c r="E56" i="9" a="1"/>
  <c r="E56" i="9" s="1"/>
  <c r="E57" i="9" a="1"/>
  <c r="E57" i="9" s="1"/>
  <c r="E58" i="9" a="1"/>
  <c r="E58" i="9" s="1"/>
  <c r="E59" i="9" a="1"/>
  <c r="E59" i="9" s="1"/>
  <c r="E60" i="9" a="1"/>
  <c r="E60" i="9" s="1"/>
  <c r="E61" i="9" a="1"/>
  <c r="E61" i="9" s="1"/>
  <c r="E62" i="9" a="1"/>
  <c r="E62" i="9" s="1"/>
  <c r="E63" i="9" a="1"/>
  <c r="E63" i="9" s="1"/>
  <c r="E64" i="9" a="1"/>
  <c r="E64" i="9" s="1"/>
  <c r="E65" i="9" a="1"/>
  <c r="E65" i="9" s="1"/>
  <c r="E66" i="9" a="1"/>
  <c r="E66" i="9" s="1"/>
  <c r="E67" i="9" a="1"/>
  <c r="E67" i="9" s="1"/>
  <c r="C23" i="10" s="1"/>
  <c r="E68" i="9" a="1"/>
  <c r="E68" i="9" s="1"/>
  <c r="E69" i="9" a="1"/>
  <c r="E69" i="9" s="1"/>
  <c r="E70" i="9" a="1"/>
  <c r="E70" i="9" s="1"/>
  <c r="E71" i="9" a="1"/>
  <c r="E71" i="9" s="1"/>
  <c r="E52" i="9" a="1"/>
  <c r="E52" i="9" s="1"/>
  <c r="E25" i="9"/>
  <c r="C3" i="10" s="1"/>
  <c r="C107" i="10"/>
  <c r="C106" i="10"/>
  <c r="C105" i="10"/>
  <c r="C104" i="10"/>
  <c r="C103" i="10"/>
  <c r="C102" i="10"/>
  <c r="C101" i="10"/>
  <c r="C100" i="10"/>
  <c r="C99" i="10"/>
  <c r="C98" i="10"/>
  <c r="C97" i="10"/>
  <c r="C96" i="10"/>
  <c r="C95" i="10"/>
  <c r="C94" i="10"/>
  <c r="C93" i="10"/>
  <c r="C92" i="10"/>
  <c r="C91" i="10"/>
  <c r="C90" i="10"/>
  <c r="C89" i="10"/>
  <c r="C7" i="10"/>
  <c r="C6" i="10"/>
  <c r="C5" i="10"/>
  <c r="B10" i="10"/>
  <c r="B11" i="10" s="1"/>
  <c r="B12" i="10" s="1"/>
  <c r="B13" i="10" s="1"/>
  <c r="B14" i="10" s="1"/>
  <c r="B15" i="10" s="1"/>
  <c r="B16" i="10" s="1"/>
  <c r="B17" i="10" s="1"/>
  <c r="B18" i="10" s="1"/>
  <c r="B19" i="10" s="1"/>
  <c r="B20" i="10" s="1"/>
  <c r="B21" i="10" s="1"/>
  <c r="B22" i="10" s="1"/>
  <c r="B23" i="10" s="1"/>
  <c r="B24" i="10" s="1"/>
  <c r="B25" i="10" s="1"/>
  <c r="B26" i="10" s="1"/>
  <c r="B27" i="10" s="1"/>
  <c r="B28" i="10" s="1"/>
  <c r="B29" i="10" s="1"/>
  <c r="B30" i="10" s="1"/>
  <c r="B31" i="10" s="1"/>
  <c r="B32" i="10" s="1"/>
  <c r="B33" i="10" s="1"/>
  <c r="B34" i="10" s="1"/>
  <c r="B35" i="10" s="1"/>
  <c r="B36" i="10" s="1"/>
  <c r="B37" i="10" s="1"/>
  <c r="B38" i="10" s="1"/>
  <c r="B39" i="10" s="1"/>
  <c r="B40" i="10" s="1"/>
  <c r="B41" i="10" s="1"/>
  <c r="B42" i="10" s="1"/>
  <c r="B43" i="10" s="1"/>
  <c r="B44" i="10" s="1"/>
  <c r="B45" i="10" s="1"/>
  <c r="B46" i="10" s="1"/>
  <c r="B47" i="10" s="1"/>
  <c r="B48" i="10" s="1"/>
  <c r="B49" i="10" s="1"/>
  <c r="B50" i="10" s="1"/>
  <c r="B51" i="10" s="1"/>
  <c r="B52" i="10" s="1"/>
  <c r="B53" i="10" s="1"/>
  <c r="B54" i="10" s="1"/>
  <c r="B55" i="10" s="1"/>
  <c r="B56" i="10" s="1"/>
  <c r="B57" i="10" s="1"/>
  <c r="B58" i="10" s="1"/>
  <c r="B59" i="10" s="1"/>
  <c r="B60" i="10" s="1"/>
  <c r="B61" i="10" s="1"/>
  <c r="B62" i="10" s="1"/>
  <c r="B63" i="10" s="1"/>
  <c r="B64" i="10" s="1"/>
  <c r="B65" i="10" s="1"/>
  <c r="B66" i="10" s="1"/>
  <c r="B67" i="10" s="1"/>
  <c r="B68" i="10" s="1"/>
  <c r="B69" i="10" s="1"/>
  <c r="B70" i="10" s="1"/>
  <c r="B71" i="10" s="1"/>
  <c r="B72" i="10" s="1"/>
  <c r="B73" i="10" s="1"/>
  <c r="B74" i="10" s="1"/>
  <c r="B75" i="10" s="1"/>
  <c r="B76" i="10" s="1"/>
  <c r="B77" i="10" s="1"/>
  <c r="B78" i="10" s="1"/>
  <c r="B79" i="10" s="1"/>
  <c r="B80" i="10" s="1"/>
  <c r="B81" i="10" s="1"/>
  <c r="B82" i="10" s="1"/>
  <c r="B83" i="10" s="1"/>
  <c r="B84" i="10" s="1"/>
  <c r="B85" i="10" s="1"/>
  <c r="B86" i="10" s="1"/>
  <c r="B87" i="10" s="1"/>
  <c r="B88" i="10" s="1"/>
  <c r="B89" i="10" s="1"/>
  <c r="B90" i="10" s="1"/>
  <c r="B91" i="10" s="1"/>
  <c r="B92" i="10" s="1"/>
  <c r="B93" i="10" s="1"/>
  <c r="B94" i="10" s="1"/>
  <c r="B95" i="10" s="1"/>
  <c r="B96" i="10" s="1"/>
  <c r="B97" i="10" s="1"/>
  <c r="B98" i="10" s="1"/>
  <c r="B99" i="10" s="1"/>
  <c r="B100" i="10" s="1"/>
  <c r="B101" i="10" s="1"/>
  <c r="B102" i="10" s="1"/>
  <c r="B103" i="10" s="1"/>
  <c r="B104" i="10" s="1"/>
  <c r="B105" i="10" s="1"/>
  <c r="B106" i="10" s="1"/>
  <c r="B107" i="10" s="1"/>
  <c r="B108" i="10" s="1"/>
  <c r="B109" i="10" s="1"/>
  <c r="B110" i="10" s="1"/>
  <c r="B111" i="10" s="1"/>
  <c r="B112" i="10" s="1"/>
  <c r="B113" i="10" s="1"/>
  <c r="B114" i="10" s="1"/>
  <c r="B115" i="10" s="1"/>
  <c r="B116" i="10" s="1"/>
  <c r="B117" i="10" s="1"/>
  <c r="B118" i="10" s="1"/>
  <c r="B119" i="10" s="1"/>
  <c r="B120" i="10" s="1"/>
  <c r="B121" i="10" s="1"/>
  <c r="B122" i="10" s="1"/>
  <c r="B123" i="10" s="1"/>
  <c r="B124" i="10" s="1"/>
  <c r="B125" i="10" s="1"/>
  <c r="B126" i="10" s="1"/>
  <c r="B127" i="10" s="1"/>
  <c r="B128" i="10" s="1"/>
  <c r="B129" i="10" s="1"/>
  <c r="B130" i="10" s="1"/>
  <c r="B131" i="10" s="1"/>
  <c r="B132" i="10" s="1"/>
  <c r="B133" i="10" s="1"/>
  <c r="B134" i="10" s="1"/>
  <c r="B135" i="10" s="1"/>
  <c r="B136" i="10" s="1"/>
  <c r="B137" i="10" s="1"/>
  <c r="B138" i="10" s="1"/>
  <c r="B139" i="10" s="1"/>
  <c r="B140" i="10" s="1"/>
  <c r="B141" i="10" s="1"/>
  <c r="B142" i="10" s="1"/>
  <c r="B143" i="10" s="1"/>
  <c r="B144" i="10" s="1"/>
  <c r="B145" i="10" s="1"/>
  <c r="B146" i="10" s="1"/>
  <c r="B147" i="10" s="1"/>
  <c r="B9" i="10"/>
  <c r="B309" i="9"/>
  <c r="B310" i="9" s="1"/>
  <c r="B311" i="9" s="1"/>
  <c r="B312" i="9" s="1"/>
  <c r="B313" i="9" s="1"/>
  <c r="B314" i="9" s="1"/>
  <c r="B315" i="9" s="1"/>
  <c r="B316" i="9" s="1"/>
  <c r="B317" i="9" s="1"/>
  <c r="B318" i="9" s="1"/>
  <c r="B319" i="9" s="1"/>
  <c r="B320" i="9" s="1"/>
  <c r="B321" i="9" s="1"/>
  <c r="B322" i="9" s="1"/>
  <c r="B323" i="9" s="1"/>
  <c r="B324" i="9" s="1"/>
  <c r="B325" i="9" s="1"/>
  <c r="B326" i="9" s="1"/>
  <c r="B327" i="9" s="1"/>
  <c r="B265" i="9"/>
  <c r="B266" i="9" s="1"/>
  <c r="B267" i="9" s="1"/>
  <c r="B268" i="9" s="1"/>
  <c r="B269" i="9" s="1"/>
  <c r="B270" i="9" s="1"/>
  <c r="B271" i="9" s="1"/>
  <c r="B272" i="9" s="1"/>
  <c r="B273" i="9" s="1"/>
  <c r="B274" i="9" s="1"/>
  <c r="B275" i="9" s="1"/>
  <c r="B276" i="9" s="1"/>
  <c r="B277" i="9" s="1"/>
  <c r="B278" i="9" s="1"/>
  <c r="B279" i="9" s="1"/>
  <c r="B280" i="9" s="1"/>
  <c r="B281" i="9" s="1"/>
  <c r="B282" i="9" s="1"/>
  <c r="B283" i="9" s="1"/>
  <c r="B220" i="9"/>
  <c r="B221" i="9" s="1"/>
  <c r="B222" i="9" s="1"/>
  <c r="B223" i="9" s="1"/>
  <c r="B224" i="9" s="1"/>
  <c r="B225" i="9" s="1"/>
  <c r="B226" i="9" s="1"/>
  <c r="B227" i="9" s="1"/>
  <c r="B228" i="9" s="1"/>
  <c r="B229" i="9" s="1"/>
  <c r="B230" i="9" s="1"/>
  <c r="B231" i="9" s="1"/>
  <c r="B232" i="9" s="1"/>
  <c r="B233" i="9" s="1"/>
  <c r="B234" i="9" s="1"/>
  <c r="B235" i="9" s="1"/>
  <c r="B236" i="9" s="1"/>
  <c r="B237" i="9" s="1"/>
  <c r="B238" i="9" s="1"/>
  <c r="B178" i="9"/>
  <c r="B179" i="9" s="1"/>
  <c r="B180" i="9" s="1"/>
  <c r="B181" i="9" s="1"/>
  <c r="B182" i="9" s="1"/>
  <c r="B183" i="9" s="1"/>
  <c r="B184" i="9" s="1"/>
  <c r="B185" i="9" s="1"/>
  <c r="B186" i="9" s="1"/>
  <c r="B187" i="9" s="1"/>
  <c r="B188" i="9" s="1"/>
  <c r="B189" i="9" s="1"/>
  <c r="B190" i="9" s="1"/>
  <c r="B191" i="9" s="1"/>
  <c r="B192" i="9" s="1"/>
  <c r="B193" i="9" s="1"/>
  <c r="B194" i="9" s="1"/>
  <c r="B195" i="9" s="1"/>
  <c r="B196" i="9" s="1"/>
  <c r="B135" i="9"/>
  <c r="B136" i="9" s="1"/>
  <c r="B137" i="9" s="1"/>
  <c r="B138" i="9" s="1"/>
  <c r="B139" i="9" s="1"/>
  <c r="B140" i="9" s="1"/>
  <c r="B141" i="9" s="1"/>
  <c r="B142" i="9" s="1"/>
  <c r="B143" i="9" s="1"/>
  <c r="B144" i="9" s="1"/>
  <c r="B145" i="9" s="1"/>
  <c r="B146" i="9" s="1"/>
  <c r="B147" i="9" s="1"/>
  <c r="B148" i="9" s="1"/>
  <c r="B149" i="9" s="1"/>
  <c r="B150" i="9" s="1"/>
  <c r="B151" i="9" s="1"/>
  <c r="B152" i="9" s="1"/>
  <c r="B153" i="9" s="1"/>
  <c r="B93" i="9"/>
  <c r="B94" i="9" s="1"/>
  <c r="B95" i="9" s="1"/>
  <c r="B96" i="9" s="1"/>
  <c r="B97" i="9" s="1"/>
  <c r="B98" i="9" s="1"/>
  <c r="B99" i="9" s="1"/>
  <c r="B100" i="9" s="1"/>
  <c r="B101" i="9" s="1"/>
  <c r="B102" i="9" s="1"/>
  <c r="B103" i="9" s="1"/>
  <c r="B104" i="9" s="1"/>
  <c r="B105" i="9" s="1"/>
  <c r="B106" i="9" s="1"/>
  <c r="B107" i="9" s="1"/>
  <c r="B108" i="9" s="1"/>
  <c r="B109" i="9" s="1"/>
  <c r="B110" i="9" s="1"/>
  <c r="B111" i="9" s="1"/>
  <c r="B53" i="9"/>
  <c r="B54" i="9" s="1"/>
  <c r="B55" i="9" s="1"/>
  <c r="B56" i="9" s="1"/>
  <c r="B57" i="9" s="1"/>
  <c r="B58" i="9" s="1"/>
  <c r="B59" i="9" s="1"/>
  <c r="B60" i="9" s="1"/>
  <c r="B61" i="9" s="1"/>
  <c r="B62" i="9" s="1"/>
  <c r="B63" i="9" s="1"/>
  <c r="B64" i="9" s="1"/>
  <c r="B65" i="9" s="1"/>
  <c r="B66" i="9" s="1"/>
  <c r="B67" i="9" s="1"/>
  <c r="B68" i="9" s="1"/>
  <c r="B69" i="9" s="1"/>
  <c r="B70" i="9" s="1"/>
  <c r="B71" i="9" s="1"/>
  <c r="AJ219" i="9" l="1" a="1"/>
  <c r="AJ219" i="9" s="1"/>
  <c r="AF330" i="9" a="1"/>
  <c r="C40" i="1" a="1"/>
  <c r="C40" i="1" s="1"/>
  <c r="CD265" i="9"/>
  <c r="CE265" i="9"/>
  <c r="CF265" i="9" s="1" a="1"/>
  <c r="CF265" i="9" s="1"/>
  <c r="CD266" i="9"/>
  <c r="CE266" i="9"/>
  <c r="CF266" i="9" s="1" a="1"/>
  <c r="CF266" i="9" s="1"/>
  <c r="CE267" i="9"/>
  <c r="CF267" i="9" s="1" a="1"/>
  <c r="CF267" i="9" s="1"/>
  <c r="CD267" i="9"/>
  <c r="CE268" i="9"/>
  <c r="CF268" i="9" s="1" a="1"/>
  <c r="CF268" i="9" s="1"/>
  <c r="CD268" i="9"/>
  <c r="CD269" i="9"/>
  <c r="CE269" i="9"/>
  <c r="CF269" i="9" s="1" a="1"/>
  <c r="CF269" i="9" s="1"/>
  <c r="CE270" i="9"/>
  <c r="CF270" i="9" s="1" a="1"/>
  <c r="CF270" i="9" s="1"/>
  <c r="CD270" i="9"/>
  <c r="CD271" i="9"/>
  <c r="CE271" i="9"/>
  <c r="CF271" i="9" s="1" a="1"/>
  <c r="CF271" i="9" s="1"/>
  <c r="CE272" i="9"/>
  <c r="CF272" i="9" s="1" a="1"/>
  <c r="CF272" i="9" s="1"/>
  <c r="CD272" i="9"/>
  <c r="CE273" i="9"/>
  <c r="CF273" i="9" s="1" a="1"/>
  <c r="CF273" i="9" s="1"/>
  <c r="CD273" i="9"/>
  <c r="CE274" i="9"/>
  <c r="CF274" i="9" s="1" a="1"/>
  <c r="CF274" i="9" s="1"/>
  <c r="CD274" i="9"/>
  <c r="CE275" i="9"/>
  <c r="CF275" i="9" s="1" a="1"/>
  <c r="CF275" i="9" s="1"/>
  <c r="CD275" i="9"/>
  <c r="CD276" i="9"/>
  <c r="CE276" i="9"/>
  <c r="CF276" i="9" s="1" a="1"/>
  <c r="CF276" i="9" s="1"/>
  <c r="CD277" i="9"/>
  <c r="CE277" i="9"/>
  <c r="CF277" i="9" s="1" a="1"/>
  <c r="CF277" i="9" s="1"/>
  <c r="CE278" i="9"/>
  <c r="CF278" i="9" s="1" a="1"/>
  <c r="CF278" i="9" s="1"/>
  <c r="CD278" i="9"/>
  <c r="CD279" i="9"/>
  <c r="CE279" i="9"/>
  <c r="CF279" i="9" s="1" a="1"/>
  <c r="CF279" i="9" s="1"/>
  <c r="CD280" i="9"/>
  <c r="CE280" i="9"/>
  <c r="CF280" i="9" s="1" a="1"/>
  <c r="CF280" i="9" s="1"/>
  <c r="CE281" i="9"/>
  <c r="CF281" i="9" s="1" a="1"/>
  <c r="CF281" i="9" s="1"/>
  <c r="CD281" i="9"/>
  <c r="CD282" i="9"/>
  <c r="CE282" i="9"/>
  <c r="CF282" i="9" s="1" a="1"/>
  <c r="CF282" i="9" s="1"/>
  <c r="CE283" i="9"/>
  <c r="CF283" i="9" s="1" a="1"/>
  <c r="CF283" i="9" s="1"/>
  <c r="CD283" i="9"/>
  <c r="CE264" i="9"/>
  <c r="CF264" i="9" s="1" a="1"/>
  <c r="CF264" i="9" s="1"/>
  <c r="CD264" i="9"/>
  <c r="CE262" i="9"/>
  <c r="CF262" i="9" s="1" a="1"/>
  <c r="CF262" i="9" s="1"/>
  <c r="CD262" i="9"/>
  <c r="BC309" i="9" a="1"/>
  <c r="BC309" i="9" s="1"/>
  <c r="BD309" i="9" a="1"/>
  <c r="BD309" i="9" s="1"/>
  <c r="BE309" i="9" a="1"/>
  <c r="BE309" i="9" s="1"/>
  <c r="BF309" i="9" a="1"/>
  <c r="BF309" i="9" s="1"/>
  <c r="BG309" i="9" a="1"/>
  <c r="BG309" i="9" s="1"/>
  <c r="BH309" i="9" a="1"/>
  <c r="BH309" i="9" s="1"/>
  <c r="BI309" i="9" a="1"/>
  <c r="BI309" i="9" s="1"/>
  <c r="BJ309" i="9" a="1"/>
  <c r="BJ309" i="9" s="1"/>
  <c r="BK309" i="9" a="1"/>
  <c r="BK309" i="9" s="1"/>
  <c r="BL309" i="9" a="1"/>
  <c r="BL309" i="9" s="1"/>
  <c r="BM309" i="9" a="1"/>
  <c r="BM309" i="9" s="1"/>
  <c r="BN309" i="9" a="1"/>
  <c r="BN309" i="9" s="1"/>
  <c r="BO309" i="9" a="1"/>
  <c r="BO309" i="9" s="1"/>
  <c r="BP309" i="9" a="1"/>
  <c r="BP309" i="9" s="1"/>
  <c r="BQ309" i="9" a="1"/>
  <c r="BQ309" i="9" s="1"/>
  <c r="BR309" i="9" a="1"/>
  <c r="BR309" i="9" s="1"/>
  <c r="BS309" i="9" a="1"/>
  <c r="BS309" i="9" s="1"/>
  <c r="BT309" i="9" a="1"/>
  <c r="BT309" i="9" s="1"/>
  <c r="BU309" i="9" a="1"/>
  <c r="BU309" i="9" s="1"/>
  <c r="BC310" i="9" a="1"/>
  <c r="BC310" i="9" s="1"/>
  <c r="BD310" i="9" a="1"/>
  <c r="BD310" i="9" s="1"/>
  <c r="BE310" i="9" a="1"/>
  <c r="BE310" i="9" s="1"/>
  <c r="BF310" i="9" a="1"/>
  <c r="BF310" i="9" s="1"/>
  <c r="BG310" i="9" a="1"/>
  <c r="BG310" i="9" s="1"/>
  <c r="BH310" i="9" a="1"/>
  <c r="BH310" i="9" s="1"/>
  <c r="BI310" i="9" a="1"/>
  <c r="BI310" i="9" s="1"/>
  <c r="BJ310" i="9" a="1"/>
  <c r="BJ310" i="9" s="1"/>
  <c r="BK310" i="9" a="1"/>
  <c r="BK310" i="9" s="1"/>
  <c r="BL310" i="9" a="1"/>
  <c r="BL310" i="9" s="1"/>
  <c r="BM310" i="9" a="1"/>
  <c r="BM310" i="9" s="1"/>
  <c r="BN310" i="9" a="1"/>
  <c r="BN310" i="9" s="1"/>
  <c r="BO310" i="9" a="1"/>
  <c r="BO310" i="9" s="1"/>
  <c r="BP310" i="9" a="1"/>
  <c r="BP310" i="9" s="1"/>
  <c r="BQ310" i="9" a="1"/>
  <c r="BQ310" i="9" s="1"/>
  <c r="BR310" i="9" a="1"/>
  <c r="BR310" i="9" s="1"/>
  <c r="BS310" i="9" a="1"/>
  <c r="BS310" i="9" s="1"/>
  <c r="BT310" i="9" a="1"/>
  <c r="BT310" i="9" s="1"/>
  <c r="BU310" i="9" a="1"/>
  <c r="BU310" i="9" s="1"/>
  <c r="BC311" i="9" a="1"/>
  <c r="BC311" i="9" s="1"/>
  <c r="BD311" i="9" a="1"/>
  <c r="BD311" i="9" s="1"/>
  <c r="BE311" i="9" a="1"/>
  <c r="BE311" i="9" s="1"/>
  <c r="BF311" i="9" a="1"/>
  <c r="BF311" i="9" s="1"/>
  <c r="BG311" i="9" a="1"/>
  <c r="BG311" i="9" s="1"/>
  <c r="BH311" i="9" a="1"/>
  <c r="BH311" i="9" s="1"/>
  <c r="BI311" i="9" a="1"/>
  <c r="BI311" i="9" s="1"/>
  <c r="BJ311" i="9" a="1"/>
  <c r="BJ311" i="9" s="1"/>
  <c r="BK311" i="9" a="1"/>
  <c r="BK311" i="9" s="1"/>
  <c r="BL311" i="9" a="1"/>
  <c r="BL311" i="9" s="1"/>
  <c r="BM311" i="9" a="1"/>
  <c r="BM311" i="9" s="1"/>
  <c r="BN311" i="9" a="1"/>
  <c r="BN311" i="9" s="1"/>
  <c r="BO311" i="9" a="1"/>
  <c r="BO311" i="9" s="1"/>
  <c r="BP311" i="9" a="1"/>
  <c r="BP311" i="9" s="1"/>
  <c r="BQ311" i="9" a="1"/>
  <c r="BQ311" i="9" s="1"/>
  <c r="BR311" i="9" a="1"/>
  <c r="BR311" i="9" s="1"/>
  <c r="BS311" i="9" a="1"/>
  <c r="BS311" i="9" s="1"/>
  <c r="BT311" i="9" a="1"/>
  <c r="BT311" i="9" s="1"/>
  <c r="BU311" i="9" a="1"/>
  <c r="BU311" i="9" s="1"/>
  <c r="BC312" i="9" a="1"/>
  <c r="BC312" i="9" s="1"/>
  <c r="BD312" i="9" a="1"/>
  <c r="BD312" i="9" s="1"/>
  <c r="BE312" i="9" a="1"/>
  <c r="BE312" i="9" s="1"/>
  <c r="BF312" i="9" a="1"/>
  <c r="BF312" i="9" s="1"/>
  <c r="BG312" i="9" a="1"/>
  <c r="BG312" i="9" s="1"/>
  <c r="BH312" i="9" a="1"/>
  <c r="BH312" i="9" s="1"/>
  <c r="BI312" i="9" a="1"/>
  <c r="BI312" i="9" s="1"/>
  <c r="BJ312" i="9" a="1"/>
  <c r="BJ312" i="9" s="1"/>
  <c r="BK312" i="9" a="1"/>
  <c r="BK312" i="9" s="1"/>
  <c r="BL312" i="9" a="1"/>
  <c r="BL312" i="9" s="1"/>
  <c r="BM312" i="9" a="1"/>
  <c r="BM312" i="9" s="1"/>
  <c r="BN312" i="9" a="1"/>
  <c r="BN312" i="9" s="1"/>
  <c r="BO312" i="9" a="1"/>
  <c r="BO312" i="9" s="1"/>
  <c r="BP312" i="9" a="1"/>
  <c r="BP312" i="9" s="1"/>
  <c r="BQ312" i="9" a="1"/>
  <c r="BQ312" i="9" s="1"/>
  <c r="BR312" i="9" a="1"/>
  <c r="BR312" i="9" s="1"/>
  <c r="BS312" i="9" a="1"/>
  <c r="BS312" i="9" s="1"/>
  <c r="BT312" i="9" a="1"/>
  <c r="BT312" i="9" s="1"/>
  <c r="BU312" i="9" a="1"/>
  <c r="BU312" i="9" s="1"/>
  <c r="BC313" i="9" a="1"/>
  <c r="BC313" i="9" s="1"/>
  <c r="BD313" i="9" a="1"/>
  <c r="BD313" i="9" s="1"/>
  <c r="BE313" i="9" a="1"/>
  <c r="BE313" i="9" s="1"/>
  <c r="BF313" i="9" a="1"/>
  <c r="BF313" i="9" s="1"/>
  <c r="BG313" i="9" a="1"/>
  <c r="BG313" i="9" s="1"/>
  <c r="BH313" i="9" a="1"/>
  <c r="BH313" i="9" s="1"/>
  <c r="BI313" i="9" a="1"/>
  <c r="BI313" i="9" s="1"/>
  <c r="BJ313" i="9" a="1"/>
  <c r="BJ313" i="9" s="1"/>
  <c r="BK313" i="9" a="1"/>
  <c r="BK313" i="9" s="1"/>
  <c r="BL313" i="9" a="1"/>
  <c r="BL313" i="9" s="1"/>
  <c r="BM313" i="9" a="1"/>
  <c r="BM313" i="9" s="1"/>
  <c r="BN313" i="9" a="1"/>
  <c r="BN313" i="9" s="1"/>
  <c r="BO313" i="9" a="1"/>
  <c r="BO313" i="9" s="1"/>
  <c r="BP313" i="9" a="1"/>
  <c r="BP313" i="9" s="1"/>
  <c r="BQ313" i="9" a="1"/>
  <c r="BQ313" i="9" s="1"/>
  <c r="BR313" i="9" a="1"/>
  <c r="BR313" i="9" s="1"/>
  <c r="BS313" i="9" a="1"/>
  <c r="BS313" i="9" s="1"/>
  <c r="BT313" i="9" a="1"/>
  <c r="BT313" i="9" s="1"/>
  <c r="BU313" i="9" a="1"/>
  <c r="BU313" i="9" s="1"/>
  <c r="BC314" i="9" a="1"/>
  <c r="BC314" i="9" s="1"/>
  <c r="BD314" i="9" a="1"/>
  <c r="BD314" i="9" s="1"/>
  <c r="BE314" i="9" a="1"/>
  <c r="BE314" i="9" s="1"/>
  <c r="BF314" i="9" a="1"/>
  <c r="BF314" i="9" s="1"/>
  <c r="BG314" i="9" a="1"/>
  <c r="BG314" i="9" s="1"/>
  <c r="BH314" i="9" a="1"/>
  <c r="BH314" i="9" s="1"/>
  <c r="BI314" i="9" a="1"/>
  <c r="BI314" i="9" s="1"/>
  <c r="BJ314" i="9" a="1"/>
  <c r="BJ314" i="9" s="1"/>
  <c r="BK314" i="9" a="1"/>
  <c r="BK314" i="9" s="1"/>
  <c r="BL314" i="9" a="1"/>
  <c r="BL314" i="9" s="1"/>
  <c r="BM314" i="9" a="1"/>
  <c r="BM314" i="9" s="1"/>
  <c r="BN314" i="9" a="1"/>
  <c r="BN314" i="9" s="1"/>
  <c r="BO314" i="9" a="1"/>
  <c r="BO314" i="9" s="1"/>
  <c r="BP314" i="9" a="1"/>
  <c r="BP314" i="9" s="1"/>
  <c r="BQ314" i="9" a="1"/>
  <c r="BQ314" i="9" s="1"/>
  <c r="BR314" i="9" a="1"/>
  <c r="BR314" i="9" s="1"/>
  <c r="BS314" i="9" a="1"/>
  <c r="BS314" i="9" s="1"/>
  <c r="BT314" i="9" a="1"/>
  <c r="BT314" i="9" s="1"/>
  <c r="BU314" i="9" a="1"/>
  <c r="BU314" i="9" s="1"/>
  <c r="BC315" i="9" a="1"/>
  <c r="BC315" i="9" s="1"/>
  <c r="BD315" i="9" a="1"/>
  <c r="BD315" i="9" s="1"/>
  <c r="BE315" i="9" a="1"/>
  <c r="BE315" i="9" s="1"/>
  <c r="BF315" i="9" a="1"/>
  <c r="BF315" i="9" s="1"/>
  <c r="BG315" i="9" a="1"/>
  <c r="BG315" i="9" s="1"/>
  <c r="BH315" i="9" a="1"/>
  <c r="BH315" i="9" s="1"/>
  <c r="BI315" i="9" a="1"/>
  <c r="BI315" i="9" s="1"/>
  <c r="BJ315" i="9" a="1"/>
  <c r="BJ315" i="9" s="1"/>
  <c r="BK315" i="9" a="1"/>
  <c r="BK315" i="9" s="1"/>
  <c r="BL315" i="9" a="1"/>
  <c r="BL315" i="9" s="1"/>
  <c r="BM315" i="9" a="1"/>
  <c r="BM315" i="9" s="1"/>
  <c r="BN315" i="9" a="1"/>
  <c r="BN315" i="9" s="1"/>
  <c r="BO315" i="9" a="1"/>
  <c r="BO315" i="9" s="1"/>
  <c r="BP315" i="9" a="1"/>
  <c r="BP315" i="9" s="1"/>
  <c r="BQ315" i="9" a="1"/>
  <c r="BQ315" i="9" s="1"/>
  <c r="BR315" i="9" a="1"/>
  <c r="BR315" i="9" s="1"/>
  <c r="BS315" i="9" a="1"/>
  <c r="BS315" i="9" s="1"/>
  <c r="BT315" i="9" a="1"/>
  <c r="BT315" i="9" s="1"/>
  <c r="BU315" i="9" a="1"/>
  <c r="BU315" i="9" s="1"/>
  <c r="BC316" i="9" a="1"/>
  <c r="BC316" i="9" s="1"/>
  <c r="BD316" i="9" a="1"/>
  <c r="BD316" i="9" s="1"/>
  <c r="BE316" i="9" a="1"/>
  <c r="BE316" i="9" s="1"/>
  <c r="BF316" i="9" a="1"/>
  <c r="BF316" i="9" s="1"/>
  <c r="BG316" i="9" a="1"/>
  <c r="BG316" i="9" s="1"/>
  <c r="BH316" i="9" a="1"/>
  <c r="BH316" i="9" s="1"/>
  <c r="BI316" i="9" a="1"/>
  <c r="BI316" i="9" s="1"/>
  <c r="BJ316" i="9" a="1"/>
  <c r="BJ316" i="9" s="1"/>
  <c r="BK316" i="9" a="1"/>
  <c r="BK316" i="9" s="1"/>
  <c r="BL316" i="9" a="1"/>
  <c r="BL316" i="9" s="1"/>
  <c r="BM316" i="9" a="1"/>
  <c r="BM316" i="9" s="1"/>
  <c r="BN316" i="9" a="1"/>
  <c r="BN316" i="9" s="1"/>
  <c r="BO316" i="9" a="1"/>
  <c r="BO316" i="9" s="1"/>
  <c r="BP316" i="9" a="1"/>
  <c r="BP316" i="9" s="1"/>
  <c r="BQ316" i="9" a="1"/>
  <c r="BQ316" i="9" s="1"/>
  <c r="BR316" i="9" a="1"/>
  <c r="BR316" i="9" s="1"/>
  <c r="BS316" i="9" a="1"/>
  <c r="BS316" i="9" s="1"/>
  <c r="BT316" i="9" a="1"/>
  <c r="BT316" i="9" s="1"/>
  <c r="BU316" i="9" a="1"/>
  <c r="BU316" i="9" s="1"/>
  <c r="BC317" i="9" a="1"/>
  <c r="BC317" i="9" s="1"/>
  <c r="BD317" i="9" a="1"/>
  <c r="BD317" i="9" s="1"/>
  <c r="BE317" i="9" a="1"/>
  <c r="BE317" i="9" s="1"/>
  <c r="BF317" i="9" a="1"/>
  <c r="BF317" i="9" s="1"/>
  <c r="BG317" i="9" a="1"/>
  <c r="BG317" i="9" s="1"/>
  <c r="BH317" i="9" a="1"/>
  <c r="BH317" i="9" s="1"/>
  <c r="BI317" i="9" a="1"/>
  <c r="BI317" i="9" s="1"/>
  <c r="BJ317" i="9" a="1"/>
  <c r="BJ317" i="9" s="1"/>
  <c r="BK317" i="9" a="1"/>
  <c r="BK317" i="9" s="1"/>
  <c r="BL317" i="9" a="1"/>
  <c r="BL317" i="9" s="1"/>
  <c r="BM317" i="9" a="1"/>
  <c r="BM317" i="9" s="1"/>
  <c r="BN317" i="9" a="1"/>
  <c r="BN317" i="9" s="1"/>
  <c r="BO317" i="9" a="1"/>
  <c r="BO317" i="9" s="1"/>
  <c r="BP317" i="9" a="1"/>
  <c r="BP317" i="9" s="1"/>
  <c r="BQ317" i="9" a="1"/>
  <c r="BQ317" i="9" s="1"/>
  <c r="BR317" i="9" a="1"/>
  <c r="BR317" i="9" s="1"/>
  <c r="BS317" i="9" a="1"/>
  <c r="BS317" i="9" s="1"/>
  <c r="BT317" i="9" a="1"/>
  <c r="BT317" i="9" s="1"/>
  <c r="BU317" i="9" a="1"/>
  <c r="BU317" i="9" s="1"/>
  <c r="BC318" i="9" a="1"/>
  <c r="BC318" i="9" s="1"/>
  <c r="BD318" i="9" a="1"/>
  <c r="BD318" i="9" s="1"/>
  <c r="BE318" i="9" a="1"/>
  <c r="BE318" i="9" s="1"/>
  <c r="BF318" i="9" a="1"/>
  <c r="BF318" i="9" s="1"/>
  <c r="BG318" i="9" a="1"/>
  <c r="BG318" i="9" s="1"/>
  <c r="BH318" i="9" a="1"/>
  <c r="BH318" i="9" s="1"/>
  <c r="BI318" i="9" a="1"/>
  <c r="BI318" i="9" s="1"/>
  <c r="BJ318" i="9" a="1"/>
  <c r="BJ318" i="9" s="1"/>
  <c r="BK318" i="9" a="1"/>
  <c r="BK318" i="9" s="1"/>
  <c r="BL318" i="9" a="1"/>
  <c r="BL318" i="9" s="1"/>
  <c r="BM318" i="9" a="1"/>
  <c r="BM318" i="9" s="1"/>
  <c r="BN318" i="9" a="1"/>
  <c r="BN318" i="9" s="1"/>
  <c r="BO318" i="9" a="1"/>
  <c r="BO318" i="9" s="1"/>
  <c r="BP318" i="9" a="1"/>
  <c r="BP318" i="9" s="1"/>
  <c r="BQ318" i="9" a="1"/>
  <c r="BQ318" i="9" s="1"/>
  <c r="BR318" i="9" a="1"/>
  <c r="BR318" i="9" s="1"/>
  <c r="BS318" i="9" a="1"/>
  <c r="BS318" i="9" s="1"/>
  <c r="BT318" i="9" a="1"/>
  <c r="BT318" i="9" s="1"/>
  <c r="BU318" i="9" a="1"/>
  <c r="BU318" i="9" s="1"/>
  <c r="BC319" i="9" a="1"/>
  <c r="BC319" i="9" s="1"/>
  <c r="BD319" i="9" a="1"/>
  <c r="BD319" i="9" s="1"/>
  <c r="BE319" i="9" a="1"/>
  <c r="BE319" i="9" s="1"/>
  <c r="BF319" i="9" a="1"/>
  <c r="BF319" i="9" s="1"/>
  <c r="BG319" i="9" a="1"/>
  <c r="BG319" i="9" s="1"/>
  <c r="BH319" i="9" a="1"/>
  <c r="BH319" i="9" s="1"/>
  <c r="BI319" i="9" a="1"/>
  <c r="BI319" i="9" s="1"/>
  <c r="BJ319" i="9" a="1"/>
  <c r="BJ319" i="9" s="1"/>
  <c r="BK319" i="9" a="1"/>
  <c r="BK319" i="9" s="1"/>
  <c r="BL319" i="9" a="1"/>
  <c r="BL319" i="9" s="1"/>
  <c r="BM319" i="9" a="1"/>
  <c r="BM319" i="9" s="1"/>
  <c r="BN319" i="9" a="1"/>
  <c r="BN319" i="9" s="1"/>
  <c r="BO319" i="9" a="1"/>
  <c r="BO319" i="9" s="1"/>
  <c r="BP319" i="9" a="1"/>
  <c r="BP319" i="9" s="1"/>
  <c r="BQ319" i="9" a="1"/>
  <c r="BQ319" i="9" s="1"/>
  <c r="BR319" i="9" a="1"/>
  <c r="BR319" i="9" s="1"/>
  <c r="BS319" i="9" a="1"/>
  <c r="BS319" i="9" s="1"/>
  <c r="BT319" i="9" a="1"/>
  <c r="BT319" i="9" s="1"/>
  <c r="BU319" i="9" a="1"/>
  <c r="BU319" i="9" s="1"/>
  <c r="BC320" i="9" a="1"/>
  <c r="BC320" i="9" s="1"/>
  <c r="BD320" i="9" a="1"/>
  <c r="BD320" i="9" s="1"/>
  <c r="BE320" i="9" a="1"/>
  <c r="BE320" i="9" s="1"/>
  <c r="BF320" i="9" a="1"/>
  <c r="BF320" i="9" s="1"/>
  <c r="BG320" i="9" a="1"/>
  <c r="BG320" i="9" s="1"/>
  <c r="BH320" i="9" a="1"/>
  <c r="BH320" i="9" s="1"/>
  <c r="BI320" i="9" a="1"/>
  <c r="BI320" i="9" s="1"/>
  <c r="BJ320" i="9" a="1"/>
  <c r="BJ320" i="9" s="1"/>
  <c r="BK320" i="9" a="1"/>
  <c r="BK320" i="9" s="1"/>
  <c r="BL320" i="9" a="1"/>
  <c r="BL320" i="9" s="1"/>
  <c r="BM320" i="9" a="1"/>
  <c r="BM320" i="9" s="1"/>
  <c r="BN320" i="9" a="1"/>
  <c r="BN320" i="9" s="1"/>
  <c r="BO320" i="9" a="1"/>
  <c r="BO320" i="9" s="1"/>
  <c r="BP320" i="9" a="1"/>
  <c r="BP320" i="9" s="1"/>
  <c r="BQ320" i="9" a="1"/>
  <c r="BQ320" i="9" s="1"/>
  <c r="BR320" i="9" a="1"/>
  <c r="BR320" i="9" s="1"/>
  <c r="BS320" i="9" a="1"/>
  <c r="BS320" i="9" s="1"/>
  <c r="BT320" i="9" a="1"/>
  <c r="BT320" i="9" s="1"/>
  <c r="BU320" i="9" a="1"/>
  <c r="BU320" i="9" s="1"/>
  <c r="BC321" i="9" a="1"/>
  <c r="BC321" i="9" s="1"/>
  <c r="BD321" i="9" a="1"/>
  <c r="BD321" i="9" s="1"/>
  <c r="BE321" i="9" a="1"/>
  <c r="BE321" i="9" s="1"/>
  <c r="BF321" i="9" a="1"/>
  <c r="BF321" i="9" s="1"/>
  <c r="BG321" i="9" a="1"/>
  <c r="BG321" i="9" s="1"/>
  <c r="BH321" i="9" a="1"/>
  <c r="BH321" i="9" s="1"/>
  <c r="BI321" i="9" a="1"/>
  <c r="BI321" i="9" s="1"/>
  <c r="BJ321" i="9" a="1"/>
  <c r="BJ321" i="9" s="1"/>
  <c r="BK321" i="9" a="1"/>
  <c r="BK321" i="9" s="1"/>
  <c r="BL321" i="9" a="1"/>
  <c r="BL321" i="9" s="1"/>
  <c r="BM321" i="9" a="1"/>
  <c r="BM321" i="9" s="1"/>
  <c r="BN321" i="9" a="1"/>
  <c r="BN321" i="9" s="1"/>
  <c r="BO321" i="9" a="1"/>
  <c r="BO321" i="9" s="1"/>
  <c r="BP321" i="9" a="1"/>
  <c r="BP321" i="9" s="1"/>
  <c r="BQ321" i="9" a="1"/>
  <c r="BQ321" i="9" s="1"/>
  <c r="BR321" i="9" a="1"/>
  <c r="BR321" i="9" s="1"/>
  <c r="BS321" i="9" a="1"/>
  <c r="BS321" i="9" s="1"/>
  <c r="BT321" i="9" a="1"/>
  <c r="BT321" i="9" s="1"/>
  <c r="BU321" i="9" a="1"/>
  <c r="BU321" i="9" s="1"/>
  <c r="BC322" i="9" a="1"/>
  <c r="BC322" i="9" s="1"/>
  <c r="BD322" i="9" a="1"/>
  <c r="BD322" i="9" s="1"/>
  <c r="BE322" i="9" a="1"/>
  <c r="BE322" i="9" s="1"/>
  <c r="BF322" i="9" a="1"/>
  <c r="BF322" i="9" s="1"/>
  <c r="BG322" i="9" a="1"/>
  <c r="BG322" i="9" s="1"/>
  <c r="BH322" i="9" a="1"/>
  <c r="BH322" i="9" s="1"/>
  <c r="BI322" i="9" a="1"/>
  <c r="BI322" i="9" s="1"/>
  <c r="BJ322" i="9" a="1"/>
  <c r="BJ322" i="9" s="1"/>
  <c r="BK322" i="9" a="1"/>
  <c r="BK322" i="9" s="1"/>
  <c r="BL322" i="9" a="1"/>
  <c r="BL322" i="9" s="1"/>
  <c r="BM322" i="9" a="1"/>
  <c r="BM322" i="9" s="1"/>
  <c r="BN322" i="9" a="1"/>
  <c r="BN322" i="9" s="1"/>
  <c r="BO322" i="9" a="1"/>
  <c r="BO322" i="9" s="1"/>
  <c r="BP322" i="9" a="1"/>
  <c r="BP322" i="9" s="1"/>
  <c r="BQ322" i="9" a="1"/>
  <c r="BQ322" i="9" s="1"/>
  <c r="BR322" i="9" a="1"/>
  <c r="BR322" i="9" s="1"/>
  <c r="BS322" i="9" a="1"/>
  <c r="BS322" i="9" s="1"/>
  <c r="BT322" i="9" a="1"/>
  <c r="BT322" i="9" s="1"/>
  <c r="BU322" i="9" a="1"/>
  <c r="BU322" i="9" s="1"/>
  <c r="BC323" i="9" a="1"/>
  <c r="BC323" i="9" s="1"/>
  <c r="BD323" i="9" a="1"/>
  <c r="BD323" i="9" s="1"/>
  <c r="BE323" i="9" a="1"/>
  <c r="BE323" i="9" s="1"/>
  <c r="BF323" i="9" a="1"/>
  <c r="BF323" i="9" s="1"/>
  <c r="BG323" i="9" a="1"/>
  <c r="BG323" i="9" s="1"/>
  <c r="BH323" i="9" a="1"/>
  <c r="BH323" i="9" s="1"/>
  <c r="BI323" i="9" a="1"/>
  <c r="BI323" i="9" s="1"/>
  <c r="BJ323" i="9" a="1"/>
  <c r="BJ323" i="9" s="1"/>
  <c r="BK323" i="9" a="1"/>
  <c r="BK323" i="9" s="1"/>
  <c r="BL323" i="9" a="1"/>
  <c r="BL323" i="9" s="1"/>
  <c r="BM323" i="9" a="1"/>
  <c r="BM323" i="9" s="1"/>
  <c r="BN323" i="9" a="1"/>
  <c r="BN323" i="9" s="1"/>
  <c r="BO323" i="9" a="1"/>
  <c r="BO323" i="9" s="1"/>
  <c r="BP323" i="9" a="1"/>
  <c r="BP323" i="9" s="1"/>
  <c r="BQ323" i="9" a="1"/>
  <c r="BQ323" i="9" s="1"/>
  <c r="BR323" i="9" a="1"/>
  <c r="BR323" i="9" s="1"/>
  <c r="BS323" i="9" a="1"/>
  <c r="BS323" i="9" s="1"/>
  <c r="BT323" i="9" a="1"/>
  <c r="BT323" i="9" s="1"/>
  <c r="BU323" i="9" a="1"/>
  <c r="BU323" i="9" s="1"/>
  <c r="BC324" i="9" a="1"/>
  <c r="BC324" i="9" s="1"/>
  <c r="BD324" i="9" a="1"/>
  <c r="BD324" i="9" s="1"/>
  <c r="BE324" i="9" a="1"/>
  <c r="BE324" i="9" s="1"/>
  <c r="BF324" i="9" a="1"/>
  <c r="BF324" i="9" s="1"/>
  <c r="BG324" i="9" a="1"/>
  <c r="BG324" i="9" s="1"/>
  <c r="BH324" i="9" a="1"/>
  <c r="BH324" i="9" s="1"/>
  <c r="BI324" i="9" a="1"/>
  <c r="BI324" i="9" s="1"/>
  <c r="BJ324" i="9" a="1"/>
  <c r="BJ324" i="9" s="1"/>
  <c r="BK324" i="9" a="1"/>
  <c r="BK324" i="9" s="1"/>
  <c r="BL324" i="9" a="1"/>
  <c r="BL324" i="9" s="1"/>
  <c r="BM324" i="9" a="1"/>
  <c r="BM324" i="9" s="1"/>
  <c r="BN324" i="9" a="1"/>
  <c r="BN324" i="9" s="1"/>
  <c r="BO324" i="9" a="1"/>
  <c r="BO324" i="9" s="1"/>
  <c r="BP324" i="9" a="1"/>
  <c r="BP324" i="9" s="1"/>
  <c r="BQ324" i="9" a="1"/>
  <c r="BQ324" i="9" s="1"/>
  <c r="BR324" i="9" a="1"/>
  <c r="BR324" i="9" s="1"/>
  <c r="BS324" i="9" a="1"/>
  <c r="BS324" i="9" s="1"/>
  <c r="BT324" i="9" a="1"/>
  <c r="BT324" i="9" s="1"/>
  <c r="BU324" i="9" a="1"/>
  <c r="BU324" i="9" s="1"/>
  <c r="BC325" i="9" a="1"/>
  <c r="BC325" i="9" s="1"/>
  <c r="BD325" i="9" a="1"/>
  <c r="BD325" i="9" s="1"/>
  <c r="BE325" i="9" a="1"/>
  <c r="BE325" i="9" s="1"/>
  <c r="BF325" i="9" a="1"/>
  <c r="BF325" i="9" s="1"/>
  <c r="BG325" i="9" a="1"/>
  <c r="BG325" i="9" s="1"/>
  <c r="BH325" i="9" a="1"/>
  <c r="BH325" i="9" s="1"/>
  <c r="BI325" i="9" a="1"/>
  <c r="BI325" i="9" s="1"/>
  <c r="BJ325" i="9" a="1"/>
  <c r="BJ325" i="9" s="1"/>
  <c r="BK325" i="9" a="1"/>
  <c r="BK325" i="9" s="1"/>
  <c r="BL325" i="9" a="1"/>
  <c r="BL325" i="9" s="1"/>
  <c r="BM325" i="9" a="1"/>
  <c r="BM325" i="9" s="1"/>
  <c r="BN325" i="9" a="1"/>
  <c r="BN325" i="9" s="1"/>
  <c r="BO325" i="9" a="1"/>
  <c r="BO325" i="9" s="1"/>
  <c r="BP325" i="9" a="1"/>
  <c r="BP325" i="9" s="1"/>
  <c r="BQ325" i="9" a="1"/>
  <c r="BQ325" i="9" s="1"/>
  <c r="BR325" i="9" a="1"/>
  <c r="BR325" i="9" s="1"/>
  <c r="BS325" i="9" a="1"/>
  <c r="BS325" i="9" s="1"/>
  <c r="BT325" i="9" a="1"/>
  <c r="BT325" i="9" s="1"/>
  <c r="BU325" i="9" a="1"/>
  <c r="BU325" i="9" s="1"/>
  <c r="BC326" i="9" a="1"/>
  <c r="BC326" i="9" s="1"/>
  <c r="BD326" i="9" a="1"/>
  <c r="BD326" i="9" s="1"/>
  <c r="BE326" i="9" a="1"/>
  <c r="BE326" i="9" s="1"/>
  <c r="BF326" i="9" a="1"/>
  <c r="BF326" i="9" s="1"/>
  <c r="BG326" i="9" a="1"/>
  <c r="BG326" i="9" s="1"/>
  <c r="BH326" i="9" a="1"/>
  <c r="BH326" i="9" s="1"/>
  <c r="BI326" i="9" a="1"/>
  <c r="BI326" i="9" s="1"/>
  <c r="BJ326" i="9" a="1"/>
  <c r="BJ326" i="9" s="1"/>
  <c r="BK326" i="9" a="1"/>
  <c r="BK326" i="9" s="1"/>
  <c r="BL326" i="9" a="1"/>
  <c r="BL326" i="9" s="1"/>
  <c r="BM326" i="9" a="1"/>
  <c r="BM326" i="9" s="1"/>
  <c r="BN326" i="9" a="1"/>
  <c r="BN326" i="9" s="1"/>
  <c r="BO326" i="9" a="1"/>
  <c r="BO326" i="9" s="1"/>
  <c r="BP326" i="9" a="1"/>
  <c r="BP326" i="9" s="1"/>
  <c r="BQ326" i="9" a="1"/>
  <c r="BQ326" i="9" s="1"/>
  <c r="BR326" i="9" a="1"/>
  <c r="BR326" i="9" s="1"/>
  <c r="BS326" i="9" a="1"/>
  <c r="BS326" i="9" s="1"/>
  <c r="BT326" i="9" a="1"/>
  <c r="BT326" i="9" s="1"/>
  <c r="BU326" i="9" a="1"/>
  <c r="BU326" i="9" s="1"/>
  <c r="BC327" i="9" a="1"/>
  <c r="BC327" i="9" s="1"/>
  <c r="BD327" i="9" a="1"/>
  <c r="BD327" i="9" s="1"/>
  <c r="BE327" i="9" a="1"/>
  <c r="BE327" i="9" s="1"/>
  <c r="BF327" i="9" a="1"/>
  <c r="BF327" i="9" s="1"/>
  <c r="BG327" i="9" a="1"/>
  <c r="BG327" i="9" s="1"/>
  <c r="BH327" i="9" a="1"/>
  <c r="BH327" i="9" s="1"/>
  <c r="BI327" i="9" a="1"/>
  <c r="BI327" i="9" s="1"/>
  <c r="BJ327" i="9" a="1"/>
  <c r="BJ327" i="9" s="1"/>
  <c r="BK327" i="9" a="1"/>
  <c r="BK327" i="9" s="1"/>
  <c r="BL327" i="9" a="1"/>
  <c r="BL327" i="9" s="1"/>
  <c r="BM327" i="9" a="1"/>
  <c r="BM327" i="9" s="1"/>
  <c r="BN327" i="9" a="1"/>
  <c r="BN327" i="9" s="1"/>
  <c r="BO327" i="9" a="1"/>
  <c r="BO327" i="9" s="1"/>
  <c r="BP327" i="9" a="1"/>
  <c r="BP327" i="9" s="1"/>
  <c r="BQ327" i="9" a="1"/>
  <c r="BQ327" i="9" s="1"/>
  <c r="BR327" i="9" a="1"/>
  <c r="BR327" i="9" s="1"/>
  <c r="BS327" i="9" a="1"/>
  <c r="BS327" i="9" s="1"/>
  <c r="BT327" i="9" a="1"/>
  <c r="BT327" i="9" s="1"/>
  <c r="BU327" i="9" a="1"/>
  <c r="BU327" i="9" s="1"/>
  <c r="BU308" i="9" a="1"/>
  <c r="BU308" i="9" s="1"/>
  <c r="BT308" i="9" a="1"/>
  <c r="BT308" i="9" s="1"/>
  <c r="BS308" i="9" a="1"/>
  <c r="BS308" i="9" s="1"/>
  <c r="BR308" i="9" a="1"/>
  <c r="BR308" i="9" s="1"/>
  <c r="BQ308" i="9" a="1"/>
  <c r="BQ308" i="9" s="1"/>
  <c r="BP308" i="9" a="1"/>
  <c r="BP308" i="9" s="1"/>
  <c r="BO308" i="9" a="1"/>
  <c r="BO308" i="9" s="1"/>
  <c r="BN308" i="9" a="1"/>
  <c r="BN308" i="9" s="1"/>
  <c r="BM308" i="9" a="1"/>
  <c r="BM308" i="9" s="1"/>
  <c r="BL308" i="9" a="1"/>
  <c r="BL308" i="9" s="1"/>
  <c r="BK308" i="9" a="1"/>
  <c r="BK308" i="9" s="1"/>
  <c r="BJ308" i="9" a="1"/>
  <c r="BJ308" i="9" s="1"/>
  <c r="BI308" i="9" a="1"/>
  <c r="BI308" i="9" s="1"/>
  <c r="BH308" i="9" a="1"/>
  <c r="BH308" i="9" s="1"/>
  <c r="BG308" i="9" a="1"/>
  <c r="BG308" i="9" s="1"/>
  <c r="BF308" i="9" a="1"/>
  <c r="BF308" i="9" s="1"/>
  <c r="BE308" i="9" a="1"/>
  <c r="BE308" i="9" s="1"/>
  <c r="BD308" i="9" a="1"/>
  <c r="BD308" i="9" s="1"/>
  <c r="BC308" i="9" a="1"/>
  <c r="BC308" i="9" s="1"/>
  <c r="BC306" i="9" a="1"/>
  <c r="BC306" i="9" s="1"/>
  <c r="BD306" i="9" a="1"/>
  <c r="BD306" i="9" s="1"/>
  <c r="BE306" i="9" a="1"/>
  <c r="BE306" i="9" s="1"/>
  <c r="BF306" i="9" a="1"/>
  <c r="BF306" i="9" s="1"/>
  <c r="BG306" i="9" a="1"/>
  <c r="BG306" i="9" s="1"/>
  <c r="BH306" i="9" a="1"/>
  <c r="BH306" i="9" s="1"/>
  <c r="BI306" i="9" a="1"/>
  <c r="BI306" i="9" s="1"/>
  <c r="BJ306" i="9" a="1"/>
  <c r="BJ306" i="9" s="1"/>
  <c r="BK306" i="9" a="1"/>
  <c r="BK306" i="9" s="1"/>
  <c r="BL306" i="9" a="1"/>
  <c r="BL306" i="9" s="1"/>
  <c r="BM306" i="9" a="1"/>
  <c r="BM306" i="9" s="1"/>
  <c r="BN306" i="9" a="1"/>
  <c r="BN306" i="9" s="1"/>
  <c r="BO306" i="9" a="1"/>
  <c r="BO306" i="9" s="1"/>
  <c r="BP306" i="9" a="1"/>
  <c r="BP306" i="9" s="1"/>
  <c r="BQ306" i="9" a="1"/>
  <c r="BQ306" i="9" s="1"/>
  <c r="BR306" i="9" a="1"/>
  <c r="BR306" i="9" s="1"/>
  <c r="BS306" i="9" a="1"/>
  <c r="BS306" i="9" s="1"/>
  <c r="CN306" i="9" s="1"/>
  <c r="BT306" i="9" a="1"/>
  <c r="BT306" i="9" s="1"/>
  <c r="BU306" i="9" a="1"/>
  <c r="BU306" i="9" s="1"/>
  <c r="BB306" i="9" a="1"/>
  <c r="BB306" i="9" s="1"/>
  <c r="BB308" i="9" a="1"/>
  <c r="BB308" i="9" s="1"/>
  <c r="BB309" i="9" a="1"/>
  <c r="BB309" i="9" s="1"/>
  <c r="BB310" i="9" a="1"/>
  <c r="BB310" i="9" s="1"/>
  <c r="BB311" i="9" a="1"/>
  <c r="BB311" i="9" s="1"/>
  <c r="BB312" i="9" a="1"/>
  <c r="BB312" i="9" s="1"/>
  <c r="BB313" i="9" a="1"/>
  <c r="BB313" i="9" s="1"/>
  <c r="BB314" i="9" a="1"/>
  <c r="BB314" i="9" s="1"/>
  <c r="BB315" i="9" a="1"/>
  <c r="BB315" i="9" s="1"/>
  <c r="BB316" i="9" a="1"/>
  <c r="BB316" i="9" s="1"/>
  <c r="BB317" i="9" a="1"/>
  <c r="BB317" i="9" s="1"/>
  <c r="BB318" i="9" a="1"/>
  <c r="BB318" i="9" s="1"/>
  <c r="BB319" i="9" a="1"/>
  <c r="BB319" i="9" s="1"/>
  <c r="BB320" i="9" a="1"/>
  <c r="BB320" i="9" s="1"/>
  <c r="BB321" i="9" a="1"/>
  <c r="BB321" i="9" s="1"/>
  <c r="BB322" i="9" a="1"/>
  <c r="BB322" i="9" s="1"/>
  <c r="BB323" i="9" a="1"/>
  <c r="BB323" i="9" s="1"/>
  <c r="BB324" i="9" a="1"/>
  <c r="BB324" i="9" s="1"/>
  <c r="BB325" i="9" a="1"/>
  <c r="BB325" i="9" s="1"/>
  <c r="BB326" i="9" a="1"/>
  <c r="BB326" i="9" s="1"/>
  <c r="BB327" i="9" a="1"/>
  <c r="BB327" i="9" s="1"/>
  <c r="AD266" i="9" a="1"/>
  <c r="AD266" i="9" s="1"/>
  <c r="AD268" i="9" a="1"/>
  <c r="AD268" i="9" s="1"/>
  <c r="AD271" i="9" a="1"/>
  <c r="AD271" i="9" s="1"/>
  <c r="AD273" i="9" a="1"/>
  <c r="AD273" i="9" s="1"/>
  <c r="AD276" i="9" a="1"/>
  <c r="AD276" i="9" s="1"/>
  <c r="AD278" i="9" a="1"/>
  <c r="AD278" i="9" s="1"/>
  <c r="AD280" i="9" a="1"/>
  <c r="AD280" i="9" s="1"/>
  <c r="AD281" i="9" a="1"/>
  <c r="AD281" i="9" s="1"/>
  <c r="AD282" i="9" a="1"/>
  <c r="AD282" i="9" s="1"/>
  <c r="AD265" i="9" a="1"/>
  <c r="AD265" i="9" s="1"/>
  <c r="AD267" i="9" a="1"/>
  <c r="AD267" i="9" s="1"/>
  <c r="AD269" i="9" a="1"/>
  <c r="AD269" i="9" s="1"/>
  <c r="AD270" i="9" a="1"/>
  <c r="AD270" i="9" s="1"/>
  <c r="AD272" i="9" a="1"/>
  <c r="AD272" i="9" s="1"/>
  <c r="AD274" i="9" a="1"/>
  <c r="AD274" i="9" s="1"/>
  <c r="AD275" i="9" a="1"/>
  <c r="AD275" i="9" s="1"/>
  <c r="AD277" i="9" a="1"/>
  <c r="AD277" i="9" s="1"/>
  <c r="AD279" i="9" a="1"/>
  <c r="AD279" i="9" s="1"/>
  <c r="AD283" i="9" a="1"/>
  <c r="AD283" i="9" s="1"/>
  <c r="T220" i="9" a="1"/>
  <c r="T220" i="9" s="1"/>
  <c r="W220" i="9" a="1"/>
  <c r="W220" i="9" s="1"/>
  <c r="T221" i="9" a="1"/>
  <c r="T221" i="9" s="1"/>
  <c r="W221" i="9" a="1"/>
  <c r="W221" i="9" s="1"/>
  <c r="T222" i="9" a="1"/>
  <c r="T222" i="9" s="1"/>
  <c r="W222" i="9" a="1"/>
  <c r="W222" i="9" s="1"/>
  <c r="T223" i="9" a="1"/>
  <c r="T223" i="9" s="1"/>
  <c r="W223" i="9" a="1"/>
  <c r="W223" i="9" s="1"/>
  <c r="T224" i="9" a="1"/>
  <c r="T224" i="9" s="1"/>
  <c r="W224" i="9" a="1"/>
  <c r="W224" i="9" s="1"/>
  <c r="T225" i="9" a="1"/>
  <c r="T225" i="9" s="1"/>
  <c r="W225" i="9" a="1"/>
  <c r="W225" i="9" s="1"/>
  <c r="T226" i="9" a="1"/>
  <c r="T226" i="9" s="1"/>
  <c r="W226" i="9" a="1"/>
  <c r="W226" i="9" s="1"/>
  <c r="T227" i="9" a="1"/>
  <c r="T227" i="9" s="1"/>
  <c r="W227" i="9" a="1"/>
  <c r="W227" i="9" s="1"/>
  <c r="T228" i="9" a="1"/>
  <c r="T228" i="9" s="1"/>
  <c r="W228" i="9" a="1"/>
  <c r="W228" i="9" s="1"/>
  <c r="T229" i="9" a="1"/>
  <c r="T229" i="9" s="1"/>
  <c r="W229" i="9" a="1"/>
  <c r="W229" i="9" s="1"/>
  <c r="T230" i="9" a="1"/>
  <c r="T230" i="9" s="1"/>
  <c r="W230" i="9" a="1"/>
  <c r="W230" i="9" s="1"/>
  <c r="T231" i="9" a="1"/>
  <c r="T231" i="9" s="1"/>
  <c r="W231" i="9" a="1"/>
  <c r="W231" i="9" s="1"/>
  <c r="T232" i="9" a="1"/>
  <c r="T232" i="9" s="1"/>
  <c r="W232" i="9" a="1"/>
  <c r="W232" i="9" s="1"/>
  <c r="T233" i="9" a="1"/>
  <c r="T233" i="9" s="1"/>
  <c r="W233" i="9" a="1"/>
  <c r="W233" i="9" s="1"/>
  <c r="T234" i="9" a="1"/>
  <c r="T234" i="9" s="1"/>
  <c r="W234" i="9" a="1"/>
  <c r="W234" i="9" s="1"/>
  <c r="T235" i="9" a="1"/>
  <c r="T235" i="9" s="1"/>
  <c r="W235" i="9" a="1"/>
  <c r="W235" i="9" s="1"/>
  <c r="T236" i="9" a="1"/>
  <c r="T236" i="9" s="1"/>
  <c r="W236" i="9" a="1"/>
  <c r="W236" i="9" s="1"/>
  <c r="T237" i="9" a="1"/>
  <c r="T237" i="9" s="1"/>
  <c r="W237" i="9" a="1"/>
  <c r="W237" i="9" s="1"/>
  <c r="T238" i="9" a="1"/>
  <c r="T238" i="9" s="1"/>
  <c r="W238" i="9" a="1"/>
  <c r="W238" i="9" s="1"/>
  <c r="T219" i="9" a="1"/>
  <c r="T219" i="9" s="1"/>
  <c r="W219" i="9" a="1"/>
  <c r="W219" i="9" s="1"/>
  <c r="T217" i="9" a="1"/>
  <c r="T217" i="9" s="1"/>
  <c r="V217" i="9" s="1"/>
  <c r="W217" i="9" a="1"/>
  <c r="W217" i="9" s="1"/>
  <c r="Y217" i="9" s="1"/>
  <c r="N175" i="9" a="1"/>
  <c r="N175" i="9" s="1"/>
  <c r="P175" i="9" s="1"/>
  <c r="K175" i="9" a="1"/>
  <c r="K175" i="9" s="1"/>
  <c r="M175" i="9" s="1"/>
  <c r="P178" i="9"/>
  <c r="P179" i="9"/>
  <c r="P180" i="9"/>
  <c r="P181" i="9"/>
  <c r="P182" i="9"/>
  <c r="P183" i="9"/>
  <c r="P184" i="9"/>
  <c r="P185" i="9"/>
  <c r="P186" i="9"/>
  <c r="P187" i="9"/>
  <c r="P188" i="9"/>
  <c r="P189" i="9"/>
  <c r="P190" i="9"/>
  <c r="P191" i="9"/>
  <c r="P192" i="9"/>
  <c r="P193" i="9"/>
  <c r="P194" i="9"/>
  <c r="P195" i="9"/>
  <c r="P196" i="9"/>
  <c r="P177" i="9"/>
  <c r="M177" i="9"/>
  <c r="M196" i="9"/>
  <c r="M195" i="9"/>
  <c r="M194" i="9"/>
  <c r="M193" i="9"/>
  <c r="M192" i="9"/>
  <c r="M191" i="9"/>
  <c r="M190" i="9"/>
  <c r="M189" i="9"/>
  <c r="M188" i="9"/>
  <c r="M187" i="9"/>
  <c r="M186" i="9"/>
  <c r="M185" i="9"/>
  <c r="M184" i="9"/>
  <c r="M183" i="9"/>
  <c r="M182" i="9"/>
  <c r="M181" i="9"/>
  <c r="M180" i="9"/>
  <c r="M179" i="9"/>
  <c r="M178" i="9"/>
  <c r="C8" i="10"/>
  <c r="C27" i="10"/>
  <c r="C19" i="10"/>
  <c r="C24" i="10"/>
  <c r="C9" i="10"/>
  <c r="C25" i="10"/>
  <c r="C26" i="10"/>
  <c r="C22" i="10"/>
  <c r="C21" i="10"/>
  <c r="C20" i="10"/>
  <c r="C18" i="10"/>
  <c r="C17" i="10"/>
  <c r="C16" i="10"/>
  <c r="C15" i="10"/>
  <c r="C14" i="10"/>
  <c r="C13" i="10"/>
  <c r="C12" i="10"/>
  <c r="C11" i="10"/>
  <c r="C10" i="10"/>
  <c r="CS309" i="9" l="1" a="1"/>
  <c r="CS309" i="9" s="1"/>
  <c r="DV309" i="9" s="1" a="1"/>
  <c r="DV309" i="9" s="1"/>
  <c r="BX309" i="9"/>
  <c r="CT309" i="9" a="1"/>
  <c r="CT309" i="9" s="1"/>
  <c r="DW309" i="9" s="1" a="1"/>
  <c r="DW309" i="9" s="1"/>
  <c r="BY309" i="9"/>
  <c r="CU309" i="9" a="1"/>
  <c r="CU309" i="9" s="1"/>
  <c r="DX309" i="9" s="1" a="1"/>
  <c r="DX309" i="9" s="1"/>
  <c r="BZ309" i="9"/>
  <c r="CV309" i="9" a="1"/>
  <c r="CV309" i="9" s="1"/>
  <c r="DY309" i="9" s="1" a="1"/>
  <c r="DY309" i="9" s="1"/>
  <c r="CA309" i="9"/>
  <c r="CW309" i="9" a="1"/>
  <c r="CW309" i="9" s="1"/>
  <c r="DZ309" i="9" s="1" a="1"/>
  <c r="DZ309" i="9" s="1"/>
  <c r="CB309" i="9"/>
  <c r="CX309" i="9" a="1"/>
  <c r="CX309" i="9" s="1"/>
  <c r="EA309" i="9" s="1" a="1"/>
  <c r="EA309" i="9" s="1"/>
  <c r="CC309" i="9"/>
  <c r="CY309" i="9" a="1"/>
  <c r="CY309" i="9" s="1"/>
  <c r="EB309" i="9" s="1" a="1"/>
  <c r="EB309" i="9" s="1"/>
  <c r="CD309" i="9"/>
  <c r="CZ309" i="9" a="1"/>
  <c r="CZ309" i="9" s="1"/>
  <c r="EC309" i="9" s="1" a="1"/>
  <c r="EC309" i="9" s="1"/>
  <c r="CE309" i="9"/>
  <c r="DA309" i="9" a="1"/>
  <c r="DA309" i="9" s="1"/>
  <c r="ED309" i="9" s="1" a="1"/>
  <c r="ED309" i="9" s="1"/>
  <c r="CF309" i="9"/>
  <c r="DB309" i="9" a="1"/>
  <c r="DB309" i="9" s="1"/>
  <c r="EE309" i="9" s="1" a="1"/>
  <c r="EE309" i="9" s="1"/>
  <c r="CG309" i="9"/>
  <c r="DC309" i="9" a="1"/>
  <c r="DC309" i="9" s="1"/>
  <c r="EF309" i="9" s="1" a="1"/>
  <c r="EF309" i="9" s="1"/>
  <c r="CH309" i="9"/>
  <c r="DD309" i="9" a="1"/>
  <c r="DD309" i="9" s="1"/>
  <c r="EG309" i="9" s="1" a="1"/>
  <c r="EG309" i="9" s="1"/>
  <c r="CI309" i="9"/>
  <c r="DE309" i="9" a="1"/>
  <c r="DE309" i="9" s="1"/>
  <c r="EH309" i="9" s="1" a="1"/>
  <c r="EH309" i="9" s="1"/>
  <c r="CJ309" i="9"/>
  <c r="DF309" i="9" a="1"/>
  <c r="DF309" i="9" s="1"/>
  <c r="EI309" i="9" s="1" a="1"/>
  <c r="EI309" i="9" s="1"/>
  <c r="CK309" i="9"/>
  <c r="DG309" i="9" a="1"/>
  <c r="DG309" i="9" s="1"/>
  <c r="EJ309" i="9" s="1" a="1"/>
  <c r="EJ309" i="9" s="1"/>
  <c r="CL309" i="9"/>
  <c r="DH309" i="9" a="1"/>
  <c r="DH309" i="9" s="1"/>
  <c r="EK309" i="9" s="1" a="1"/>
  <c r="EK309" i="9" s="1"/>
  <c r="CM309" i="9"/>
  <c r="DI309" i="9" a="1"/>
  <c r="DI309" i="9" s="1"/>
  <c r="EL309" i="9" s="1" a="1"/>
  <c r="EL309" i="9" s="1"/>
  <c r="CN309" i="9"/>
  <c r="DJ309" i="9" a="1"/>
  <c r="DJ309" i="9" s="1"/>
  <c r="EM309" i="9" s="1" a="1"/>
  <c r="EM309" i="9" s="1"/>
  <c r="CO309" i="9"/>
  <c r="DK309" i="9" a="1"/>
  <c r="DK309" i="9" s="1"/>
  <c r="EN309" i="9" s="1" a="1"/>
  <c r="EN309" i="9" s="1"/>
  <c r="CP309" i="9"/>
  <c r="CS310" i="9" a="1"/>
  <c r="CS310" i="9" s="1"/>
  <c r="DV310" i="9" s="1" a="1"/>
  <c r="DV310" i="9" s="1"/>
  <c r="BX310" i="9"/>
  <c r="CT310" i="9" a="1"/>
  <c r="CT310" i="9" s="1"/>
  <c r="DW310" i="9" s="1" a="1"/>
  <c r="DW310" i="9" s="1"/>
  <c r="BY310" i="9"/>
  <c r="CU310" i="9" a="1"/>
  <c r="CU310" i="9" s="1"/>
  <c r="DX310" i="9" s="1" a="1"/>
  <c r="DX310" i="9" s="1"/>
  <c r="BZ310" i="9"/>
  <c r="CV310" i="9" a="1"/>
  <c r="CV310" i="9" s="1"/>
  <c r="DY310" i="9" s="1" a="1"/>
  <c r="DY310" i="9" s="1"/>
  <c r="CA310" i="9"/>
  <c r="CW310" i="9" a="1"/>
  <c r="CW310" i="9" s="1"/>
  <c r="DZ310" i="9" s="1" a="1"/>
  <c r="DZ310" i="9" s="1"/>
  <c r="CB310" i="9"/>
  <c r="CX310" i="9" a="1"/>
  <c r="CX310" i="9" s="1"/>
  <c r="EA310" i="9" s="1" a="1"/>
  <c r="EA310" i="9" s="1"/>
  <c r="CC310" i="9"/>
  <c r="CY310" i="9" a="1"/>
  <c r="CY310" i="9" s="1"/>
  <c r="EB310" i="9" s="1" a="1"/>
  <c r="EB310" i="9" s="1"/>
  <c r="CD310" i="9"/>
  <c r="CZ310" i="9" a="1"/>
  <c r="CZ310" i="9" s="1"/>
  <c r="EC310" i="9" s="1" a="1"/>
  <c r="EC310" i="9" s="1"/>
  <c r="CE310" i="9"/>
  <c r="DA310" i="9" a="1"/>
  <c r="DA310" i="9" s="1"/>
  <c r="ED310" i="9" s="1" a="1"/>
  <c r="ED310" i="9" s="1"/>
  <c r="CF310" i="9"/>
  <c r="DB310" i="9" a="1"/>
  <c r="DB310" i="9" s="1"/>
  <c r="EE310" i="9" s="1" a="1"/>
  <c r="EE310" i="9" s="1"/>
  <c r="CG310" i="9"/>
  <c r="DC310" i="9" a="1"/>
  <c r="DC310" i="9" s="1"/>
  <c r="EF310" i="9" s="1" a="1"/>
  <c r="EF310" i="9" s="1"/>
  <c r="CH310" i="9"/>
  <c r="DD310" i="9" a="1"/>
  <c r="DD310" i="9" s="1"/>
  <c r="EG310" i="9" s="1" a="1"/>
  <c r="EG310" i="9" s="1"/>
  <c r="CI310" i="9"/>
  <c r="DE310" i="9" a="1"/>
  <c r="DE310" i="9" s="1"/>
  <c r="EH310" i="9" s="1" a="1"/>
  <c r="EH310" i="9" s="1"/>
  <c r="CJ310" i="9"/>
  <c r="DF310" i="9" a="1"/>
  <c r="DF310" i="9" s="1"/>
  <c r="EI310" i="9" s="1" a="1"/>
  <c r="EI310" i="9" s="1"/>
  <c r="CK310" i="9"/>
  <c r="DG310" i="9" a="1"/>
  <c r="DG310" i="9" s="1"/>
  <c r="EJ310" i="9" s="1" a="1"/>
  <c r="EJ310" i="9" s="1"/>
  <c r="CL310" i="9"/>
  <c r="DH310" i="9" a="1"/>
  <c r="DH310" i="9" s="1"/>
  <c r="EK310" i="9" s="1" a="1"/>
  <c r="EK310" i="9" s="1"/>
  <c r="CM310" i="9"/>
  <c r="DI310" i="9" a="1"/>
  <c r="DI310" i="9" s="1"/>
  <c r="EL310" i="9" s="1" a="1"/>
  <c r="EL310" i="9" s="1"/>
  <c r="CN310" i="9"/>
  <c r="DJ310" i="9" a="1"/>
  <c r="DJ310" i="9" s="1"/>
  <c r="EM310" i="9" s="1" a="1"/>
  <c r="EM310" i="9" s="1"/>
  <c r="CO310" i="9"/>
  <c r="DK310" i="9" a="1"/>
  <c r="DK310" i="9" s="1"/>
  <c r="EN310" i="9" s="1" a="1"/>
  <c r="EN310" i="9" s="1"/>
  <c r="CP310" i="9"/>
  <c r="CS311" i="9" a="1"/>
  <c r="CS311" i="9" s="1"/>
  <c r="DV311" i="9" s="1" a="1"/>
  <c r="DV311" i="9" s="1"/>
  <c r="BX311" i="9"/>
  <c r="CT311" i="9" a="1"/>
  <c r="CT311" i="9" s="1"/>
  <c r="DW311" i="9" s="1" a="1"/>
  <c r="DW311" i="9" s="1"/>
  <c r="BY311" i="9"/>
  <c r="CU311" i="9" a="1"/>
  <c r="CU311" i="9" s="1"/>
  <c r="DX311" i="9" s="1" a="1"/>
  <c r="DX311" i="9" s="1"/>
  <c r="BZ311" i="9"/>
  <c r="CV311" i="9" a="1"/>
  <c r="CV311" i="9" s="1"/>
  <c r="DY311" i="9" s="1" a="1"/>
  <c r="DY311" i="9" s="1"/>
  <c r="CA311" i="9"/>
  <c r="CW311" i="9" a="1"/>
  <c r="CW311" i="9" s="1"/>
  <c r="DZ311" i="9" s="1" a="1"/>
  <c r="DZ311" i="9" s="1"/>
  <c r="CB311" i="9"/>
  <c r="CX311" i="9" a="1"/>
  <c r="CX311" i="9" s="1"/>
  <c r="EA311" i="9" s="1" a="1"/>
  <c r="EA311" i="9" s="1"/>
  <c r="CC311" i="9"/>
  <c r="CY311" i="9" a="1"/>
  <c r="CY311" i="9" s="1"/>
  <c r="EB311" i="9" s="1" a="1"/>
  <c r="EB311" i="9" s="1"/>
  <c r="CD311" i="9"/>
  <c r="CZ311" i="9" a="1"/>
  <c r="CZ311" i="9" s="1"/>
  <c r="EC311" i="9" s="1" a="1"/>
  <c r="EC311" i="9" s="1"/>
  <c r="CE311" i="9"/>
  <c r="DA311" i="9" a="1"/>
  <c r="DA311" i="9" s="1"/>
  <c r="ED311" i="9" s="1" a="1"/>
  <c r="ED311" i="9" s="1"/>
  <c r="CF311" i="9"/>
  <c r="DB311" i="9" a="1"/>
  <c r="DB311" i="9" s="1"/>
  <c r="EE311" i="9" s="1" a="1"/>
  <c r="EE311" i="9" s="1"/>
  <c r="CG311" i="9"/>
  <c r="DC311" i="9" a="1"/>
  <c r="DC311" i="9" s="1"/>
  <c r="EF311" i="9" s="1" a="1"/>
  <c r="EF311" i="9" s="1"/>
  <c r="CH311" i="9"/>
  <c r="DD311" i="9" a="1"/>
  <c r="DD311" i="9" s="1"/>
  <c r="EG311" i="9" s="1" a="1"/>
  <c r="EG311" i="9" s="1"/>
  <c r="CI311" i="9"/>
  <c r="DE311" i="9" a="1"/>
  <c r="DE311" i="9" s="1"/>
  <c r="EH311" i="9" s="1" a="1"/>
  <c r="EH311" i="9" s="1"/>
  <c r="CJ311" i="9"/>
  <c r="DF311" i="9" a="1"/>
  <c r="DF311" i="9" s="1"/>
  <c r="EI311" i="9" s="1" a="1"/>
  <c r="EI311" i="9" s="1"/>
  <c r="CK311" i="9"/>
  <c r="DG311" i="9" a="1"/>
  <c r="DG311" i="9" s="1"/>
  <c r="EJ311" i="9" s="1" a="1"/>
  <c r="EJ311" i="9" s="1"/>
  <c r="CL311" i="9"/>
  <c r="DH311" i="9" a="1"/>
  <c r="DH311" i="9" s="1"/>
  <c r="EK311" i="9" s="1" a="1"/>
  <c r="EK311" i="9" s="1"/>
  <c r="CM311" i="9"/>
  <c r="DI311" i="9" a="1"/>
  <c r="DI311" i="9" s="1"/>
  <c r="EL311" i="9" s="1" a="1"/>
  <c r="EL311" i="9" s="1"/>
  <c r="CN311" i="9"/>
  <c r="DJ311" i="9" a="1"/>
  <c r="DJ311" i="9" s="1"/>
  <c r="EM311" i="9" s="1" a="1"/>
  <c r="EM311" i="9" s="1"/>
  <c r="CO311" i="9"/>
  <c r="DK311" i="9" a="1"/>
  <c r="DK311" i="9" s="1"/>
  <c r="EN311" i="9" s="1" a="1"/>
  <c r="EN311" i="9" s="1"/>
  <c r="CP311" i="9"/>
  <c r="CS312" i="9" a="1"/>
  <c r="CS312" i="9" s="1"/>
  <c r="DV312" i="9" s="1" a="1"/>
  <c r="DV312" i="9" s="1"/>
  <c r="BX312" i="9"/>
  <c r="CT312" i="9" a="1"/>
  <c r="CT312" i="9" s="1"/>
  <c r="DW312" i="9" s="1" a="1"/>
  <c r="DW312" i="9" s="1"/>
  <c r="BY312" i="9"/>
  <c r="CU312" i="9" a="1"/>
  <c r="CU312" i="9" s="1"/>
  <c r="DX312" i="9" s="1" a="1"/>
  <c r="DX312" i="9" s="1"/>
  <c r="BZ312" i="9"/>
  <c r="CV312" i="9" a="1"/>
  <c r="CV312" i="9" s="1"/>
  <c r="DY312" i="9" s="1" a="1"/>
  <c r="DY312" i="9" s="1"/>
  <c r="CA312" i="9"/>
  <c r="CW312" i="9" a="1"/>
  <c r="CW312" i="9" s="1"/>
  <c r="DZ312" i="9" s="1" a="1"/>
  <c r="DZ312" i="9" s="1"/>
  <c r="CB312" i="9"/>
  <c r="CX312" i="9" a="1"/>
  <c r="CX312" i="9" s="1"/>
  <c r="EA312" i="9" s="1" a="1"/>
  <c r="EA312" i="9" s="1"/>
  <c r="CC312" i="9"/>
  <c r="CY312" i="9" a="1"/>
  <c r="CY312" i="9" s="1"/>
  <c r="EB312" i="9" s="1" a="1"/>
  <c r="EB312" i="9" s="1"/>
  <c r="CD312" i="9"/>
  <c r="CZ312" i="9" a="1"/>
  <c r="CZ312" i="9" s="1"/>
  <c r="EC312" i="9" s="1" a="1"/>
  <c r="EC312" i="9" s="1"/>
  <c r="CE312" i="9"/>
  <c r="DA312" i="9" a="1"/>
  <c r="DA312" i="9" s="1"/>
  <c r="ED312" i="9" s="1" a="1"/>
  <c r="ED312" i="9" s="1"/>
  <c r="CF312" i="9"/>
  <c r="DB312" i="9" a="1"/>
  <c r="DB312" i="9" s="1"/>
  <c r="EE312" i="9" s="1" a="1"/>
  <c r="EE312" i="9" s="1"/>
  <c r="CG312" i="9"/>
  <c r="DC312" i="9" a="1"/>
  <c r="DC312" i="9" s="1"/>
  <c r="EF312" i="9" s="1" a="1"/>
  <c r="EF312" i="9" s="1"/>
  <c r="CH312" i="9"/>
  <c r="DD312" i="9" a="1"/>
  <c r="DD312" i="9" s="1"/>
  <c r="EG312" i="9" s="1" a="1"/>
  <c r="EG312" i="9" s="1"/>
  <c r="CI312" i="9"/>
  <c r="DE312" i="9" a="1"/>
  <c r="DE312" i="9" s="1"/>
  <c r="EH312" i="9" s="1" a="1"/>
  <c r="EH312" i="9" s="1"/>
  <c r="CJ312" i="9"/>
  <c r="DF312" i="9" a="1"/>
  <c r="DF312" i="9" s="1"/>
  <c r="EI312" i="9" s="1" a="1"/>
  <c r="EI312" i="9" s="1"/>
  <c r="CK312" i="9"/>
  <c r="DG312" i="9" a="1"/>
  <c r="DG312" i="9" s="1"/>
  <c r="EJ312" i="9" s="1" a="1"/>
  <c r="EJ312" i="9" s="1"/>
  <c r="CL312" i="9"/>
  <c r="DH312" i="9" a="1"/>
  <c r="DH312" i="9" s="1"/>
  <c r="EK312" i="9" s="1" a="1"/>
  <c r="EK312" i="9" s="1"/>
  <c r="CM312" i="9"/>
  <c r="DI312" i="9" a="1"/>
  <c r="DI312" i="9" s="1"/>
  <c r="EL312" i="9" s="1" a="1"/>
  <c r="EL312" i="9" s="1"/>
  <c r="CN312" i="9"/>
  <c r="DJ312" i="9" a="1"/>
  <c r="DJ312" i="9" s="1"/>
  <c r="EM312" i="9" s="1" a="1"/>
  <c r="EM312" i="9" s="1"/>
  <c r="CO312" i="9"/>
  <c r="DK312" i="9" a="1"/>
  <c r="DK312" i="9" s="1"/>
  <c r="EN312" i="9" s="1" a="1"/>
  <c r="EN312" i="9" s="1"/>
  <c r="CP312" i="9"/>
  <c r="CS313" i="9" a="1"/>
  <c r="CS313" i="9" s="1"/>
  <c r="DV313" i="9" s="1" a="1"/>
  <c r="DV313" i="9" s="1"/>
  <c r="BX313" i="9"/>
  <c r="CT313" i="9" a="1"/>
  <c r="CT313" i="9" s="1"/>
  <c r="DW313" i="9" s="1" a="1"/>
  <c r="DW313" i="9" s="1"/>
  <c r="BY313" i="9"/>
  <c r="CU313" i="9" a="1"/>
  <c r="CU313" i="9" s="1"/>
  <c r="DX313" i="9" s="1" a="1"/>
  <c r="DX313" i="9" s="1"/>
  <c r="BZ313" i="9"/>
  <c r="CV313" i="9" a="1"/>
  <c r="CV313" i="9" s="1"/>
  <c r="DY313" i="9" s="1" a="1"/>
  <c r="DY313" i="9" s="1"/>
  <c r="CA313" i="9"/>
  <c r="CW313" i="9" a="1"/>
  <c r="CW313" i="9" s="1"/>
  <c r="DZ313" i="9" s="1" a="1"/>
  <c r="DZ313" i="9" s="1"/>
  <c r="CB313" i="9"/>
  <c r="CX313" i="9" a="1"/>
  <c r="CX313" i="9" s="1"/>
  <c r="EA313" i="9" s="1" a="1"/>
  <c r="EA313" i="9" s="1"/>
  <c r="CC313" i="9"/>
  <c r="CY313" i="9" a="1"/>
  <c r="CY313" i="9" s="1"/>
  <c r="EB313" i="9" s="1" a="1"/>
  <c r="EB313" i="9" s="1"/>
  <c r="CD313" i="9"/>
  <c r="CZ313" i="9" a="1"/>
  <c r="CZ313" i="9" s="1"/>
  <c r="EC313" i="9" s="1" a="1"/>
  <c r="EC313" i="9" s="1"/>
  <c r="CE313" i="9"/>
  <c r="DA313" i="9" a="1"/>
  <c r="DA313" i="9" s="1"/>
  <c r="ED313" i="9" s="1" a="1"/>
  <c r="ED313" i="9" s="1"/>
  <c r="CF313" i="9"/>
  <c r="DB313" i="9" a="1"/>
  <c r="DB313" i="9" s="1"/>
  <c r="EE313" i="9" s="1" a="1"/>
  <c r="EE313" i="9" s="1"/>
  <c r="CG313" i="9"/>
  <c r="DC313" i="9" a="1"/>
  <c r="DC313" i="9" s="1"/>
  <c r="EF313" i="9" s="1" a="1"/>
  <c r="EF313" i="9" s="1"/>
  <c r="CH313" i="9"/>
  <c r="DD313" i="9" a="1"/>
  <c r="DD313" i="9" s="1"/>
  <c r="EG313" i="9" s="1" a="1"/>
  <c r="EG313" i="9" s="1"/>
  <c r="CI313" i="9"/>
  <c r="DE313" i="9" a="1"/>
  <c r="DE313" i="9" s="1"/>
  <c r="EH313" i="9" s="1" a="1"/>
  <c r="EH313" i="9" s="1"/>
  <c r="CJ313" i="9"/>
  <c r="DF313" i="9" a="1"/>
  <c r="DF313" i="9" s="1"/>
  <c r="EI313" i="9" s="1" a="1"/>
  <c r="EI313" i="9" s="1"/>
  <c r="CK313" i="9"/>
  <c r="DG313" i="9" a="1"/>
  <c r="DG313" i="9" s="1"/>
  <c r="EJ313" i="9" s="1" a="1"/>
  <c r="EJ313" i="9" s="1"/>
  <c r="CL313" i="9"/>
  <c r="DH313" i="9" a="1"/>
  <c r="DH313" i="9" s="1"/>
  <c r="EK313" i="9" s="1" a="1"/>
  <c r="EK313" i="9" s="1"/>
  <c r="CM313" i="9"/>
  <c r="DI313" i="9" a="1"/>
  <c r="DI313" i="9" s="1"/>
  <c r="EL313" i="9" s="1" a="1"/>
  <c r="EL313" i="9" s="1"/>
  <c r="CN313" i="9"/>
  <c r="DJ313" i="9" a="1"/>
  <c r="DJ313" i="9" s="1"/>
  <c r="EM313" i="9" s="1" a="1"/>
  <c r="EM313" i="9" s="1"/>
  <c r="CO313" i="9"/>
  <c r="DK313" i="9" a="1"/>
  <c r="DK313" i="9" s="1"/>
  <c r="EN313" i="9" s="1" a="1"/>
  <c r="EN313" i="9" s="1"/>
  <c r="CP313" i="9"/>
  <c r="CS314" i="9" a="1"/>
  <c r="CS314" i="9" s="1"/>
  <c r="DV314" i="9" s="1" a="1"/>
  <c r="DV314" i="9" s="1"/>
  <c r="BX314" i="9"/>
  <c r="CT314" i="9" a="1"/>
  <c r="CT314" i="9" s="1"/>
  <c r="DW314" i="9" s="1" a="1"/>
  <c r="DW314" i="9" s="1"/>
  <c r="BY314" i="9"/>
  <c r="CU314" i="9" a="1"/>
  <c r="CU314" i="9" s="1"/>
  <c r="DX314" i="9" s="1" a="1"/>
  <c r="DX314" i="9" s="1"/>
  <c r="BZ314" i="9"/>
  <c r="CV314" i="9" a="1"/>
  <c r="CV314" i="9" s="1"/>
  <c r="DY314" i="9" s="1" a="1"/>
  <c r="DY314" i="9" s="1"/>
  <c r="CA314" i="9"/>
  <c r="CW314" i="9" a="1"/>
  <c r="CW314" i="9" s="1"/>
  <c r="DZ314" i="9" s="1" a="1"/>
  <c r="DZ314" i="9" s="1"/>
  <c r="CB314" i="9"/>
  <c r="CX314" i="9" a="1"/>
  <c r="CX314" i="9" s="1"/>
  <c r="EA314" i="9" s="1" a="1"/>
  <c r="EA314" i="9" s="1"/>
  <c r="CC314" i="9"/>
  <c r="CY314" i="9" a="1"/>
  <c r="CY314" i="9" s="1"/>
  <c r="EB314" i="9" s="1" a="1"/>
  <c r="EB314" i="9" s="1"/>
  <c r="CD314" i="9"/>
  <c r="CZ314" i="9" a="1"/>
  <c r="CZ314" i="9" s="1"/>
  <c r="EC314" i="9" s="1" a="1"/>
  <c r="EC314" i="9" s="1"/>
  <c r="CE314" i="9"/>
  <c r="DA314" i="9" a="1"/>
  <c r="DA314" i="9" s="1"/>
  <c r="ED314" i="9" s="1" a="1"/>
  <c r="ED314" i="9" s="1"/>
  <c r="CF314" i="9"/>
  <c r="DB314" i="9" a="1"/>
  <c r="DB314" i="9" s="1"/>
  <c r="EE314" i="9" s="1" a="1"/>
  <c r="EE314" i="9" s="1"/>
  <c r="CG314" i="9"/>
  <c r="DC314" i="9" a="1"/>
  <c r="DC314" i="9" s="1"/>
  <c r="EF314" i="9" s="1" a="1"/>
  <c r="EF314" i="9" s="1"/>
  <c r="CH314" i="9"/>
  <c r="DD314" i="9" a="1"/>
  <c r="DD314" i="9" s="1"/>
  <c r="EG314" i="9" s="1" a="1"/>
  <c r="EG314" i="9" s="1"/>
  <c r="CI314" i="9"/>
  <c r="DE314" i="9" a="1"/>
  <c r="DE314" i="9" s="1"/>
  <c r="EH314" i="9" s="1" a="1"/>
  <c r="EH314" i="9" s="1"/>
  <c r="CJ314" i="9"/>
  <c r="DF314" i="9" a="1"/>
  <c r="DF314" i="9" s="1"/>
  <c r="EI314" i="9" s="1" a="1"/>
  <c r="EI314" i="9" s="1"/>
  <c r="CK314" i="9"/>
  <c r="DG314" i="9" a="1"/>
  <c r="DG314" i="9" s="1"/>
  <c r="EJ314" i="9" s="1" a="1"/>
  <c r="EJ314" i="9" s="1"/>
  <c r="CL314" i="9"/>
  <c r="DH314" i="9" a="1"/>
  <c r="DH314" i="9" s="1"/>
  <c r="EK314" i="9" s="1" a="1"/>
  <c r="EK314" i="9" s="1"/>
  <c r="CM314" i="9"/>
  <c r="DI314" i="9" a="1"/>
  <c r="DI314" i="9" s="1"/>
  <c r="EL314" i="9" s="1" a="1"/>
  <c r="EL314" i="9" s="1"/>
  <c r="CN314" i="9"/>
  <c r="DJ314" i="9" a="1"/>
  <c r="DJ314" i="9" s="1"/>
  <c r="EM314" i="9" s="1" a="1"/>
  <c r="EM314" i="9" s="1"/>
  <c r="CO314" i="9"/>
  <c r="DK314" i="9" a="1"/>
  <c r="DK314" i="9" s="1"/>
  <c r="EN314" i="9" s="1" a="1"/>
  <c r="EN314" i="9" s="1"/>
  <c r="CP314" i="9"/>
  <c r="CS315" i="9" a="1"/>
  <c r="CS315" i="9" s="1"/>
  <c r="DV315" i="9" s="1" a="1"/>
  <c r="DV315" i="9" s="1"/>
  <c r="BX315" i="9"/>
  <c r="CT315" i="9" a="1"/>
  <c r="CT315" i="9" s="1"/>
  <c r="DW315" i="9" s="1" a="1"/>
  <c r="DW315" i="9" s="1"/>
  <c r="BY315" i="9"/>
  <c r="CU315" i="9" a="1"/>
  <c r="CU315" i="9" s="1"/>
  <c r="DX315" i="9" s="1" a="1"/>
  <c r="DX315" i="9" s="1"/>
  <c r="BZ315" i="9"/>
  <c r="CV315" i="9" a="1"/>
  <c r="CV315" i="9" s="1"/>
  <c r="DY315" i="9" s="1" a="1"/>
  <c r="DY315" i="9" s="1"/>
  <c r="CA315" i="9"/>
  <c r="CW315" i="9" a="1"/>
  <c r="CW315" i="9" s="1"/>
  <c r="DZ315" i="9" s="1" a="1"/>
  <c r="DZ315" i="9" s="1"/>
  <c r="CB315" i="9"/>
  <c r="CX315" i="9" a="1"/>
  <c r="CX315" i="9" s="1"/>
  <c r="EA315" i="9" s="1" a="1"/>
  <c r="EA315" i="9" s="1"/>
  <c r="CC315" i="9"/>
  <c r="CY315" i="9" a="1"/>
  <c r="CY315" i="9" s="1"/>
  <c r="EB315" i="9" s="1" a="1"/>
  <c r="EB315" i="9" s="1"/>
  <c r="CD315" i="9"/>
  <c r="CZ315" i="9" a="1"/>
  <c r="CZ315" i="9" s="1"/>
  <c r="EC315" i="9" s="1" a="1"/>
  <c r="EC315" i="9" s="1"/>
  <c r="CE315" i="9"/>
  <c r="DA315" i="9" a="1"/>
  <c r="DA315" i="9" s="1"/>
  <c r="ED315" i="9" s="1" a="1"/>
  <c r="ED315" i="9" s="1"/>
  <c r="CF315" i="9"/>
  <c r="DB315" i="9" a="1"/>
  <c r="DB315" i="9" s="1"/>
  <c r="EE315" i="9" s="1" a="1"/>
  <c r="EE315" i="9" s="1"/>
  <c r="CG315" i="9"/>
  <c r="DC315" i="9" a="1"/>
  <c r="DC315" i="9" s="1"/>
  <c r="EF315" i="9" s="1" a="1"/>
  <c r="EF315" i="9" s="1"/>
  <c r="CH315" i="9"/>
  <c r="DD315" i="9" a="1"/>
  <c r="DD315" i="9" s="1"/>
  <c r="EG315" i="9" s="1" a="1"/>
  <c r="EG315" i="9" s="1"/>
  <c r="CI315" i="9"/>
  <c r="DE315" i="9" a="1"/>
  <c r="DE315" i="9" s="1"/>
  <c r="EH315" i="9" s="1" a="1"/>
  <c r="EH315" i="9" s="1"/>
  <c r="CJ315" i="9"/>
  <c r="DF315" i="9" a="1"/>
  <c r="DF315" i="9" s="1"/>
  <c r="EI315" i="9" s="1" a="1"/>
  <c r="EI315" i="9" s="1"/>
  <c r="CK315" i="9"/>
  <c r="DG315" i="9" a="1"/>
  <c r="DG315" i="9" s="1"/>
  <c r="EJ315" i="9" s="1" a="1"/>
  <c r="EJ315" i="9" s="1"/>
  <c r="CL315" i="9"/>
  <c r="DH315" i="9" a="1"/>
  <c r="DH315" i="9" s="1"/>
  <c r="EK315" i="9" s="1" a="1"/>
  <c r="EK315" i="9" s="1"/>
  <c r="CM315" i="9"/>
  <c r="DI315" i="9" a="1"/>
  <c r="DI315" i="9" s="1"/>
  <c r="EL315" i="9" s="1" a="1"/>
  <c r="EL315" i="9" s="1"/>
  <c r="CN315" i="9"/>
  <c r="DJ315" i="9" a="1"/>
  <c r="DJ315" i="9" s="1"/>
  <c r="EM315" i="9" s="1" a="1"/>
  <c r="EM315" i="9" s="1"/>
  <c r="CO315" i="9"/>
  <c r="DK315" i="9" a="1"/>
  <c r="DK315" i="9" s="1"/>
  <c r="EN315" i="9" s="1" a="1"/>
  <c r="EN315" i="9" s="1"/>
  <c r="CP315" i="9"/>
  <c r="CS316" i="9" a="1"/>
  <c r="CS316" i="9" s="1"/>
  <c r="DV316" i="9" s="1" a="1"/>
  <c r="DV316" i="9" s="1"/>
  <c r="BX316" i="9"/>
  <c r="CT316" i="9" a="1"/>
  <c r="CT316" i="9" s="1"/>
  <c r="DW316" i="9" s="1" a="1"/>
  <c r="DW316" i="9" s="1"/>
  <c r="BY316" i="9"/>
  <c r="CU316" i="9" a="1"/>
  <c r="CU316" i="9" s="1"/>
  <c r="DX316" i="9" s="1" a="1"/>
  <c r="DX316" i="9" s="1"/>
  <c r="BZ316" i="9"/>
  <c r="CV316" i="9" a="1"/>
  <c r="CV316" i="9" s="1"/>
  <c r="DY316" i="9" s="1" a="1"/>
  <c r="DY316" i="9" s="1"/>
  <c r="CA316" i="9"/>
  <c r="CW316" i="9" a="1"/>
  <c r="CW316" i="9" s="1"/>
  <c r="DZ316" i="9" s="1" a="1"/>
  <c r="DZ316" i="9" s="1"/>
  <c r="CB316" i="9"/>
  <c r="CX316" i="9" a="1"/>
  <c r="CX316" i="9" s="1"/>
  <c r="EA316" i="9" s="1" a="1"/>
  <c r="EA316" i="9" s="1"/>
  <c r="CC316" i="9"/>
  <c r="CY316" i="9" a="1"/>
  <c r="CY316" i="9" s="1"/>
  <c r="EB316" i="9" s="1" a="1"/>
  <c r="EB316" i="9" s="1"/>
  <c r="CD316" i="9"/>
  <c r="CZ316" i="9" a="1"/>
  <c r="CZ316" i="9" s="1"/>
  <c r="EC316" i="9" s="1" a="1"/>
  <c r="EC316" i="9" s="1"/>
  <c r="CE316" i="9"/>
  <c r="DA316" i="9" a="1"/>
  <c r="DA316" i="9" s="1"/>
  <c r="ED316" i="9" s="1" a="1"/>
  <c r="ED316" i="9" s="1"/>
  <c r="CF316" i="9"/>
  <c r="DB316" i="9" a="1"/>
  <c r="DB316" i="9" s="1"/>
  <c r="EE316" i="9" s="1" a="1"/>
  <c r="EE316" i="9" s="1"/>
  <c r="CG316" i="9"/>
  <c r="DC316" i="9" a="1"/>
  <c r="DC316" i="9" s="1"/>
  <c r="EF316" i="9" s="1" a="1"/>
  <c r="EF316" i="9" s="1"/>
  <c r="CH316" i="9"/>
  <c r="DD316" i="9" a="1"/>
  <c r="DD316" i="9" s="1"/>
  <c r="EG316" i="9" s="1" a="1"/>
  <c r="EG316" i="9" s="1"/>
  <c r="CI316" i="9"/>
  <c r="DE316" i="9" a="1"/>
  <c r="DE316" i="9" s="1"/>
  <c r="EH316" i="9" s="1" a="1"/>
  <c r="EH316" i="9" s="1"/>
  <c r="CJ316" i="9"/>
  <c r="DF316" i="9" a="1"/>
  <c r="DF316" i="9" s="1"/>
  <c r="EI316" i="9" s="1" a="1"/>
  <c r="EI316" i="9" s="1"/>
  <c r="CK316" i="9"/>
  <c r="DG316" i="9" a="1"/>
  <c r="DG316" i="9" s="1"/>
  <c r="EJ316" i="9" s="1" a="1"/>
  <c r="EJ316" i="9" s="1"/>
  <c r="CL316" i="9"/>
  <c r="DH316" i="9" a="1"/>
  <c r="DH316" i="9" s="1"/>
  <c r="EK316" i="9" s="1" a="1"/>
  <c r="EK316" i="9" s="1"/>
  <c r="CM316" i="9"/>
  <c r="DI316" i="9" a="1"/>
  <c r="DI316" i="9" s="1"/>
  <c r="EL316" i="9" s="1" a="1"/>
  <c r="EL316" i="9" s="1"/>
  <c r="CN316" i="9"/>
  <c r="DJ316" i="9" a="1"/>
  <c r="DJ316" i="9" s="1"/>
  <c r="EM316" i="9" s="1" a="1"/>
  <c r="EM316" i="9" s="1"/>
  <c r="CO316" i="9"/>
  <c r="DK316" i="9" a="1"/>
  <c r="DK316" i="9" s="1"/>
  <c r="EN316" i="9" s="1" a="1"/>
  <c r="EN316" i="9" s="1"/>
  <c r="CP316" i="9"/>
  <c r="CS317" i="9" a="1"/>
  <c r="CS317" i="9" s="1"/>
  <c r="DV317" i="9" s="1" a="1"/>
  <c r="DV317" i="9" s="1"/>
  <c r="BX317" i="9"/>
  <c r="CT317" i="9" a="1"/>
  <c r="CT317" i="9" s="1"/>
  <c r="DW317" i="9" s="1" a="1"/>
  <c r="DW317" i="9" s="1"/>
  <c r="BY317" i="9"/>
  <c r="CU317" i="9" a="1"/>
  <c r="CU317" i="9" s="1"/>
  <c r="DX317" i="9" s="1" a="1"/>
  <c r="DX317" i="9" s="1"/>
  <c r="BZ317" i="9"/>
  <c r="CV317" i="9" a="1"/>
  <c r="CV317" i="9" s="1"/>
  <c r="DY317" i="9" s="1" a="1"/>
  <c r="DY317" i="9" s="1"/>
  <c r="CA317" i="9"/>
  <c r="CW317" i="9" a="1"/>
  <c r="CW317" i="9" s="1"/>
  <c r="DZ317" i="9" s="1" a="1"/>
  <c r="DZ317" i="9" s="1"/>
  <c r="CB317" i="9"/>
  <c r="CX317" i="9" a="1"/>
  <c r="CX317" i="9" s="1"/>
  <c r="EA317" i="9" s="1" a="1"/>
  <c r="EA317" i="9" s="1"/>
  <c r="CC317" i="9"/>
  <c r="CY317" i="9" a="1"/>
  <c r="CY317" i="9" s="1"/>
  <c r="EB317" i="9" s="1" a="1"/>
  <c r="EB317" i="9" s="1"/>
  <c r="CD317" i="9"/>
  <c r="CZ317" i="9" a="1"/>
  <c r="CZ317" i="9" s="1"/>
  <c r="EC317" i="9" s="1" a="1"/>
  <c r="EC317" i="9" s="1"/>
  <c r="CE317" i="9"/>
  <c r="DA317" i="9" a="1"/>
  <c r="DA317" i="9" s="1"/>
  <c r="ED317" i="9" s="1" a="1"/>
  <c r="ED317" i="9" s="1"/>
  <c r="CF317" i="9"/>
  <c r="DB317" i="9" a="1"/>
  <c r="DB317" i="9" s="1"/>
  <c r="EE317" i="9" s="1" a="1"/>
  <c r="EE317" i="9" s="1"/>
  <c r="CG317" i="9"/>
  <c r="DC317" i="9" a="1"/>
  <c r="DC317" i="9" s="1"/>
  <c r="EF317" i="9" s="1" a="1"/>
  <c r="EF317" i="9" s="1"/>
  <c r="CH317" i="9"/>
  <c r="DD317" i="9" a="1"/>
  <c r="DD317" i="9" s="1"/>
  <c r="EG317" i="9" s="1" a="1"/>
  <c r="EG317" i="9" s="1"/>
  <c r="CI317" i="9"/>
  <c r="DE317" i="9" a="1"/>
  <c r="DE317" i="9" s="1"/>
  <c r="EH317" i="9" s="1" a="1"/>
  <c r="EH317" i="9" s="1"/>
  <c r="CJ317" i="9"/>
  <c r="DF317" i="9" a="1"/>
  <c r="DF317" i="9" s="1"/>
  <c r="EI317" i="9" s="1" a="1"/>
  <c r="EI317" i="9" s="1"/>
  <c r="CK317" i="9"/>
  <c r="DG317" i="9" a="1"/>
  <c r="DG317" i="9" s="1"/>
  <c r="EJ317" i="9" s="1" a="1"/>
  <c r="EJ317" i="9" s="1"/>
  <c r="CL317" i="9"/>
  <c r="DH317" i="9" a="1"/>
  <c r="DH317" i="9" s="1"/>
  <c r="EK317" i="9" s="1" a="1"/>
  <c r="EK317" i="9" s="1"/>
  <c r="CM317" i="9"/>
  <c r="DI317" i="9" a="1"/>
  <c r="DI317" i="9" s="1"/>
  <c r="EL317" i="9" s="1" a="1"/>
  <c r="EL317" i="9" s="1"/>
  <c r="CN317" i="9"/>
  <c r="DJ317" i="9" a="1"/>
  <c r="DJ317" i="9" s="1"/>
  <c r="EM317" i="9" s="1" a="1"/>
  <c r="EM317" i="9" s="1"/>
  <c r="CO317" i="9"/>
  <c r="DK317" i="9" a="1"/>
  <c r="DK317" i="9" s="1"/>
  <c r="EN317" i="9" s="1" a="1"/>
  <c r="EN317" i="9" s="1"/>
  <c r="CP317" i="9"/>
  <c r="CS318" i="9" a="1"/>
  <c r="CS318" i="9" s="1"/>
  <c r="DV318" i="9" s="1" a="1"/>
  <c r="DV318" i="9" s="1"/>
  <c r="BX318" i="9"/>
  <c r="CT318" i="9" a="1"/>
  <c r="CT318" i="9" s="1"/>
  <c r="DW318" i="9" s="1" a="1"/>
  <c r="DW318" i="9" s="1"/>
  <c r="BY318" i="9"/>
  <c r="CU318" i="9" a="1"/>
  <c r="CU318" i="9" s="1"/>
  <c r="DX318" i="9" s="1" a="1"/>
  <c r="DX318" i="9" s="1"/>
  <c r="BZ318" i="9"/>
  <c r="CV318" i="9" a="1"/>
  <c r="CV318" i="9" s="1"/>
  <c r="DY318" i="9" s="1" a="1"/>
  <c r="DY318" i="9" s="1"/>
  <c r="CA318" i="9"/>
  <c r="CW318" i="9" a="1"/>
  <c r="CW318" i="9" s="1"/>
  <c r="DZ318" i="9" s="1" a="1"/>
  <c r="DZ318" i="9" s="1"/>
  <c r="CB318" i="9"/>
  <c r="CX318" i="9" a="1"/>
  <c r="CX318" i="9" s="1"/>
  <c r="EA318" i="9" s="1" a="1"/>
  <c r="EA318" i="9" s="1"/>
  <c r="CC318" i="9"/>
  <c r="CY318" i="9" a="1"/>
  <c r="CY318" i="9" s="1"/>
  <c r="EB318" i="9" s="1" a="1"/>
  <c r="EB318" i="9" s="1"/>
  <c r="CD318" i="9"/>
  <c r="CZ318" i="9" a="1"/>
  <c r="CZ318" i="9" s="1"/>
  <c r="EC318" i="9" s="1" a="1"/>
  <c r="EC318" i="9" s="1"/>
  <c r="CE318" i="9"/>
  <c r="DA318" i="9" a="1"/>
  <c r="DA318" i="9" s="1"/>
  <c r="ED318" i="9" s="1" a="1"/>
  <c r="ED318" i="9" s="1"/>
  <c r="CF318" i="9"/>
  <c r="DB318" i="9" a="1"/>
  <c r="DB318" i="9" s="1"/>
  <c r="EE318" i="9" s="1" a="1"/>
  <c r="EE318" i="9" s="1"/>
  <c r="CG318" i="9"/>
  <c r="DC318" i="9" a="1"/>
  <c r="DC318" i="9" s="1"/>
  <c r="EF318" i="9" s="1" a="1"/>
  <c r="EF318" i="9" s="1"/>
  <c r="CH318" i="9"/>
  <c r="DD318" i="9" a="1"/>
  <c r="DD318" i="9" s="1"/>
  <c r="EG318" i="9" s="1" a="1"/>
  <c r="EG318" i="9" s="1"/>
  <c r="CI318" i="9"/>
  <c r="DE318" i="9" a="1"/>
  <c r="DE318" i="9" s="1"/>
  <c r="EH318" i="9" s="1" a="1"/>
  <c r="EH318" i="9" s="1"/>
  <c r="CJ318" i="9"/>
  <c r="DF318" i="9" a="1"/>
  <c r="DF318" i="9" s="1"/>
  <c r="EI318" i="9" s="1" a="1"/>
  <c r="EI318" i="9" s="1"/>
  <c r="CK318" i="9"/>
  <c r="DG318" i="9" a="1"/>
  <c r="DG318" i="9" s="1"/>
  <c r="EJ318" i="9" s="1" a="1"/>
  <c r="EJ318" i="9" s="1"/>
  <c r="CL318" i="9"/>
  <c r="DH318" i="9" a="1"/>
  <c r="DH318" i="9" s="1"/>
  <c r="EK318" i="9" s="1" a="1"/>
  <c r="EK318" i="9" s="1"/>
  <c r="CM318" i="9"/>
  <c r="DI318" i="9" a="1"/>
  <c r="DI318" i="9" s="1"/>
  <c r="EL318" i="9" s="1" a="1"/>
  <c r="EL318" i="9" s="1"/>
  <c r="CN318" i="9"/>
  <c r="DJ318" i="9" a="1"/>
  <c r="DJ318" i="9" s="1"/>
  <c r="EM318" i="9" s="1" a="1"/>
  <c r="EM318" i="9" s="1"/>
  <c r="CO318" i="9"/>
  <c r="DK318" i="9" a="1"/>
  <c r="DK318" i="9" s="1"/>
  <c r="EN318" i="9" s="1" a="1"/>
  <c r="EN318" i="9" s="1"/>
  <c r="CP318" i="9"/>
  <c r="CS319" i="9" a="1"/>
  <c r="CS319" i="9" s="1"/>
  <c r="DV319" i="9" s="1" a="1"/>
  <c r="DV319" i="9" s="1"/>
  <c r="BX319" i="9"/>
  <c r="CT319" i="9" a="1"/>
  <c r="CT319" i="9" s="1"/>
  <c r="DW319" i="9" s="1" a="1"/>
  <c r="DW319" i="9" s="1"/>
  <c r="BY319" i="9"/>
  <c r="CU319" i="9" a="1"/>
  <c r="CU319" i="9" s="1"/>
  <c r="DX319" i="9" s="1" a="1"/>
  <c r="DX319" i="9" s="1"/>
  <c r="BZ319" i="9"/>
  <c r="CV319" i="9" a="1"/>
  <c r="CV319" i="9" s="1"/>
  <c r="DY319" i="9" s="1" a="1"/>
  <c r="DY319" i="9" s="1"/>
  <c r="CA319" i="9"/>
  <c r="CW319" i="9" a="1"/>
  <c r="CW319" i="9" s="1"/>
  <c r="DZ319" i="9" s="1" a="1"/>
  <c r="DZ319" i="9" s="1"/>
  <c r="CB319" i="9"/>
  <c r="CX319" i="9" a="1"/>
  <c r="CX319" i="9" s="1"/>
  <c r="EA319" i="9" s="1" a="1"/>
  <c r="EA319" i="9" s="1"/>
  <c r="CC319" i="9"/>
  <c r="CY319" i="9" a="1"/>
  <c r="CY319" i="9" s="1"/>
  <c r="EB319" i="9" s="1" a="1"/>
  <c r="EB319" i="9" s="1"/>
  <c r="CD319" i="9"/>
  <c r="CZ319" i="9" a="1"/>
  <c r="CZ319" i="9" s="1"/>
  <c r="EC319" i="9" s="1" a="1"/>
  <c r="EC319" i="9" s="1"/>
  <c r="CE319" i="9"/>
  <c r="DA319" i="9" a="1"/>
  <c r="DA319" i="9" s="1"/>
  <c r="ED319" i="9" s="1" a="1"/>
  <c r="ED319" i="9" s="1"/>
  <c r="CF319" i="9"/>
  <c r="DB319" i="9" a="1"/>
  <c r="DB319" i="9" s="1"/>
  <c r="EE319" i="9" s="1" a="1"/>
  <c r="EE319" i="9" s="1"/>
  <c r="CG319" i="9"/>
  <c r="DC319" i="9" a="1"/>
  <c r="DC319" i="9" s="1"/>
  <c r="EF319" i="9" s="1" a="1"/>
  <c r="EF319" i="9" s="1"/>
  <c r="CH319" i="9"/>
  <c r="DD319" i="9" a="1"/>
  <c r="DD319" i="9" s="1"/>
  <c r="EG319" i="9" s="1" a="1"/>
  <c r="EG319" i="9" s="1"/>
  <c r="CI319" i="9"/>
  <c r="DE319" i="9" a="1"/>
  <c r="DE319" i="9" s="1"/>
  <c r="EH319" i="9" s="1" a="1"/>
  <c r="EH319" i="9" s="1"/>
  <c r="CJ319" i="9"/>
  <c r="DF319" i="9" a="1"/>
  <c r="DF319" i="9" s="1"/>
  <c r="EI319" i="9" s="1" a="1"/>
  <c r="EI319" i="9" s="1"/>
  <c r="CK319" i="9"/>
  <c r="DG319" i="9" a="1"/>
  <c r="DG319" i="9" s="1"/>
  <c r="EJ319" i="9" s="1" a="1"/>
  <c r="EJ319" i="9" s="1"/>
  <c r="CL319" i="9"/>
  <c r="DH319" i="9" a="1"/>
  <c r="DH319" i="9" s="1"/>
  <c r="EK319" i="9" s="1" a="1"/>
  <c r="EK319" i="9" s="1"/>
  <c r="CM319" i="9"/>
  <c r="DI319" i="9" a="1"/>
  <c r="DI319" i="9" s="1"/>
  <c r="EL319" i="9" s="1" a="1"/>
  <c r="EL319" i="9" s="1"/>
  <c r="CN319" i="9"/>
  <c r="DJ319" i="9" a="1"/>
  <c r="DJ319" i="9" s="1"/>
  <c r="EM319" i="9" s="1" a="1"/>
  <c r="EM319" i="9" s="1"/>
  <c r="CO319" i="9"/>
  <c r="DK319" i="9" a="1"/>
  <c r="DK319" i="9" s="1"/>
  <c r="EN319" i="9" s="1" a="1"/>
  <c r="EN319" i="9" s="1"/>
  <c r="CP319" i="9"/>
  <c r="CS320" i="9" a="1"/>
  <c r="CS320" i="9" s="1"/>
  <c r="DV320" i="9" s="1" a="1"/>
  <c r="DV320" i="9" s="1"/>
  <c r="BX320" i="9"/>
  <c r="CT320" i="9" a="1"/>
  <c r="CT320" i="9" s="1"/>
  <c r="DW320" i="9" s="1" a="1"/>
  <c r="DW320" i="9" s="1"/>
  <c r="BY320" i="9"/>
  <c r="CU320" i="9" a="1"/>
  <c r="CU320" i="9" s="1"/>
  <c r="DX320" i="9" s="1" a="1"/>
  <c r="DX320" i="9" s="1"/>
  <c r="BZ320" i="9"/>
  <c r="CV320" i="9" a="1"/>
  <c r="CV320" i="9" s="1"/>
  <c r="DY320" i="9" s="1" a="1"/>
  <c r="DY320" i="9" s="1"/>
  <c r="CA320" i="9"/>
  <c r="CW320" i="9" a="1"/>
  <c r="CW320" i="9" s="1"/>
  <c r="DZ320" i="9" s="1" a="1"/>
  <c r="DZ320" i="9" s="1"/>
  <c r="CB320" i="9"/>
  <c r="CX320" i="9" a="1"/>
  <c r="CX320" i="9" s="1"/>
  <c r="EA320" i="9" s="1" a="1"/>
  <c r="EA320" i="9" s="1"/>
  <c r="CC320" i="9"/>
  <c r="CY320" i="9" a="1"/>
  <c r="CY320" i="9" s="1"/>
  <c r="EB320" i="9" s="1" a="1"/>
  <c r="EB320" i="9" s="1"/>
  <c r="CD320" i="9"/>
  <c r="CZ320" i="9" a="1"/>
  <c r="CZ320" i="9" s="1"/>
  <c r="EC320" i="9" s="1" a="1"/>
  <c r="EC320" i="9" s="1"/>
  <c r="CE320" i="9"/>
  <c r="DA320" i="9" a="1"/>
  <c r="DA320" i="9" s="1"/>
  <c r="ED320" i="9" s="1" a="1"/>
  <c r="ED320" i="9" s="1"/>
  <c r="CF320" i="9"/>
  <c r="DB320" i="9" a="1"/>
  <c r="DB320" i="9" s="1"/>
  <c r="EE320" i="9" s="1" a="1"/>
  <c r="EE320" i="9" s="1"/>
  <c r="CG320" i="9"/>
  <c r="DC320" i="9" a="1"/>
  <c r="DC320" i="9" s="1"/>
  <c r="EF320" i="9" s="1" a="1"/>
  <c r="EF320" i="9" s="1"/>
  <c r="CH320" i="9"/>
  <c r="DD320" i="9" a="1"/>
  <c r="DD320" i="9" s="1"/>
  <c r="EG320" i="9" s="1" a="1"/>
  <c r="EG320" i="9" s="1"/>
  <c r="CI320" i="9"/>
  <c r="DE320" i="9" a="1"/>
  <c r="DE320" i="9" s="1"/>
  <c r="EH320" i="9" s="1" a="1"/>
  <c r="EH320" i="9" s="1"/>
  <c r="CJ320" i="9"/>
  <c r="DF320" i="9" a="1"/>
  <c r="DF320" i="9" s="1"/>
  <c r="EI320" i="9" s="1" a="1"/>
  <c r="EI320" i="9" s="1"/>
  <c r="CK320" i="9"/>
  <c r="DG320" i="9" a="1"/>
  <c r="DG320" i="9" s="1"/>
  <c r="EJ320" i="9" s="1" a="1"/>
  <c r="EJ320" i="9" s="1"/>
  <c r="CL320" i="9"/>
  <c r="DH320" i="9" a="1"/>
  <c r="DH320" i="9" s="1"/>
  <c r="EK320" i="9" s="1" a="1"/>
  <c r="EK320" i="9" s="1"/>
  <c r="CM320" i="9"/>
  <c r="DI320" i="9" a="1"/>
  <c r="DI320" i="9" s="1"/>
  <c r="EL320" i="9" s="1" a="1"/>
  <c r="EL320" i="9" s="1"/>
  <c r="CN320" i="9"/>
  <c r="DJ320" i="9" a="1"/>
  <c r="DJ320" i="9" s="1"/>
  <c r="EM320" i="9" s="1" a="1"/>
  <c r="EM320" i="9" s="1"/>
  <c r="CO320" i="9"/>
  <c r="DK320" i="9" a="1"/>
  <c r="DK320" i="9" s="1"/>
  <c r="EN320" i="9" s="1" a="1"/>
  <c r="EN320" i="9" s="1"/>
  <c r="CP320" i="9"/>
  <c r="CS321" i="9" a="1"/>
  <c r="CS321" i="9" s="1"/>
  <c r="DV321" i="9" s="1" a="1"/>
  <c r="DV321" i="9" s="1"/>
  <c r="BX321" i="9"/>
  <c r="CT321" i="9" a="1"/>
  <c r="CT321" i="9" s="1"/>
  <c r="DW321" i="9" s="1" a="1"/>
  <c r="DW321" i="9" s="1"/>
  <c r="BY321" i="9"/>
  <c r="CU321" i="9" a="1"/>
  <c r="CU321" i="9" s="1"/>
  <c r="DX321" i="9" s="1" a="1"/>
  <c r="DX321" i="9" s="1"/>
  <c r="BZ321" i="9"/>
  <c r="CV321" i="9" a="1"/>
  <c r="CV321" i="9" s="1"/>
  <c r="DY321" i="9" s="1" a="1"/>
  <c r="DY321" i="9" s="1"/>
  <c r="CA321" i="9"/>
  <c r="CW321" i="9" a="1"/>
  <c r="CW321" i="9" s="1"/>
  <c r="DZ321" i="9" s="1" a="1"/>
  <c r="DZ321" i="9" s="1"/>
  <c r="CB321" i="9"/>
  <c r="CX321" i="9" a="1"/>
  <c r="CX321" i="9" s="1"/>
  <c r="EA321" i="9" s="1" a="1"/>
  <c r="EA321" i="9" s="1"/>
  <c r="CC321" i="9"/>
  <c r="CY321" i="9" a="1"/>
  <c r="CY321" i="9" s="1"/>
  <c r="EB321" i="9" s="1" a="1"/>
  <c r="EB321" i="9" s="1"/>
  <c r="CD321" i="9"/>
  <c r="CZ321" i="9" a="1"/>
  <c r="CZ321" i="9" s="1"/>
  <c r="EC321" i="9" s="1" a="1"/>
  <c r="EC321" i="9" s="1"/>
  <c r="CE321" i="9"/>
  <c r="DA321" i="9" a="1"/>
  <c r="DA321" i="9" s="1"/>
  <c r="ED321" i="9" s="1" a="1"/>
  <c r="ED321" i="9" s="1"/>
  <c r="CF321" i="9"/>
  <c r="DB321" i="9" a="1"/>
  <c r="DB321" i="9" s="1"/>
  <c r="EE321" i="9" s="1" a="1"/>
  <c r="EE321" i="9" s="1"/>
  <c r="CG321" i="9"/>
  <c r="DC321" i="9" a="1"/>
  <c r="DC321" i="9" s="1"/>
  <c r="EF321" i="9" s="1" a="1"/>
  <c r="EF321" i="9" s="1"/>
  <c r="CH321" i="9"/>
  <c r="DD321" i="9" a="1"/>
  <c r="DD321" i="9" s="1"/>
  <c r="EG321" i="9" s="1" a="1"/>
  <c r="EG321" i="9" s="1"/>
  <c r="CI321" i="9"/>
  <c r="DE321" i="9" a="1"/>
  <c r="DE321" i="9" s="1"/>
  <c r="EH321" i="9" s="1" a="1"/>
  <c r="EH321" i="9" s="1"/>
  <c r="CJ321" i="9"/>
  <c r="DF321" i="9" a="1"/>
  <c r="DF321" i="9" s="1"/>
  <c r="EI321" i="9" s="1" a="1"/>
  <c r="EI321" i="9" s="1"/>
  <c r="CK321" i="9"/>
  <c r="DG321" i="9" a="1"/>
  <c r="DG321" i="9" s="1"/>
  <c r="EJ321" i="9" s="1" a="1"/>
  <c r="EJ321" i="9" s="1"/>
  <c r="CL321" i="9"/>
  <c r="DH321" i="9" a="1"/>
  <c r="DH321" i="9" s="1"/>
  <c r="EK321" i="9" s="1" a="1"/>
  <c r="EK321" i="9" s="1"/>
  <c r="CM321" i="9"/>
  <c r="DI321" i="9" a="1"/>
  <c r="DI321" i="9" s="1"/>
  <c r="EL321" i="9" s="1" a="1"/>
  <c r="EL321" i="9" s="1"/>
  <c r="CN321" i="9"/>
  <c r="DJ321" i="9" a="1"/>
  <c r="DJ321" i="9" s="1"/>
  <c r="EM321" i="9" s="1" a="1"/>
  <c r="EM321" i="9" s="1"/>
  <c r="CO321" i="9"/>
  <c r="DK321" i="9" a="1"/>
  <c r="DK321" i="9" s="1"/>
  <c r="EN321" i="9" s="1" a="1"/>
  <c r="EN321" i="9" s="1"/>
  <c r="CP321" i="9"/>
  <c r="CS322" i="9" a="1"/>
  <c r="CS322" i="9" s="1"/>
  <c r="DV322" i="9" s="1" a="1"/>
  <c r="DV322" i="9" s="1"/>
  <c r="BX322" i="9"/>
  <c r="CT322" i="9" a="1"/>
  <c r="CT322" i="9" s="1"/>
  <c r="DW322" i="9" s="1" a="1"/>
  <c r="DW322" i="9" s="1"/>
  <c r="BY322" i="9"/>
  <c r="CU322" i="9" a="1"/>
  <c r="CU322" i="9" s="1"/>
  <c r="DX322" i="9" s="1" a="1"/>
  <c r="DX322" i="9" s="1"/>
  <c r="BZ322" i="9"/>
  <c r="CV322" i="9" a="1"/>
  <c r="CV322" i="9" s="1"/>
  <c r="DY322" i="9" s="1" a="1"/>
  <c r="DY322" i="9" s="1"/>
  <c r="CA322" i="9"/>
  <c r="CW322" i="9" a="1"/>
  <c r="CW322" i="9" s="1"/>
  <c r="DZ322" i="9" s="1" a="1"/>
  <c r="DZ322" i="9" s="1"/>
  <c r="CB322" i="9"/>
  <c r="CX322" i="9" a="1"/>
  <c r="CX322" i="9" s="1"/>
  <c r="EA322" i="9" s="1" a="1"/>
  <c r="EA322" i="9" s="1"/>
  <c r="CC322" i="9"/>
  <c r="CY322" i="9" a="1"/>
  <c r="CY322" i="9" s="1"/>
  <c r="EB322" i="9" s="1" a="1"/>
  <c r="EB322" i="9" s="1"/>
  <c r="CD322" i="9"/>
  <c r="CZ322" i="9" a="1"/>
  <c r="CZ322" i="9" s="1"/>
  <c r="EC322" i="9" s="1" a="1"/>
  <c r="EC322" i="9" s="1"/>
  <c r="CE322" i="9"/>
  <c r="DA322" i="9" a="1"/>
  <c r="DA322" i="9" s="1"/>
  <c r="ED322" i="9" s="1" a="1"/>
  <c r="ED322" i="9" s="1"/>
  <c r="CF322" i="9"/>
  <c r="DB322" i="9" a="1"/>
  <c r="DB322" i="9" s="1"/>
  <c r="EE322" i="9" s="1" a="1"/>
  <c r="EE322" i="9" s="1"/>
  <c r="CG322" i="9"/>
  <c r="DC322" i="9" a="1"/>
  <c r="DC322" i="9" s="1"/>
  <c r="EF322" i="9" s="1" a="1"/>
  <c r="EF322" i="9" s="1"/>
  <c r="CH322" i="9"/>
  <c r="DD322" i="9" a="1"/>
  <c r="DD322" i="9" s="1"/>
  <c r="EG322" i="9" s="1" a="1"/>
  <c r="EG322" i="9" s="1"/>
  <c r="CI322" i="9"/>
  <c r="DE322" i="9" a="1"/>
  <c r="DE322" i="9" s="1"/>
  <c r="EH322" i="9" s="1" a="1"/>
  <c r="EH322" i="9" s="1"/>
  <c r="CJ322" i="9"/>
  <c r="DF322" i="9" a="1"/>
  <c r="DF322" i="9" s="1"/>
  <c r="EI322" i="9" s="1" a="1"/>
  <c r="EI322" i="9" s="1"/>
  <c r="CK322" i="9"/>
  <c r="DG322" i="9" a="1"/>
  <c r="DG322" i="9" s="1"/>
  <c r="EJ322" i="9" s="1" a="1"/>
  <c r="EJ322" i="9" s="1"/>
  <c r="CL322" i="9"/>
  <c r="DH322" i="9" a="1"/>
  <c r="DH322" i="9" s="1"/>
  <c r="EK322" i="9" s="1" a="1"/>
  <c r="EK322" i="9" s="1"/>
  <c r="CM322" i="9"/>
  <c r="DI322" i="9" a="1"/>
  <c r="DI322" i="9" s="1"/>
  <c r="EL322" i="9" s="1" a="1"/>
  <c r="EL322" i="9" s="1"/>
  <c r="CN322" i="9"/>
  <c r="DJ322" i="9" a="1"/>
  <c r="DJ322" i="9" s="1"/>
  <c r="EM322" i="9" s="1" a="1"/>
  <c r="EM322" i="9" s="1"/>
  <c r="CO322" i="9"/>
  <c r="DK322" i="9" a="1"/>
  <c r="DK322" i="9" s="1"/>
  <c r="EN322" i="9" s="1" a="1"/>
  <c r="EN322" i="9" s="1"/>
  <c r="CP322" i="9"/>
  <c r="CS323" i="9" a="1"/>
  <c r="CS323" i="9" s="1"/>
  <c r="DV323" i="9" s="1" a="1"/>
  <c r="DV323" i="9" s="1"/>
  <c r="BX323" i="9"/>
  <c r="CT323" i="9" a="1"/>
  <c r="CT323" i="9" s="1"/>
  <c r="DW323" i="9" s="1" a="1"/>
  <c r="DW323" i="9" s="1"/>
  <c r="BY323" i="9"/>
  <c r="CU323" i="9" a="1"/>
  <c r="CU323" i="9" s="1"/>
  <c r="DX323" i="9" s="1" a="1"/>
  <c r="DX323" i="9" s="1"/>
  <c r="BZ323" i="9"/>
  <c r="CV323" i="9" a="1"/>
  <c r="CV323" i="9" s="1"/>
  <c r="DY323" i="9" s="1" a="1"/>
  <c r="DY323" i="9" s="1"/>
  <c r="CA323" i="9"/>
  <c r="CW323" i="9" a="1"/>
  <c r="CW323" i="9" s="1"/>
  <c r="DZ323" i="9" s="1" a="1"/>
  <c r="DZ323" i="9" s="1"/>
  <c r="CB323" i="9"/>
  <c r="CX323" i="9" a="1"/>
  <c r="CX323" i="9" s="1"/>
  <c r="EA323" i="9" s="1" a="1"/>
  <c r="EA323" i="9" s="1"/>
  <c r="CC323" i="9"/>
  <c r="CY323" i="9" a="1"/>
  <c r="CY323" i="9" s="1"/>
  <c r="EB323" i="9" s="1" a="1"/>
  <c r="EB323" i="9" s="1"/>
  <c r="CD323" i="9"/>
  <c r="CZ323" i="9" a="1"/>
  <c r="CZ323" i="9" s="1"/>
  <c r="EC323" i="9" s="1" a="1"/>
  <c r="EC323" i="9" s="1"/>
  <c r="CE323" i="9"/>
  <c r="DA323" i="9" a="1"/>
  <c r="DA323" i="9" s="1"/>
  <c r="ED323" i="9" s="1" a="1"/>
  <c r="ED323" i="9" s="1"/>
  <c r="CF323" i="9"/>
  <c r="DB323" i="9" a="1"/>
  <c r="DB323" i="9" s="1"/>
  <c r="EE323" i="9" s="1" a="1"/>
  <c r="EE323" i="9" s="1"/>
  <c r="CG323" i="9"/>
  <c r="DC323" i="9" a="1"/>
  <c r="DC323" i="9" s="1"/>
  <c r="EF323" i="9" s="1" a="1"/>
  <c r="EF323" i="9" s="1"/>
  <c r="CH323" i="9"/>
  <c r="DD323" i="9" a="1"/>
  <c r="DD323" i="9" s="1"/>
  <c r="EG323" i="9" s="1" a="1"/>
  <c r="EG323" i="9" s="1"/>
  <c r="CI323" i="9"/>
  <c r="DE323" i="9" a="1"/>
  <c r="DE323" i="9" s="1"/>
  <c r="EH323" i="9" s="1" a="1"/>
  <c r="EH323" i="9" s="1"/>
  <c r="CJ323" i="9"/>
  <c r="DF323" i="9" a="1"/>
  <c r="DF323" i="9" s="1"/>
  <c r="EI323" i="9" s="1" a="1"/>
  <c r="EI323" i="9" s="1"/>
  <c r="CK323" i="9"/>
  <c r="DG323" i="9" a="1"/>
  <c r="DG323" i="9" s="1"/>
  <c r="EJ323" i="9" s="1" a="1"/>
  <c r="EJ323" i="9" s="1"/>
  <c r="CL323" i="9"/>
  <c r="DH323" i="9" a="1"/>
  <c r="DH323" i="9" s="1"/>
  <c r="EK323" i="9" s="1" a="1"/>
  <c r="EK323" i="9" s="1"/>
  <c r="CM323" i="9"/>
  <c r="DI323" i="9" a="1"/>
  <c r="DI323" i="9" s="1"/>
  <c r="EL323" i="9" s="1" a="1"/>
  <c r="EL323" i="9" s="1"/>
  <c r="CN323" i="9"/>
  <c r="DJ323" i="9" a="1"/>
  <c r="DJ323" i="9" s="1"/>
  <c r="EM323" i="9" s="1" a="1"/>
  <c r="EM323" i="9" s="1"/>
  <c r="CO323" i="9"/>
  <c r="DK323" i="9" a="1"/>
  <c r="DK323" i="9" s="1"/>
  <c r="EN323" i="9" s="1" a="1"/>
  <c r="EN323" i="9" s="1"/>
  <c r="CP323" i="9"/>
  <c r="CS324" i="9" a="1"/>
  <c r="CS324" i="9" s="1"/>
  <c r="DV324" i="9" s="1" a="1"/>
  <c r="DV324" i="9" s="1"/>
  <c r="BX324" i="9"/>
  <c r="CT324" i="9" a="1"/>
  <c r="CT324" i="9" s="1"/>
  <c r="DW324" i="9" s="1" a="1"/>
  <c r="DW324" i="9" s="1"/>
  <c r="BY324" i="9"/>
  <c r="CU324" i="9" a="1"/>
  <c r="CU324" i="9" s="1"/>
  <c r="DX324" i="9" s="1" a="1"/>
  <c r="DX324" i="9" s="1"/>
  <c r="BZ324" i="9"/>
  <c r="CV324" i="9" a="1"/>
  <c r="CV324" i="9" s="1"/>
  <c r="DY324" i="9" s="1" a="1"/>
  <c r="DY324" i="9" s="1"/>
  <c r="CA324" i="9"/>
  <c r="CW324" i="9" a="1"/>
  <c r="CW324" i="9" s="1"/>
  <c r="DZ324" i="9" s="1" a="1"/>
  <c r="DZ324" i="9" s="1"/>
  <c r="CB324" i="9"/>
  <c r="CX324" i="9" a="1"/>
  <c r="CX324" i="9" s="1"/>
  <c r="EA324" i="9" s="1" a="1"/>
  <c r="EA324" i="9" s="1"/>
  <c r="CC324" i="9"/>
  <c r="CY324" i="9" a="1"/>
  <c r="CY324" i="9" s="1"/>
  <c r="EB324" i="9" s="1" a="1"/>
  <c r="EB324" i="9" s="1"/>
  <c r="CD324" i="9"/>
  <c r="CZ324" i="9" a="1"/>
  <c r="CZ324" i="9" s="1"/>
  <c r="EC324" i="9" s="1" a="1"/>
  <c r="EC324" i="9" s="1"/>
  <c r="CE324" i="9"/>
  <c r="DA324" i="9" a="1"/>
  <c r="DA324" i="9" s="1"/>
  <c r="ED324" i="9" s="1" a="1"/>
  <c r="ED324" i="9" s="1"/>
  <c r="CF324" i="9"/>
  <c r="DB324" i="9" a="1"/>
  <c r="DB324" i="9" s="1"/>
  <c r="EE324" i="9" s="1" a="1"/>
  <c r="EE324" i="9" s="1"/>
  <c r="CG324" i="9"/>
  <c r="DC324" i="9" a="1"/>
  <c r="DC324" i="9" s="1"/>
  <c r="EF324" i="9" s="1" a="1"/>
  <c r="EF324" i="9" s="1"/>
  <c r="CH324" i="9"/>
  <c r="DD324" i="9" a="1"/>
  <c r="DD324" i="9" s="1"/>
  <c r="EG324" i="9" s="1" a="1"/>
  <c r="EG324" i="9" s="1"/>
  <c r="CI324" i="9"/>
  <c r="DE324" i="9" a="1"/>
  <c r="DE324" i="9" s="1"/>
  <c r="EH324" i="9" s="1" a="1"/>
  <c r="EH324" i="9" s="1"/>
  <c r="CJ324" i="9"/>
  <c r="DF324" i="9" a="1"/>
  <c r="DF324" i="9" s="1"/>
  <c r="EI324" i="9" s="1" a="1"/>
  <c r="EI324" i="9" s="1"/>
  <c r="CK324" i="9"/>
  <c r="DG324" i="9" a="1"/>
  <c r="DG324" i="9" s="1"/>
  <c r="EJ324" i="9" s="1" a="1"/>
  <c r="EJ324" i="9" s="1"/>
  <c r="CL324" i="9"/>
  <c r="DH324" i="9" a="1"/>
  <c r="DH324" i="9" s="1"/>
  <c r="EK324" i="9" s="1" a="1"/>
  <c r="EK324" i="9" s="1"/>
  <c r="CM324" i="9"/>
  <c r="DI324" i="9" a="1"/>
  <c r="DI324" i="9" s="1"/>
  <c r="EL324" i="9" s="1" a="1"/>
  <c r="EL324" i="9" s="1"/>
  <c r="CN324" i="9"/>
  <c r="DJ324" i="9" a="1"/>
  <c r="DJ324" i="9" s="1"/>
  <c r="EM324" i="9" s="1" a="1"/>
  <c r="EM324" i="9" s="1"/>
  <c r="CO324" i="9"/>
  <c r="DK324" i="9" a="1"/>
  <c r="DK324" i="9" s="1"/>
  <c r="EN324" i="9" s="1" a="1"/>
  <c r="EN324" i="9" s="1"/>
  <c r="CP324" i="9"/>
  <c r="CS325" i="9" a="1"/>
  <c r="CS325" i="9" s="1"/>
  <c r="DV325" i="9" s="1" a="1"/>
  <c r="DV325" i="9" s="1"/>
  <c r="BX325" i="9"/>
  <c r="CT325" i="9" a="1"/>
  <c r="CT325" i="9" s="1"/>
  <c r="DW325" i="9" s="1" a="1"/>
  <c r="DW325" i="9" s="1"/>
  <c r="BY325" i="9"/>
  <c r="CU325" i="9" a="1"/>
  <c r="CU325" i="9" s="1"/>
  <c r="DX325" i="9" s="1" a="1"/>
  <c r="DX325" i="9" s="1"/>
  <c r="BZ325" i="9"/>
  <c r="CV325" i="9" a="1"/>
  <c r="CV325" i="9" s="1"/>
  <c r="DY325" i="9" s="1" a="1"/>
  <c r="DY325" i="9" s="1"/>
  <c r="CA325" i="9"/>
  <c r="CW325" i="9" a="1"/>
  <c r="CW325" i="9" s="1"/>
  <c r="DZ325" i="9" s="1" a="1"/>
  <c r="DZ325" i="9" s="1"/>
  <c r="CB325" i="9"/>
  <c r="CX325" i="9" a="1"/>
  <c r="CX325" i="9" s="1"/>
  <c r="EA325" i="9" s="1" a="1"/>
  <c r="EA325" i="9" s="1"/>
  <c r="CC325" i="9"/>
  <c r="CY325" i="9" a="1"/>
  <c r="CY325" i="9" s="1"/>
  <c r="EB325" i="9" s="1" a="1"/>
  <c r="EB325" i="9" s="1"/>
  <c r="CD325" i="9"/>
  <c r="CZ325" i="9" a="1"/>
  <c r="CZ325" i="9" s="1"/>
  <c r="EC325" i="9" s="1" a="1"/>
  <c r="EC325" i="9" s="1"/>
  <c r="CE325" i="9"/>
  <c r="DA325" i="9" a="1"/>
  <c r="DA325" i="9" s="1"/>
  <c r="ED325" i="9" s="1" a="1"/>
  <c r="ED325" i="9" s="1"/>
  <c r="CF325" i="9"/>
  <c r="DB325" i="9" a="1"/>
  <c r="DB325" i="9" s="1"/>
  <c r="EE325" i="9" s="1" a="1"/>
  <c r="EE325" i="9" s="1"/>
  <c r="CG325" i="9"/>
  <c r="DC325" i="9" a="1"/>
  <c r="DC325" i="9" s="1"/>
  <c r="EF325" i="9" s="1" a="1"/>
  <c r="EF325" i="9" s="1"/>
  <c r="CH325" i="9"/>
  <c r="DD325" i="9" a="1"/>
  <c r="DD325" i="9" s="1"/>
  <c r="EG325" i="9" s="1" a="1"/>
  <c r="EG325" i="9" s="1"/>
  <c r="CI325" i="9"/>
  <c r="DE325" i="9" a="1"/>
  <c r="DE325" i="9" s="1"/>
  <c r="EH325" i="9" s="1" a="1"/>
  <c r="EH325" i="9" s="1"/>
  <c r="CJ325" i="9"/>
  <c r="DF325" i="9" a="1"/>
  <c r="DF325" i="9" s="1"/>
  <c r="EI325" i="9" s="1" a="1"/>
  <c r="EI325" i="9" s="1"/>
  <c r="CK325" i="9"/>
  <c r="DG325" i="9" a="1"/>
  <c r="DG325" i="9" s="1"/>
  <c r="EJ325" i="9" s="1" a="1"/>
  <c r="EJ325" i="9" s="1"/>
  <c r="CL325" i="9"/>
  <c r="DH325" i="9" a="1"/>
  <c r="DH325" i="9" s="1"/>
  <c r="EK325" i="9" s="1" a="1"/>
  <c r="EK325" i="9" s="1"/>
  <c r="CM325" i="9"/>
  <c r="DI325" i="9" a="1"/>
  <c r="DI325" i="9" s="1"/>
  <c r="EL325" i="9" s="1" a="1"/>
  <c r="EL325" i="9" s="1"/>
  <c r="CN325" i="9"/>
  <c r="DJ325" i="9" a="1"/>
  <c r="DJ325" i="9" s="1"/>
  <c r="EM325" i="9" s="1" a="1"/>
  <c r="EM325" i="9" s="1"/>
  <c r="CO325" i="9"/>
  <c r="DK325" i="9" a="1"/>
  <c r="DK325" i="9" s="1"/>
  <c r="EN325" i="9" s="1" a="1"/>
  <c r="EN325" i="9" s="1"/>
  <c r="CP325" i="9"/>
  <c r="CS326" i="9" a="1"/>
  <c r="CS326" i="9" s="1"/>
  <c r="DV326" i="9" s="1" a="1"/>
  <c r="DV326" i="9" s="1"/>
  <c r="BX326" i="9"/>
  <c r="CT326" i="9" a="1"/>
  <c r="CT326" i="9" s="1"/>
  <c r="DW326" i="9" s="1" a="1"/>
  <c r="DW326" i="9" s="1"/>
  <c r="BY326" i="9"/>
  <c r="CU326" i="9" a="1"/>
  <c r="CU326" i="9" s="1"/>
  <c r="DX326" i="9" s="1" a="1"/>
  <c r="DX326" i="9" s="1"/>
  <c r="BZ326" i="9"/>
  <c r="CV326" i="9" a="1"/>
  <c r="CV326" i="9" s="1"/>
  <c r="DY326" i="9" s="1" a="1"/>
  <c r="DY326" i="9" s="1"/>
  <c r="CA326" i="9"/>
  <c r="CW326" i="9" a="1"/>
  <c r="CW326" i="9" s="1"/>
  <c r="DZ326" i="9" s="1" a="1"/>
  <c r="DZ326" i="9" s="1"/>
  <c r="CB326" i="9"/>
  <c r="CX326" i="9" a="1"/>
  <c r="CX326" i="9" s="1"/>
  <c r="EA326" i="9" s="1" a="1"/>
  <c r="EA326" i="9" s="1"/>
  <c r="CC326" i="9"/>
  <c r="CY326" i="9" a="1"/>
  <c r="CY326" i="9" s="1"/>
  <c r="EB326" i="9" s="1" a="1"/>
  <c r="EB326" i="9" s="1"/>
  <c r="CD326" i="9"/>
  <c r="CZ326" i="9" a="1"/>
  <c r="CZ326" i="9" s="1"/>
  <c r="EC326" i="9" s="1" a="1"/>
  <c r="EC326" i="9" s="1"/>
  <c r="CE326" i="9"/>
  <c r="DA326" i="9" a="1"/>
  <c r="DA326" i="9" s="1"/>
  <c r="ED326" i="9" s="1" a="1"/>
  <c r="ED326" i="9" s="1"/>
  <c r="CF326" i="9"/>
  <c r="DB326" i="9" a="1"/>
  <c r="DB326" i="9" s="1"/>
  <c r="EE326" i="9" s="1" a="1"/>
  <c r="EE326" i="9" s="1"/>
  <c r="CG326" i="9"/>
  <c r="DC326" i="9" a="1"/>
  <c r="DC326" i="9" s="1"/>
  <c r="EF326" i="9" s="1" a="1"/>
  <c r="EF326" i="9" s="1"/>
  <c r="CH326" i="9"/>
  <c r="DD326" i="9" a="1"/>
  <c r="DD326" i="9" s="1"/>
  <c r="EG326" i="9" s="1" a="1"/>
  <c r="EG326" i="9" s="1"/>
  <c r="CI326" i="9"/>
  <c r="DE326" i="9" a="1"/>
  <c r="DE326" i="9" s="1"/>
  <c r="EH326" i="9" s="1" a="1"/>
  <c r="EH326" i="9" s="1"/>
  <c r="CJ326" i="9"/>
  <c r="DF326" i="9" a="1"/>
  <c r="DF326" i="9" s="1"/>
  <c r="EI326" i="9" s="1" a="1"/>
  <c r="EI326" i="9" s="1"/>
  <c r="CK326" i="9"/>
  <c r="DG326" i="9" a="1"/>
  <c r="DG326" i="9" s="1"/>
  <c r="EJ326" i="9" s="1" a="1"/>
  <c r="EJ326" i="9" s="1"/>
  <c r="CL326" i="9"/>
  <c r="DH326" i="9" a="1"/>
  <c r="DH326" i="9" s="1"/>
  <c r="EK326" i="9" s="1" a="1"/>
  <c r="EK326" i="9" s="1"/>
  <c r="CM326" i="9"/>
  <c r="DI326" i="9" a="1"/>
  <c r="DI326" i="9" s="1"/>
  <c r="EL326" i="9" s="1" a="1"/>
  <c r="EL326" i="9" s="1"/>
  <c r="CN326" i="9"/>
  <c r="DJ326" i="9" a="1"/>
  <c r="DJ326" i="9" s="1"/>
  <c r="EM326" i="9" s="1" a="1"/>
  <c r="EM326" i="9" s="1"/>
  <c r="CO326" i="9"/>
  <c r="DK326" i="9" a="1"/>
  <c r="DK326" i="9" s="1"/>
  <c r="EN326" i="9" s="1" a="1"/>
  <c r="EN326" i="9" s="1"/>
  <c r="CP326" i="9"/>
  <c r="CS327" i="9" a="1"/>
  <c r="CS327" i="9" s="1"/>
  <c r="DV327" i="9" s="1" a="1"/>
  <c r="DV327" i="9" s="1"/>
  <c r="BX327" i="9"/>
  <c r="CT327" i="9" a="1"/>
  <c r="CT327" i="9" s="1"/>
  <c r="DW327" i="9" s="1" a="1"/>
  <c r="DW327" i="9" s="1"/>
  <c r="BY327" i="9"/>
  <c r="CU327" i="9" a="1"/>
  <c r="CU327" i="9" s="1"/>
  <c r="DX327" i="9" s="1" a="1"/>
  <c r="DX327" i="9" s="1"/>
  <c r="BZ327" i="9"/>
  <c r="CV327" i="9" a="1"/>
  <c r="CV327" i="9" s="1"/>
  <c r="DY327" i="9" s="1" a="1"/>
  <c r="DY327" i="9" s="1"/>
  <c r="CA327" i="9"/>
  <c r="CW327" i="9" a="1"/>
  <c r="CW327" i="9" s="1"/>
  <c r="DZ327" i="9" s="1" a="1"/>
  <c r="DZ327" i="9" s="1"/>
  <c r="CB327" i="9"/>
  <c r="CX327" i="9" a="1"/>
  <c r="CX327" i="9" s="1"/>
  <c r="EA327" i="9" s="1" a="1"/>
  <c r="EA327" i="9" s="1"/>
  <c r="CC327" i="9"/>
  <c r="CY327" i="9" a="1"/>
  <c r="CY327" i="9" s="1"/>
  <c r="EB327" i="9" s="1" a="1"/>
  <c r="EB327" i="9" s="1"/>
  <c r="CD327" i="9"/>
  <c r="CZ327" i="9" a="1"/>
  <c r="CZ327" i="9" s="1"/>
  <c r="EC327" i="9" s="1" a="1"/>
  <c r="EC327" i="9" s="1"/>
  <c r="CE327" i="9"/>
  <c r="DA327" i="9" a="1"/>
  <c r="DA327" i="9" s="1"/>
  <c r="ED327" i="9" s="1" a="1"/>
  <c r="ED327" i="9" s="1"/>
  <c r="CF327" i="9"/>
  <c r="DB327" i="9" a="1"/>
  <c r="DB327" i="9" s="1"/>
  <c r="EE327" i="9" s="1" a="1"/>
  <c r="EE327" i="9" s="1"/>
  <c r="CG327" i="9"/>
  <c r="DC327" i="9" a="1"/>
  <c r="DC327" i="9" s="1"/>
  <c r="EF327" i="9" s="1" a="1"/>
  <c r="EF327" i="9" s="1"/>
  <c r="CH327" i="9"/>
  <c r="DD327" i="9" a="1"/>
  <c r="DD327" i="9" s="1"/>
  <c r="EG327" i="9" s="1" a="1"/>
  <c r="EG327" i="9" s="1"/>
  <c r="CI327" i="9"/>
  <c r="DE327" i="9" a="1"/>
  <c r="DE327" i="9" s="1"/>
  <c r="EH327" i="9" s="1" a="1"/>
  <c r="EH327" i="9" s="1"/>
  <c r="CJ327" i="9"/>
  <c r="DF327" i="9" a="1"/>
  <c r="DF327" i="9" s="1"/>
  <c r="EI327" i="9" s="1" a="1"/>
  <c r="EI327" i="9" s="1"/>
  <c r="CK327" i="9"/>
  <c r="DG327" i="9" a="1"/>
  <c r="DG327" i="9" s="1"/>
  <c r="EJ327" i="9" s="1" a="1"/>
  <c r="EJ327" i="9" s="1"/>
  <c r="CL327" i="9"/>
  <c r="DH327" i="9" a="1"/>
  <c r="DH327" i="9" s="1"/>
  <c r="EK327" i="9" s="1" a="1"/>
  <c r="EK327" i="9" s="1"/>
  <c r="CM327" i="9"/>
  <c r="DI327" i="9" a="1"/>
  <c r="DI327" i="9" s="1"/>
  <c r="EL327" i="9" s="1" a="1"/>
  <c r="EL327" i="9" s="1"/>
  <c r="CN327" i="9"/>
  <c r="DJ327" i="9" a="1"/>
  <c r="DJ327" i="9" s="1"/>
  <c r="EM327" i="9" s="1" a="1"/>
  <c r="EM327" i="9" s="1"/>
  <c r="CO327" i="9"/>
  <c r="DK327" i="9" a="1"/>
  <c r="DK327" i="9" s="1"/>
  <c r="EN327" i="9" s="1" a="1"/>
  <c r="EN327" i="9" s="1"/>
  <c r="CP327" i="9"/>
  <c r="CR309" i="9" a="1"/>
  <c r="CR309" i="9" s="1"/>
  <c r="BW309" i="9"/>
  <c r="CR310" i="9" a="1"/>
  <c r="CR310" i="9" s="1"/>
  <c r="BW310" i="9"/>
  <c r="CR311" i="9" a="1"/>
  <c r="CR311" i="9" s="1"/>
  <c r="BW311" i="9"/>
  <c r="CR312" i="9" a="1"/>
  <c r="CR312" i="9" s="1"/>
  <c r="BW312" i="9"/>
  <c r="CR313" i="9" a="1"/>
  <c r="CR313" i="9" s="1"/>
  <c r="BW313" i="9"/>
  <c r="CR314" i="9" a="1"/>
  <c r="CR314" i="9" s="1"/>
  <c r="BW314" i="9"/>
  <c r="CR315" i="9" a="1"/>
  <c r="CR315" i="9" s="1"/>
  <c r="BW315" i="9"/>
  <c r="CR316" i="9" a="1"/>
  <c r="CR316" i="9" s="1"/>
  <c r="BW316" i="9"/>
  <c r="CR317" i="9" a="1"/>
  <c r="CR317" i="9" s="1"/>
  <c r="BW317" i="9"/>
  <c r="CR318" i="9" a="1"/>
  <c r="CR318" i="9" s="1"/>
  <c r="BW318" i="9"/>
  <c r="CR319" i="9" a="1"/>
  <c r="CR319" i="9" s="1"/>
  <c r="BW319" i="9"/>
  <c r="CR320" i="9" a="1"/>
  <c r="CR320" i="9" s="1"/>
  <c r="BW320" i="9"/>
  <c r="CR321" i="9" a="1"/>
  <c r="CR321" i="9" s="1"/>
  <c r="BW321" i="9"/>
  <c r="CR322" i="9" a="1"/>
  <c r="CR322" i="9" s="1"/>
  <c r="BW322" i="9"/>
  <c r="CR323" i="9" a="1"/>
  <c r="CR323" i="9" s="1"/>
  <c r="BW323" i="9"/>
  <c r="CR324" i="9" a="1"/>
  <c r="CR324" i="9" s="1"/>
  <c r="BW324" i="9"/>
  <c r="CR325" i="9" a="1"/>
  <c r="CR325" i="9" s="1"/>
  <c r="BW325" i="9"/>
  <c r="CR326" i="9" a="1"/>
  <c r="CR326" i="9" s="1"/>
  <c r="BW326" i="9"/>
  <c r="CR327" i="9" a="1"/>
  <c r="CR327" i="9" s="1"/>
  <c r="DU327" i="9" s="1" a="1"/>
  <c r="DU327" i="9" s="1"/>
  <c r="EP327" i="9" s="1"/>
  <c r="BW327" i="9"/>
  <c r="DK308" i="9" a="1"/>
  <c r="DK308" i="9" s="1"/>
  <c r="EN308" i="9" s="1" a="1"/>
  <c r="EN308" i="9" s="1"/>
  <c r="CP308" i="9"/>
  <c r="DJ308" i="9" a="1"/>
  <c r="DJ308" i="9" s="1"/>
  <c r="EM308" i="9" s="1" a="1"/>
  <c r="EM308" i="9" s="1"/>
  <c r="CO308" i="9"/>
  <c r="DI308" i="9" a="1"/>
  <c r="DI308" i="9" s="1"/>
  <c r="EL308" i="9" s="1" a="1"/>
  <c r="EL308" i="9" s="1"/>
  <c r="CN308" i="9"/>
  <c r="DH308" i="9" a="1"/>
  <c r="DH308" i="9" s="1"/>
  <c r="EK308" i="9" s="1" a="1"/>
  <c r="EK308" i="9" s="1"/>
  <c r="CM308" i="9"/>
  <c r="DG308" i="9" a="1"/>
  <c r="DG308" i="9" s="1"/>
  <c r="EJ308" i="9" s="1" a="1"/>
  <c r="EJ308" i="9" s="1"/>
  <c r="CL308" i="9"/>
  <c r="DF308" i="9" a="1"/>
  <c r="DF308" i="9" s="1"/>
  <c r="EI308" i="9" s="1" a="1"/>
  <c r="EI308" i="9" s="1"/>
  <c r="CK308" i="9"/>
  <c r="DE308" i="9" a="1"/>
  <c r="DE308" i="9" s="1"/>
  <c r="EH308" i="9" s="1" a="1"/>
  <c r="EH308" i="9" s="1"/>
  <c r="CJ308" i="9"/>
  <c r="DD308" i="9" a="1"/>
  <c r="DD308" i="9" s="1"/>
  <c r="EG308" i="9" s="1" a="1"/>
  <c r="EG308" i="9" s="1"/>
  <c r="CI308" i="9"/>
  <c r="DC308" i="9" a="1"/>
  <c r="DC308" i="9" s="1"/>
  <c r="EF308" i="9" s="1" a="1"/>
  <c r="EF308" i="9" s="1"/>
  <c r="CH308" i="9"/>
  <c r="DB308" i="9" a="1"/>
  <c r="DB308" i="9" s="1"/>
  <c r="EE308" i="9" s="1" a="1"/>
  <c r="EE308" i="9" s="1"/>
  <c r="CG308" i="9"/>
  <c r="DA308" i="9" a="1"/>
  <c r="DA308" i="9" s="1"/>
  <c r="ED308" i="9" s="1" a="1"/>
  <c r="ED308" i="9" s="1"/>
  <c r="CF308" i="9"/>
  <c r="CZ308" i="9" a="1"/>
  <c r="CZ308" i="9" s="1"/>
  <c r="EC308" i="9" s="1" a="1"/>
  <c r="EC308" i="9" s="1"/>
  <c r="CE308" i="9"/>
  <c r="CY308" i="9" a="1"/>
  <c r="CY308" i="9" s="1"/>
  <c r="EB308" i="9" s="1" a="1"/>
  <c r="EB308" i="9" s="1"/>
  <c r="CD308" i="9"/>
  <c r="CX308" i="9" a="1"/>
  <c r="CX308" i="9" s="1"/>
  <c r="EA308" i="9" s="1" a="1"/>
  <c r="EA308" i="9" s="1"/>
  <c r="CC308" i="9"/>
  <c r="CW308" i="9" a="1"/>
  <c r="CW308" i="9" s="1"/>
  <c r="DZ308" i="9" s="1" a="1"/>
  <c r="DZ308" i="9" s="1"/>
  <c r="CB308" i="9"/>
  <c r="CV308" i="9" a="1"/>
  <c r="CV308" i="9" s="1"/>
  <c r="DY308" i="9" s="1" a="1"/>
  <c r="DY308" i="9" s="1"/>
  <c r="CA308" i="9"/>
  <c r="CU308" i="9" a="1"/>
  <c r="CU308" i="9" s="1"/>
  <c r="DX308" i="9" s="1" a="1"/>
  <c r="DX308" i="9" s="1"/>
  <c r="BZ308" i="9"/>
  <c r="CT308" i="9" a="1"/>
  <c r="CT308" i="9" s="1"/>
  <c r="DW308" i="9" s="1" a="1"/>
  <c r="DW308" i="9" s="1"/>
  <c r="BY308" i="9"/>
  <c r="CS308" i="9" a="1"/>
  <c r="CS308" i="9" s="1"/>
  <c r="DV308" i="9" s="1" a="1"/>
  <c r="DV308" i="9" s="1"/>
  <c r="BX308" i="9"/>
  <c r="CR308" i="9" a="1"/>
  <c r="CR308" i="9" s="1"/>
  <c r="BW308" i="9"/>
  <c r="CS306" i="9" a="1"/>
  <c r="CS306" i="9" s="1"/>
  <c r="DV306" i="9" s="1" a="1"/>
  <c r="DV306" i="9" s="1"/>
  <c r="BX306" i="9"/>
  <c r="CT306" i="9" a="1"/>
  <c r="CT306" i="9" s="1"/>
  <c r="DW306" i="9" s="1" a="1"/>
  <c r="DW306" i="9" s="1"/>
  <c r="BY306" i="9"/>
  <c r="CU306" i="9" a="1"/>
  <c r="CU306" i="9" s="1"/>
  <c r="DX306" i="9" s="1" a="1"/>
  <c r="DX306" i="9" s="1"/>
  <c r="BZ306" i="9"/>
  <c r="CV306" i="9" a="1"/>
  <c r="CV306" i="9" s="1"/>
  <c r="DY306" i="9" s="1" a="1"/>
  <c r="DY306" i="9" s="1"/>
  <c r="CA306" i="9"/>
  <c r="CW306" i="9" a="1"/>
  <c r="CW306" i="9" s="1"/>
  <c r="DZ306" i="9" s="1" a="1"/>
  <c r="DZ306" i="9" s="1"/>
  <c r="CB306" i="9"/>
  <c r="CX306" i="9" a="1"/>
  <c r="CX306" i="9" s="1"/>
  <c r="EA306" i="9" s="1" a="1"/>
  <c r="EA306" i="9" s="1"/>
  <c r="CC306" i="9"/>
  <c r="CY306" i="9" a="1"/>
  <c r="CY306" i="9" s="1"/>
  <c r="EB306" i="9" s="1" a="1"/>
  <c r="EB306" i="9" s="1"/>
  <c r="CD306" i="9"/>
  <c r="CZ306" i="9" a="1"/>
  <c r="CZ306" i="9" s="1"/>
  <c r="EC306" i="9" s="1" a="1"/>
  <c r="EC306" i="9" s="1"/>
  <c r="CE306" i="9"/>
  <c r="DA306" i="9" a="1"/>
  <c r="DA306" i="9" s="1"/>
  <c r="ED306" i="9" s="1" a="1"/>
  <c r="ED306" i="9" s="1"/>
  <c r="CF306" i="9"/>
  <c r="DB306" i="9" a="1"/>
  <c r="DB306" i="9" s="1"/>
  <c r="EE306" i="9" s="1" a="1"/>
  <c r="EE306" i="9" s="1"/>
  <c r="CG306" i="9"/>
  <c r="DC306" i="9" a="1"/>
  <c r="DC306" i="9" s="1"/>
  <c r="EF306" i="9" s="1" a="1"/>
  <c r="EF306" i="9" s="1"/>
  <c r="CH306" i="9"/>
  <c r="DD306" i="9" a="1"/>
  <c r="DD306" i="9" s="1"/>
  <c r="EG306" i="9" s="1" a="1"/>
  <c r="EG306" i="9" s="1"/>
  <c r="CI306" i="9"/>
  <c r="DE306" i="9" a="1"/>
  <c r="DE306" i="9" s="1"/>
  <c r="EH306" i="9" s="1" a="1"/>
  <c r="EH306" i="9" s="1"/>
  <c r="CJ306" i="9"/>
  <c r="DF306" i="9" a="1"/>
  <c r="DF306" i="9" s="1"/>
  <c r="EI306" i="9" s="1" a="1"/>
  <c r="EI306" i="9" s="1"/>
  <c r="CK306" i="9"/>
  <c r="DG306" i="9" a="1"/>
  <c r="DG306" i="9" s="1"/>
  <c r="EJ306" i="9" s="1" a="1"/>
  <c r="EJ306" i="9" s="1"/>
  <c r="CL306" i="9"/>
  <c r="DH306" i="9" a="1"/>
  <c r="DH306" i="9" s="1"/>
  <c r="EK306" i="9" s="1" a="1"/>
  <c r="EK306" i="9" s="1"/>
  <c r="CM306" i="9"/>
  <c r="DJ306" i="9" a="1"/>
  <c r="DJ306" i="9" s="1"/>
  <c r="EM306" i="9" s="1" a="1"/>
  <c r="EM306" i="9" s="1"/>
  <c r="CO306" i="9"/>
  <c r="DK306" i="9" a="1"/>
  <c r="DK306" i="9" s="1"/>
  <c r="EN306" i="9" s="1" a="1"/>
  <c r="EN306" i="9" s="1"/>
  <c r="CP306" i="9"/>
  <c r="CR306" i="9" a="1"/>
  <c r="CR306" i="9" s="1"/>
  <c r="BW306" i="9"/>
  <c r="CI262" i="9" a="1"/>
  <c r="AF330" i="9"/>
  <c r="BL247" i="9" a="1"/>
  <c r="DI306" i="9" a="1"/>
  <c r="DI306" i="9" s="1"/>
  <c r="EL306" i="9" s="1" a="1"/>
  <c r="EL306" i="9" s="1"/>
  <c r="E264" i="9" a="1"/>
  <c r="C125" i="10" s="1"/>
  <c r="BA264" i="9" a="1"/>
  <c r="BA264" i="9" s="1"/>
  <c r="BC264" i="9" s="1"/>
  <c r="AX264" i="9" a="1"/>
  <c r="AX264" i="9" s="1"/>
  <c r="AZ264" i="9" s="1"/>
  <c r="BA266" i="9" a="1"/>
  <c r="BA266" i="9" s="1"/>
  <c r="BC266" i="9" s="1"/>
  <c r="AX266" i="9" a="1"/>
  <c r="AX266" i="9" s="1"/>
  <c r="AZ266" i="9" s="1"/>
  <c r="BA268" i="9" a="1"/>
  <c r="BA268" i="9" s="1"/>
  <c r="BC268" i="9" s="1"/>
  <c r="AX268" i="9" a="1"/>
  <c r="AX268" i="9" s="1"/>
  <c r="AZ268" i="9" s="1"/>
  <c r="BA271" i="9" a="1"/>
  <c r="BA271" i="9" s="1"/>
  <c r="BC271" i="9" s="1"/>
  <c r="AX271" i="9" a="1"/>
  <c r="AX271" i="9" s="1"/>
  <c r="AZ271" i="9" s="1"/>
  <c r="BA273" i="9" a="1"/>
  <c r="BA273" i="9" s="1"/>
  <c r="BC273" i="9" s="1"/>
  <c r="AX273" i="9" a="1"/>
  <c r="AX273" i="9" s="1"/>
  <c r="AZ273" i="9" s="1"/>
  <c r="BA276" i="9" a="1"/>
  <c r="BA276" i="9" s="1"/>
  <c r="BC276" i="9" s="1"/>
  <c r="AX276" i="9" a="1"/>
  <c r="AX276" i="9" s="1"/>
  <c r="AZ276" i="9" s="1"/>
  <c r="BA278" i="9" a="1"/>
  <c r="BA278" i="9" s="1"/>
  <c r="BC278" i="9" s="1"/>
  <c r="AX278" i="9" a="1"/>
  <c r="AX278" i="9" s="1"/>
  <c r="AZ278" i="9" s="1"/>
  <c r="BA280" i="9" a="1"/>
  <c r="BA280" i="9" s="1"/>
  <c r="BC280" i="9" s="1"/>
  <c r="AX280" i="9" a="1"/>
  <c r="AX280" i="9" s="1"/>
  <c r="AZ280" i="9" s="1"/>
  <c r="BA281" i="9" a="1"/>
  <c r="BA281" i="9" s="1"/>
  <c r="BC281" i="9" s="1"/>
  <c r="AX281" i="9" a="1"/>
  <c r="AX281" i="9" s="1"/>
  <c r="AZ281" i="9" s="1"/>
  <c r="BA282" i="9" a="1"/>
  <c r="BA282" i="9" s="1"/>
  <c r="BC282" i="9" s="1"/>
  <c r="AX282" i="9" a="1"/>
  <c r="AX282" i="9" s="1"/>
  <c r="AZ282" i="9" s="1"/>
  <c r="BA265" i="9" a="1"/>
  <c r="BA265" i="9" s="1"/>
  <c r="BC265" i="9" s="1"/>
  <c r="AX265" i="9" a="1"/>
  <c r="AX265" i="9" s="1"/>
  <c r="AZ265" i="9" s="1"/>
  <c r="BA267" i="9" a="1"/>
  <c r="BA267" i="9" s="1"/>
  <c r="BC267" i="9" s="1"/>
  <c r="AX267" i="9" a="1"/>
  <c r="AX267" i="9" s="1"/>
  <c r="AZ267" i="9" s="1"/>
  <c r="BA269" i="9" a="1"/>
  <c r="BA269" i="9" s="1"/>
  <c r="BC269" i="9" s="1"/>
  <c r="AX269" i="9" a="1"/>
  <c r="AX269" i="9" s="1"/>
  <c r="AZ269" i="9" s="1"/>
  <c r="BA270" i="9" a="1"/>
  <c r="BA270" i="9" s="1"/>
  <c r="BC270" i="9" s="1"/>
  <c r="AX270" i="9" a="1"/>
  <c r="AX270" i="9" s="1"/>
  <c r="AZ270" i="9" s="1"/>
  <c r="BA272" i="9" a="1"/>
  <c r="BA272" i="9" s="1"/>
  <c r="BC272" i="9" s="1"/>
  <c r="AX272" i="9" a="1"/>
  <c r="AX272" i="9" s="1"/>
  <c r="AZ272" i="9" s="1"/>
  <c r="BA274" i="9" a="1"/>
  <c r="BA274" i="9" s="1"/>
  <c r="BC274" i="9" s="1"/>
  <c r="AX274" i="9" a="1"/>
  <c r="AX274" i="9" s="1"/>
  <c r="AZ274" i="9" s="1"/>
  <c r="BA275" i="9" a="1"/>
  <c r="BA275" i="9" s="1"/>
  <c r="BC275" i="9" s="1"/>
  <c r="AX275" i="9" a="1"/>
  <c r="AX275" i="9" s="1"/>
  <c r="AZ275" i="9" s="1"/>
  <c r="BA277" i="9" a="1"/>
  <c r="BA277" i="9" s="1"/>
  <c r="BC277" i="9" s="1"/>
  <c r="AX277" i="9" a="1"/>
  <c r="AX277" i="9" s="1"/>
  <c r="AZ277" i="9" s="1"/>
  <c r="BA279" i="9" a="1"/>
  <c r="BA279" i="9" s="1"/>
  <c r="BC279" i="9" s="1"/>
  <c r="AX279" i="9" a="1"/>
  <c r="AX279" i="9" s="1"/>
  <c r="AZ279" i="9" s="1"/>
  <c r="BA283" i="9" a="1"/>
  <c r="BA283" i="9" s="1"/>
  <c r="BC283" i="9" s="1"/>
  <c r="AX283" i="9" a="1"/>
  <c r="AX283" i="9" s="1"/>
  <c r="AZ283" i="9" s="1"/>
  <c r="BA262" i="9" a="1"/>
  <c r="BA262" i="9" s="1"/>
  <c r="BC262" i="9" s="1"/>
  <c r="AX262" i="9" a="1"/>
  <c r="AX262" i="9" s="1"/>
  <c r="AZ262" i="9" s="1"/>
  <c r="BE262" i="9" s="1"/>
  <c r="E177" i="9"/>
  <c r="C68" i="10" s="1"/>
  <c r="AA217" i="9"/>
  <c r="E175" i="9"/>
  <c r="E195" i="9"/>
  <c r="C86" i="10" s="1"/>
  <c r="E194" i="9"/>
  <c r="C85" i="10" s="1"/>
  <c r="V220" i="9"/>
  <c r="Y220" i="9"/>
  <c r="Y221" i="9"/>
  <c r="V221" i="9"/>
  <c r="V222" i="9"/>
  <c r="Y222" i="9"/>
  <c r="Y223" i="9"/>
  <c r="V223" i="9"/>
  <c r="Y224" i="9"/>
  <c r="V224" i="9"/>
  <c r="Y225" i="9"/>
  <c r="V225" i="9"/>
  <c r="V226" i="9"/>
  <c r="Y226" i="9"/>
  <c r="Y227" i="9"/>
  <c r="V227" i="9"/>
  <c r="V228" i="9"/>
  <c r="Y228" i="9"/>
  <c r="Y229" i="9"/>
  <c r="V229" i="9"/>
  <c r="V230" i="9"/>
  <c r="Y230" i="9"/>
  <c r="V231" i="9"/>
  <c r="Y231" i="9"/>
  <c r="V232" i="9"/>
  <c r="Y232" i="9"/>
  <c r="V233" i="9"/>
  <c r="Y233" i="9"/>
  <c r="V234" i="9"/>
  <c r="Y234" i="9"/>
  <c r="V235" i="9"/>
  <c r="Y235" i="9"/>
  <c r="Y236" i="9"/>
  <c r="V236" i="9"/>
  <c r="V237" i="9"/>
  <c r="Y237" i="9"/>
  <c r="Y238" i="9"/>
  <c r="V238" i="9"/>
  <c r="Y219" i="9"/>
  <c r="V219" i="9"/>
  <c r="E196" i="9"/>
  <c r="C87" i="10" s="1"/>
  <c r="E193" i="9"/>
  <c r="C84" i="10" s="1"/>
  <c r="E189" i="9"/>
  <c r="C80" i="10" s="1"/>
  <c r="E185" i="9"/>
  <c r="C76" i="10" s="1"/>
  <c r="E184" i="9"/>
  <c r="C75" i="10" s="1"/>
  <c r="E192" i="9"/>
  <c r="C83" i="10" s="1"/>
  <c r="E191" i="9"/>
  <c r="C82" i="10" s="1"/>
  <c r="E190" i="9"/>
  <c r="C81" i="10" s="1"/>
  <c r="E188" i="9"/>
  <c r="C79" i="10" s="1"/>
  <c r="E187" i="9"/>
  <c r="C78" i="10" s="1"/>
  <c r="E186" i="9"/>
  <c r="C77" i="10" s="1"/>
  <c r="E182" i="9"/>
  <c r="C73" i="10" s="1"/>
  <c r="E179" i="9"/>
  <c r="C70" i="10" s="1"/>
  <c r="E183" i="9"/>
  <c r="C74" i="10" s="1"/>
  <c r="E180" i="9"/>
  <c r="C71" i="10" s="1"/>
  <c r="E181" i="9"/>
  <c r="C72" i="10" s="1"/>
  <c r="E178" i="9"/>
  <c r="C69" i="10" s="1"/>
  <c r="DU308" i="9" l="1" a="1"/>
  <c r="DU308" i="9" s="1"/>
  <c r="EP308" i="9" s="1"/>
  <c r="DM308" i="9" a="1"/>
  <c r="DM308" i="9" s="1"/>
  <c r="DO308" i="9" s="1"/>
  <c r="DP308" i="9" a="1"/>
  <c r="DP308" i="9" s="1"/>
  <c r="DR308" i="9" s="1"/>
  <c r="DP306" i="9" a="1"/>
  <c r="DP306" i="9" s="1"/>
  <c r="DR306" i="9" s="1"/>
  <c r="DU306" i="9" a="1"/>
  <c r="DU306" i="9" s="1"/>
  <c r="EP306" i="9" s="1"/>
  <c r="ER306" i="9" s="1"/>
  <c r="ES306" i="9" s="1" a="1"/>
  <c r="ES306" i="9" s="1"/>
  <c r="DM306" i="9" a="1"/>
  <c r="DM306" i="9" s="1"/>
  <c r="DO306" i="9" s="1"/>
  <c r="DS306" i="9" s="1"/>
  <c r="CI262" i="9"/>
  <c r="DU309" i="9" a="1"/>
  <c r="DU309" i="9" s="1"/>
  <c r="EP309" i="9" s="1"/>
  <c r="DP309" i="9" a="1"/>
  <c r="DP309" i="9" s="1"/>
  <c r="DR309" i="9" s="1"/>
  <c r="DM309" i="9" a="1"/>
  <c r="DM309" i="9" s="1"/>
  <c r="DO309" i="9" s="1"/>
  <c r="DS309" i="9" s="1"/>
  <c r="DU310" i="9" a="1"/>
  <c r="DU310" i="9" s="1"/>
  <c r="EP310" i="9" s="1"/>
  <c r="DM310" i="9" a="1"/>
  <c r="DM310" i="9" s="1"/>
  <c r="DO310" i="9" s="1"/>
  <c r="DS310" i="9" s="1"/>
  <c r="DP310" i="9" a="1"/>
  <c r="DP310" i="9" s="1"/>
  <c r="DR310" i="9" s="1"/>
  <c r="DU311" i="9" a="1"/>
  <c r="DU311" i="9" s="1"/>
  <c r="EP311" i="9" s="1"/>
  <c r="DM311" i="9" a="1"/>
  <c r="DM311" i="9" s="1"/>
  <c r="DO311" i="9" s="1"/>
  <c r="DS311" i="9" s="1"/>
  <c r="DP311" i="9" a="1"/>
  <c r="DP311" i="9" s="1"/>
  <c r="DR311" i="9" s="1"/>
  <c r="DU312" i="9" a="1"/>
  <c r="DU312" i="9" s="1"/>
  <c r="EP312" i="9" s="1"/>
  <c r="DM312" i="9" a="1"/>
  <c r="DM312" i="9" s="1"/>
  <c r="DO312" i="9" s="1"/>
  <c r="DS312" i="9" s="1"/>
  <c r="DP312" i="9" a="1"/>
  <c r="DP312" i="9" s="1"/>
  <c r="DR312" i="9" s="1"/>
  <c r="DU313" i="9" a="1"/>
  <c r="DU313" i="9" s="1"/>
  <c r="EP313" i="9" s="1"/>
  <c r="DM313" i="9" a="1"/>
  <c r="DM313" i="9" s="1"/>
  <c r="DO313" i="9" s="1"/>
  <c r="DS313" i="9" s="1"/>
  <c r="DP313" i="9" a="1"/>
  <c r="DP313" i="9" s="1"/>
  <c r="DR313" i="9" s="1"/>
  <c r="DU314" i="9" a="1"/>
  <c r="DU314" i="9" s="1"/>
  <c r="EP314" i="9" s="1"/>
  <c r="DP314" i="9" a="1"/>
  <c r="DP314" i="9" s="1"/>
  <c r="DR314" i="9" s="1"/>
  <c r="DM314" i="9" a="1"/>
  <c r="DM314" i="9" s="1"/>
  <c r="DO314" i="9" s="1"/>
  <c r="DS314" i="9" s="1"/>
  <c r="DP316" i="9" a="1"/>
  <c r="DP316" i="9" s="1"/>
  <c r="DR316" i="9" s="1"/>
  <c r="DU316" i="9" a="1"/>
  <c r="DU316" i="9" s="1"/>
  <c r="EP316" i="9" s="1"/>
  <c r="DM316" i="9" a="1"/>
  <c r="DM316" i="9" s="1"/>
  <c r="DO316" i="9" s="1"/>
  <c r="DS316" i="9" s="1"/>
  <c r="DU317" i="9" a="1"/>
  <c r="DU317" i="9" s="1"/>
  <c r="EP317" i="9" s="1"/>
  <c r="DM317" i="9" a="1"/>
  <c r="DM317" i="9" s="1"/>
  <c r="DO317" i="9" s="1"/>
  <c r="DS317" i="9" s="1"/>
  <c r="DP317" i="9" a="1"/>
  <c r="DP317" i="9" s="1"/>
  <c r="DR317" i="9" s="1"/>
  <c r="DU318" i="9" a="1"/>
  <c r="DU318" i="9" s="1"/>
  <c r="EP318" i="9" s="1"/>
  <c r="DM318" i="9" a="1"/>
  <c r="DM318" i="9" s="1"/>
  <c r="DO318" i="9" s="1"/>
  <c r="DS318" i="9" s="1"/>
  <c r="DP318" i="9" a="1"/>
  <c r="DP318" i="9" s="1"/>
  <c r="DR318" i="9" s="1"/>
  <c r="DU319" i="9" a="1"/>
  <c r="DU319" i="9" s="1"/>
  <c r="EP319" i="9" s="1"/>
  <c r="DM319" i="9" a="1"/>
  <c r="DM319" i="9" s="1"/>
  <c r="DO319" i="9" s="1"/>
  <c r="DS319" i="9" s="1"/>
  <c r="DP319" i="9" a="1"/>
  <c r="DP319" i="9" s="1"/>
  <c r="DR319" i="9" s="1"/>
  <c r="DU320" i="9" a="1"/>
  <c r="DU320" i="9" s="1"/>
  <c r="EP320" i="9" s="1"/>
  <c r="DM320" i="9" a="1"/>
  <c r="DM320" i="9" s="1"/>
  <c r="DO320" i="9" s="1"/>
  <c r="DS320" i="9" s="1"/>
  <c r="DP320" i="9" a="1"/>
  <c r="DP320" i="9" s="1"/>
  <c r="DR320" i="9" s="1"/>
  <c r="DU321" i="9" a="1"/>
  <c r="DU321" i="9" s="1"/>
  <c r="EP321" i="9" s="1"/>
  <c r="DM321" i="9" a="1"/>
  <c r="DM321" i="9" s="1"/>
  <c r="DO321" i="9" s="1"/>
  <c r="DS321" i="9" s="1"/>
  <c r="DP321" i="9" a="1"/>
  <c r="DP321" i="9" s="1"/>
  <c r="DR321" i="9" s="1"/>
  <c r="DU322" i="9" a="1"/>
  <c r="DU322" i="9" s="1"/>
  <c r="EP322" i="9" s="1"/>
  <c r="DM322" i="9" a="1"/>
  <c r="DM322" i="9" s="1"/>
  <c r="DO322" i="9" s="1"/>
  <c r="DS322" i="9" s="1"/>
  <c r="DP322" i="9" a="1"/>
  <c r="DP322" i="9" s="1"/>
  <c r="DR322" i="9" s="1"/>
  <c r="DU323" i="9" a="1"/>
  <c r="DU323" i="9" s="1"/>
  <c r="EP323" i="9" s="1"/>
  <c r="DM323" i="9" a="1"/>
  <c r="DM323" i="9" s="1"/>
  <c r="DO323" i="9" s="1"/>
  <c r="DS323" i="9" s="1"/>
  <c r="DP323" i="9" a="1"/>
  <c r="DP323" i="9" s="1"/>
  <c r="DR323" i="9" s="1"/>
  <c r="DU324" i="9" a="1"/>
  <c r="DU324" i="9" s="1"/>
  <c r="EP324" i="9" s="1"/>
  <c r="DM324" i="9" a="1"/>
  <c r="DM324" i="9" s="1"/>
  <c r="DO324" i="9" s="1"/>
  <c r="DP324" i="9" a="1"/>
  <c r="DP324" i="9" s="1"/>
  <c r="DR324" i="9" s="1"/>
  <c r="DU325" i="9" a="1"/>
  <c r="DU325" i="9" s="1"/>
  <c r="EP325" i="9" s="1"/>
  <c r="DM325" i="9" a="1"/>
  <c r="DM325" i="9" s="1"/>
  <c r="DO325" i="9" s="1"/>
  <c r="DS325" i="9" s="1"/>
  <c r="DP325" i="9" a="1"/>
  <c r="DP325" i="9" s="1"/>
  <c r="DR325" i="9" s="1"/>
  <c r="DU326" i="9" a="1"/>
  <c r="DU326" i="9" s="1"/>
  <c r="EP326" i="9" s="1"/>
  <c r="DM326" i="9" a="1"/>
  <c r="DM326" i="9" s="1"/>
  <c r="DO326" i="9" s="1"/>
  <c r="DP326" i="9" a="1"/>
  <c r="DP326" i="9" s="1"/>
  <c r="DR326" i="9" s="1"/>
  <c r="CR330" i="9" a="1"/>
  <c r="DU315" i="9" a="1"/>
  <c r="DU315" i="9" s="1"/>
  <c r="EP315" i="9" s="1"/>
  <c r="BL247" i="9"/>
  <c r="BL246" i="9" a="1"/>
  <c r="EQ327" i="9"/>
  <c r="ER327" i="9"/>
  <c r="ES327" i="9" s="1" a="1"/>
  <c r="ES327" i="9" s="1"/>
  <c r="DM315" i="9" a="1"/>
  <c r="DM315" i="9" s="1"/>
  <c r="DO315" i="9" s="1"/>
  <c r="DP315" i="9" a="1"/>
  <c r="DP315" i="9" s="1"/>
  <c r="DR315" i="9" s="1"/>
  <c r="DM327" i="9" a="1"/>
  <c r="DM327" i="9" s="1"/>
  <c r="DO327" i="9" s="1"/>
  <c r="DP327" i="9" a="1"/>
  <c r="DP327" i="9" s="1"/>
  <c r="DR327" i="9" s="1"/>
  <c r="E264" i="9"/>
  <c r="C108" i="10" s="1"/>
  <c r="C109" i="10"/>
  <c r="C110" i="10"/>
  <c r="C111" i="10"/>
  <c r="C112" i="10"/>
  <c r="C113" i="10"/>
  <c r="C114" i="10"/>
  <c r="C115" i="10"/>
  <c r="C116" i="10"/>
  <c r="C117" i="10"/>
  <c r="C118" i="10"/>
  <c r="C119" i="10"/>
  <c r="C120" i="10"/>
  <c r="C121" i="10"/>
  <c r="C122" i="10"/>
  <c r="C123" i="10"/>
  <c r="C124" i="10"/>
  <c r="C126" i="10"/>
  <c r="C127" i="10"/>
  <c r="BE264" i="9"/>
  <c r="AA223" i="9"/>
  <c r="BE274" i="9"/>
  <c r="BE283" i="9"/>
  <c r="BE278" i="9"/>
  <c r="BE271" i="9"/>
  <c r="BE268" i="9"/>
  <c r="BE270" i="9"/>
  <c r="BE276" i="9"/>
  <c r="BE277" i="9"/>
  <c r="BE272" i="9"/>
  <c r="BE279" i="9"/>
  <c r="BE280" i="9"/>
  <c r="BE281" i="9"/>
  <c r="BE267" i="9"/>
  <c r="BE266" i="9"/>
  <c r="BE273" i="9"/>
  <c r="BE275" i="9"/>
  <c r="BE282" i="9"/>
  <c r="BE265" i="9"/>
  <c r="BE269" i="9"/>
  <c r="AA236" i="9"/>
  <c r="AA227" i="9"/>
  <c r="AA221" i="9"/>
  <c r="AA225" i="9"/>
  <c r="AA219" i="9"/>
  <c r="AA224" i="9"/>
  <c r="AA229" i="9"/>
  <c r="AA233" i="9"/>
  <c r="AA238" i="9"/>
  <c r="AA226" i="9"/>
  <c r="AA228" i="9"/>
  <c r="AA220" i="9"/>
  <c r="AA222" i="9"/>
  <c r="AA230" i="9"/>
  <c r="AA231" i="9"/>
  <c r="AA232" i="9"/>
  <c r="AA234" i="9"/>
  <c r="AA235" i="9"/>
  <c r="AA237" i="9"/>
  <c r="DS308" i="9" l="1"/>
  <c r="ER308" i="9"/>
  <c r="ES308" i="9" s="1" a="1"/>
  <c r="ES308" i="9" s="1"/>
  <c r="EQ308" i="9"/>
  <c r="ER309" i="9"/>
  <c r="ES309" i="9" s="1" a="1"/>
  <c r="ES309" i="9" s="1"/>
  <c r="EQ309" i="9"/>
  <c r="ER310" i="9"/>
  <c r="ES310" i="9" s="1" a="1"/>
  <c r="ES310" i="9" s="1"/>
  <c r="EQ310" i="9"/>
  <c r="EQ316" i="9"/>
  <c r="ER316" i="9"/>
  <c r="ES316" i="9" s="1" a="1"/>
  <c r="ES316" i="9" s="1"/>
  <c r="EQ317" i="9"/>
  <c r="ER317" i="9"/>
  <c r="ES317" i="9" s="1" a="1"/>
  <c r="ES317" i="9" s="1"/>
  <c r="ER318" i="9"/>
  <c r="ES318" i="9" s="1" a="1"/>
  <c r="ES318" i="9" s="1"/>
  <c r="EQ318" i="9"/>
  <c r="ER319" i="9"/>
  <c r="ES319" i="9" s="1" a="1"/>
  <c r="ES319" i="9" s="1"/>
  <c r="EQ319" i="9"/>
  <c r="ER320" i="9"/>
  <c r="ES320" i="9" s="1" a="1"/>
  <c r="ES320" i="9" s="1"/>
  <c r="EQ320" i="9"/>
  <c r="EQ321" i="9"/>
  <c r="ER321" i="9"/>
  <c r="ES321" i="9" s="1" a="1"/>
  <c r="ES321" i="9" s="1"/>
  <c r="ER322" i="9"/>
  <c r="ES322" i="9" s="1" a="1"/>
  <c r="ES322" i="9" s="1"/>
  <c r="EQ322" i="9"/>
  <c r="ER323" i="9"/>
  <c r="ES323" i="9" s="1" a="1"/>
  <c r="ES323" i="9" s="1"/>
  <c r="EQ323" i="9"/>
  <c r="ER324" i="9"/>
  <c r="ES324" i="9" s="1" a="1"/>
  <c r="ES324" i="9" s="1"/>
  <c r="EQ324" i="9"/>
  <c r="ER325" i="9"/>
  <c r="ES325" i="9" s="1" a="1"/>
  <c r="ES325" i="9" s="1"/>
  <c r="EQ325" i="9"/>
  <c r="ER326" i="9"/>
  <c r="ES326" i="9" s="1" a="1"/>
  <c r="ES326" i="9" s="1"/>
  <c r="EQ326" i="9"/>
  <c r="ER311" i="9"/>
  <c r="ES311" i="9" s="1" a="1"/>
  <c r="ES311" i="9" s="1"/>
  <c r="EQ311" i="9"/>
  <c r="ER312" i="9"/>
  <c r="ES312" i="9" s="1" a="1"/>
  <c r="ES312" i="9" s="1"/>
  <c r="EQ312" i="9"/>
  <c r="EQ313" i="9"/>
  <c r="ER313" i="9"/>
  <c r="ES313" i="9" s="1" a="1"/>
  <c r="ES313" i="9" s="1"/>
  <c r="EQ314" i="9"/>
  <c r="ER314" i="9"/>
  <c r="ES314" i="9" s="1" a="1"/>
  <c r="ES314" i="9" s="1"/>
  <c r="DS324" i="9"/>
  <c r="DS326" i="9"/>
  <c r="CR330" i="9"/>
  <c r="EQ315" i="9"/>
  <c r="ER315" i="9"/>
  <c r="ES315" i="9" s="1" a="1"/>
  <c r="ES315" i="9" s="1"/>
  <c r="BL246" i="9"/>
  <c r="BK246" i="9" s="1"/>
  <c r="EQ306" i="9"/>
  <c r="DS315" i="9"/>
  <c r="DS327" i="9"/>
  <c r="E308" i="9" l="1" a="1"/>
  <c r="C143" i="10" l="1"/>
  <c r="C135" i="10"/>
  <c r="C145" i="10"/>
  <c r="C130" i="10"/>
  <c r="C133" i="10"/>
  <c r="C138" i="10"/>
  <c r="C141" i="10"/>
  <c r="C144" i="10"/>
  <c r="C132" i="10"/>
  <c r="C136" i="10"/>
  <c r="C139" i="10"/>
  <c r="C142" i="10"/>
  <c r="C146" i="10"/>
  <c r="C129" i="10"/>
  <c r="C131" i="10"/>
  <c r="C134" i="10"/>
  <c r="C137" i="10"/>
  <c r="C140" i="10"/>
  <c r="C147" i="10"/>
  <c r="E308" i="9"/>
  <c r="C128" i="10"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<sst xmlns="http://schemas.openxmlformats.org/spreadsheetml/2006/main" count="1512" uniqueCount="361">
  <si>
    <t>Duck Hunt - Varsity Edition</t>
  </si>
  <si>
    <t>Case Author</t>
  </si>
  <si>
    <t>Jack Franken</t>
  </si>
  <si>
    <t>Case Design Team</t>
  </si>
  <si>
    <t>David Brown</t>
  </si>
  <si>
    <t>Eric Kelley</t>
  </si>
  <si>
    <t>Leo Fernandez</t>
  </si>
  <si>
    <t>Nora Junaid</t>
  </si>
  <si>
    <t>Instructions</t>
  </si>
  <si>
    <t>You are an ornithologist, studying the impact of duck hunting season on the duck population.</t>
  </si>
  <si>
    <t>You will track ducks as they fly across the 'Scene', determining how successful the duck hunters are during duck season.</t>
  </si>
  <si>
    <t>All ducks begin outside of the scene, and fly in either from the left or right, flying horizontally in the same row that the duck began.</t>
  </si>
  <si>
    <t>Bonus Questions</t>
  </si>
  <si>
    <t>Bonus questions 1 and 3 can be completed independent of the Levels. Bonus 2 is aided by solving Level 3 first. Bonus 4 is aided by solving Level 6 first. Bonus 5 is aided by solving all of the Levels first.</t>
  </si>
  <si>
    <t>Game #</t>
  </si>
  <si>
    <t>Relates to Level #</t>
  </si>
  <si>
    <t>Points</t>
  </si>
  <si>
    <t>Answer</t>
  </si>
  <si>
    <t>Bonus 1</t>
  </si>
  <si>
    <t>N/A</t>
  </si>
  <si>
    <t>How many cloud cells are in the scene? See the legend on the Scene tab.</t>
  </si>
  <si>
    <t>Bonus 2</t>
  </si>
  <si>
    <t>In Level 3, excluding the example, how many ducks are flying from left-to-right?</t>
  </si>
  <si>
    <t>Bonus 3</t>
  </si>
  <si>
    <t>Across all levels, which cell does the hunter aim at most often? Include both targets in each game within Level 7. Exclude all examples.</t>
  </si>
  <si>
    <t>Bonus 4</t>
  </si>
  <si>
    <t>Across all of Level 6, excluding the example, how many ducks are hiding behind the trees when the hunter takes the shot? Include both the green tree and brown trunk cells.</t>
  </si>
  <si>
    <t>Bonus 5</t>
  </si>
  <si>
    <t>All Levels</t>
  </si>
  <si>
    <t>How many times across all levels, excluding examples, does the hunter successfully shoot the duck?</t>
  </si>
  <si>
    <t>Levels</t>
  </si>
  <si>
    <t>Level 1</t>
  </si>
  <si>
    <t>Easy</t>
  </si>
  <si>
    <t>Duck Hunt</t>
  </si>
  <si>
    <t>The duck moves 1 cell each second moving from left to right (from column A to column V).</t>
  </si>
  <si>
    <t xml:space="preserve">What cell will the duck be in, given the starting cell and the number of seconds the duck has flown? </t>
  </si>
  <si>
    <r>
      <t>Example1:</t>
    </r>
    <r>
      <rPr>
        <sz val="12"/>
        <rFont val="Roboto"/>
      </rPr>
      <t xml:space="preserve"> The duck begins in cell A13.</t>
    </r>
  </si>
  <si>
    <t>The duck enters the scene, traveling to the right.</t>
  </si>
  <si>
    <t>The duck travels 6 cells (across 6 columns) in 6 seconds.</t>
  </si>
  <si>
    <t>The duck is at cell G13 (Column A + 6 Columns) after 6 seconds.</t>
  </si>
  <si>
    <t>Answer Hints:</t>
  </si>
  <si>
    <t>Game 1's answer is within the range J7:L11.</t>
  </si>
  <si>
    <t>Game 2's answer is within the range R24:V27.</t>
  </si>
  <si>
    <t>Game 3's answer is within the range B3:E9.</t>
  </si>
  <si>
    <t>Game</t>
  </si>
  <si>
    <t>Level</t>
  </si>
  <si>
    <t>Starting Cell</t>
  </si>
  <si>
    <t>Seconds</t>
  </si>
  <si>
    <t>Example1</t>
  </si>
  <si>
    <t>G13</t>
  </si>
  <si>
    <t>A13</t>
  </si>
  <si>
    <t>A10</t>
  </si>
  <si>
    <t>A25</t>
  </si>
  <si>
    <t>A4</t>
  </si>
  <si>
    <t>A19</t>
  </si>
  <si>
    <t>A26</t>
  </si>
  <si>
    <t>A3</t>
  </si>
  <si>
    <t>A17</t>
  </si>
  <si>
    <t>A16</t>
  </si>
  <si>
    <t>A7</t>
  </si>
  <si>
    <t>A21</t>
  </si>
  <si>
    <t>A8</t>
  </si>
  <si>
    <t>A6</t>
  </si>
  <si>
    <t>A22</t>
  </si>
  <si>
    <t>A9</t>
  </si>
  <si>
    <t>A12</t>
  </si>
  <si>
    <t>A20</t>
  </si>
  <si>
    <t>Level 2</t>
  </si>
  <si>
    <t>Hunt Duck</t>
  </si>
  <si>
    <t>The duck moves 1 cell each second moving from right to left (from column V to column A).</t>
  </si>
  <si>
    <t>What cell will the duck be in, given the starting cell and the number of seconds the duck has flown?</t>
  </si>
  <si>
    <r>
      <t>Example2:</t>
    </r>
    <r>
      <rPr>
        <sz val="12"/>
        <rFont val="Roboto"/>
      </rPr>
      <t xml:space="preserve"> The duck begins in cell V6.</t>
    </r>
  </si>
  <si>
    <t>The duck enters the scene, traveling to the left.</t>
  </si>
  <si>
    <t>The duck travels 8 cells (across 8 columns) in 8 seconds.</t>
  </si>
  <si>
    <t>The duck is at cell N6 (Column V - 8 Columns) after 8 seconds.</t>
  </si>
  <si>
    <t>Game 21's answer is within the range D10:G14.</t>
  </si>
  <si>
    <t>Game 22's answer is within the range D15:J17.</t>
  </si>
  <si>
    <t>Game 23's answer is within the range N19:O22.</t>
  </si>
  <si>
    <t>Example2</t>
  </si>
  <si>
    <t>N6</t>
  </si>
  <si>
    <t>V6</t>
  </si>
  <si>
    <t>V12</t>
  </si>
  <si>
    <t>V16</t>
  </si>
  <si>
    <t>V21</t>
  </si>
  <si>
    <t>V26</t>
  </si>
  <si>
    <t>V25</t>
  </si>
  <si>
    <t>V17</t>
  </si>
  <si>
    <t>V8</t>
  </si>
  <si>
    <t>V9</t>
  </si>
  <si>
    <t>V22</t>
  </si>
  <si>
    <t>V24</t>
  </si>
  <si>
    <t>V3</t>
  </si>
  <si>
    <t>V5</t>
  </si>
  <si>
    <t>V10</t>
  </si>
  <si>
    <t>Level 3</t>
  </si>
  <si>
    <t>Easy-Medium</t>
  </si>
  <si>
    <t>Cross-Eyed Hunter</t>
  </si>
  <si>
    <t>Now ducks are flying in from both diretions.</t>
  </si>
  <si>
    <t>Ducks that start in column A move 1 cell each second from left to right (from column A to column V).</t>
  </si>
  <si>
    <t>Ducks that start in column V move 1 cell each second from right to left (from column V to column A).</t>
  </si>
  <si>
    <r>
      <t>Example3:</t>
    </r>
    <r>
      <rPr>
        <sz val="12"/>
        <rFont val="Roboto"/>
      </rPr>
      <t xml:space="preserve"> The duck begins in Cell A8.</t>
    </r>
  </si>
  <si>
    <t>The duck enters the scene. Because the duck started in Column A, it is traveling to the right.</t>
  </si>
  <si>
    <t>The duck travels 7 cells (across 7 columns) in 7 seconds.</t>
  </si>
  <si>
    <t>The duck is at cell H8 (Column A + 7 Columns) after 7 seconds.</t>
  </si>
  <si>
    <t>Game 41's answer is within the range G15:I20.</t>
  </si>
  <si>
    <t>Game 42's answer is within the range R3:U6.</t>
  </si>
  <si>
    <t>Game 43's answer is within the range I2:J9.</t>
  </si>
  <si>
    <t>Example3</t>
  </si>
  <si>
    <t>H8</t>
  </si>
  <si>
    <t>A5</t>
  </si>
  <si>
    <t>A11</t>
  </si>
  <si>
    <t>V18</t>
  </si>
  <si>
    <t>V2</t>
  </si>
  <si>
    <t>A14</t>
  </si>
  <si>
    <t>V13</t>
  </si>
  <si>
    <t>A2</t>
  </si>
  <si>
    <t>Level 4</t>
  </si>
  <si>
    <t>Medium</t>
  </si>
  <si>
    <t>A Narrow Miss</t>
  </si>
  <si>
    <t>Ducks are flying in both directions as in Level 3.</t>
  </si>
  <si>
    <t>After the given number of seconds, the hunter fires a shot at the given target cell.</t>
  </si>
  <si>
    <r>
      <t xml:space="preserve">How close does the hunter get to shooting the duck? </t>
    </r>
    <r>
      <rPr>
        <sz val="12"/>
        <rFont val="Roboto"/>
      </rPr>
      <t>Use the maximum</t>
    </r>
    <r>
      <rPr>
        <b/>
        <sz val="12"/>
        <rFont val="Roboto"/>
      </rPr>
      <t xml:space="preserve"> </t>
    </r>
    <r>
      <rPr>
        <sz val="12"/>
        <rFont val="Roboto"/>
      </rPr>
      <t>number of rows or columns that the hunter missed by.</t>
    </r>
  </si>
  <si>
    <r>
      <t>Example4 -</t>
    </r>
    <r>
      <rPr>
        <sz val="12"/>
        <rFont val="Roboto"/>
      </rPr>
      <t xml:space="preserve"> The duck begins in Cell V8.</t>
    </r>
  </si>
  <si>
    <t xml:space="preserve"> - The duck enters the scene. Because the duck started in Column V, it is traveling to the left.</t>
  </si>
  <si>
    <t xml:space="preserve"> - The duck travels 3 cells (across 3 columns) in 3 seconds.</t>
  </si>
  <si>
    <t xml:space="preserve"> - The duck is at cell S8 (Column V - 3 Columns) after 3 seconds.</t>
  </si>
  <si>
    <t xml:space="preserve"> - The hunter shoots cell R2, which has a distance of 1 Column (R -&gt; S) and 6 Rows (2 -&gt; 8) from the duck in cell S8.</t>
  </si>
  <si>
    <t xml:space="preserve"> - The maximum of the Row Distance and Column Difference is 6.</t>
  </si>
  <si>
    <t>Hints</t>
  </si>
  <si>
    <t xml:space="preserve"> - #61: The distance is between 2 and 5.</t>
  </si>
  <si>
    <t xml:space="preserve"> - #62: The distance is between 5 and 8.</t>
  </si>
  <si>
    <t xml:space="preserve"> - #63: The distance is between 14 and 18.</t>
  </si>
  <si>
    <t>Hunter Target</t>
  </si>
  <si>
    <t>Example4</t>
  </si>
  <si>
    <t>R2</t>
  </si>
  <si>
    <t>C23</t>
  </si>
  <si>
    <t>N19</t>
  </si>
  <si>
    <t>V4</t>
  </si>
  <si>
    <t>B2</t>
  </si>
  <si>
    <t>U22</t>
  </si>
  <si>
    <t>L20</t>
  </si>
  <si>
    <t>U19</t>
  </si>
  <si>
    <t>P7</t>
  </si>
  <si>
    <t>P22</t>
  </si>
  <si>
    <t>V11</t>
  </si>
  <si>
    <t>M9</t>
  </si>
  <si>
    <t>S10</t>
  </si>
  <si>
    <t>O24</t>
  </si>
  <si>
    <t>B14</t>
  </si>
  <si>
    <t>K17</t>
  </si>
  <si>
    <t>S15</t>
  </si>
  <si>
    <t>J9</t>
  </si>
  <si>
    <t>I4</t>
  </si>
  <si>
    <t>Q11</t>
  </si>
  <si>
    <t>O23</t>
  </si>
  <si>
    <t>V20</t>
  </si>
  <si>
    <t>S12</t>
  </si>
  <si>
    <t>Level 5</t>
  </si>
  <si>
    <t>Medium Hard</t>
  </si>
  <si>
    <t>A Sky of Ducks</t>
  </si>
  <si>
    <r>
      <rPr>
        <sz val="12"/>
        <rFont val="Roboto"/>
      </rPr>
      <t>Five ducks fly in at the same time</t>
    </r>
    <r>
      <rPr>
        <b/>
        <sz val="12"/>
        <rFont val="Roboto"/>
      </rPr>
      <t xml:space="preserve">. How close does the hunter get to shooting the </t>
    </r>
    <r>
      <rPr>
        <b/>
        <u/>
        <sz val="12"/>
        <rFont val="Roboto"/>
      </rPr>
      <t>closest</t>
    </r>
    <r>
      <rPr>
        <b/>
        <sz val="12"/>
        <rFont val="Roboto"/>
      </rPr>
      <t xml:space="preserve"> duck? </t>
    </r>
  </si>
  <si>
    <t>Use the maximum number of rows or columns that the hunter missed by.</t>
  </si>
  <si>
    <t>Ducks are flying in both directions as in Level 3 and the hunter shoots as in Level 4.</t>
  </si>
  <si>
    <r>
      <t xml:space="preserve">Example5 - </t>
    </r>
    <r>
      <rPr>
        <sz val="12"/>
        <rFont val="Roboto"/>
      </rPr>
      <t>Five ducks fly in simultaneously.</t>
    </r>
  </si>
  <si>
    <t xml:space="preserve"> - 16 seconds later, the hunter shoots cell G21.</t>
  </si>
  <si>
    <t xml:space="preserve"> - At that time, the closest bird to cell G21 is Duck #2, which is in cell F24.</t>
  </si>
  <si>
    <t xml:space="preserve"> - Duck #2's distance from the target cell of G21 is 1 Column (G -&gt; F) and 3 Rows (21 -&gt; 24).</t>
  </si>
  <si>
    <t xml:space="preserve"> - The maximum of the Row Distance and Column Difference is 3.</t>
  </si>
  <si>
    <t xml:space="preserve"> - #81: The distance is between 2 and 5.</t>
  </si>
  <si>
    <t xml:space="preserve"> - #82: The distance is between 8 and 12</t>
  </si>
  <si>
    <t xml:space="preserve"> - #83: The distance is between 10 and 15.</t>
  </si>
  <si>
    <t>Duck #1</t>
  </si>
  <si>
    <t>Duck #2</t>
  </si>
  <si>
    <t>Duck #3</t>
  </si>
  <si>
    <t>Duck #4</t>
  </si>
  <si>
    <t>Duck #5</t>
  </si>
  <si>
    <t>Example5</t>
  </si>
  <si>
    <t>G21</t>
  </si>
  <si>
    <t>A15</t>
  </si>
  <si>
    <t>V23</t>
  </si>
  <si>
    <t>B17</t>
  </si>
  <si>
    <t>V14</t>
  </si>
  <si>
    <t>R25</t>
  </si>
  <si>
    <t>L10</t>
  </si>
  <si>
    <t>V19</t>
  </si>
  <si>
    <t>G11</t>
  </si>
  <si>
    <t>V15</t>
  </si>
  <si>
    <t>G7</t>
  </si>
  <si>
    <t>M12</t>
  </si>
  <si>
    <t>N7</t>
  </si>
  <si>
    <t>A24</t>
  </si>
  <si>
    <t>V7</t>
  </si>
  <si>
    <t>A23</t>
  </si>
  <si>
    <t>P13</t>
  </si>
  <si>
    <t>U13</t>
  </si>
  <si>
    <t>C21</t>
  </si>
  <si>
    <t>P19</t>
  </si>
  <si>
    <t>N18</t>
  </si>
  <si>
    <t>I22</t>
  </si>
  <si>
    <t>R6</t>
  </si>
  <si>
    <t>A18</t>
  </si>
  <si>
    <t>M25</t>
  </si>
  <si>
    <t>G12</t>
  </si>
  <si>
    <t>R21</t>
  </si>
  <si>
    <t>Level 6</t>
  </si>
  <si>
    <t>Hard</t>
  </si>
  <si>
    <t>The Duck Parade</t>
  </si>
  <si>
    <t xml:space="preserve">Twenty ducks fly into the scene. They enter one at a time with each duck flying into the scene one second after the previous duck. </t>
  </si>
  <si>
    <t>After 20 seconds, all the ducks will be in the scene. At 21 seconds, some ducks will begin to exit the scene and will no longer be valid targets.</t>
  </si>
  <si>
    <t xml:space="preserve">How close does the hunter get to shooting the closest duck? </t>
  </si>
  <si>
    <r>
      <rPr>
        <sz val="12"/>
        <rFont val="Roboto"/>
      </rPr>
      <t>Only include ducks still in the scene</t>
    </r>
    <r>
      <rPr>
        <b/>
        <sz val="12"/>
        <rFont val="Roboto"/>
      </rPr>
      <t xml:space="preserve">. </t>
    </r>
    <r>
      <rPr>
        <sz val="12"/>
        <rFont val="Roboto"/>
      </rPr>
      <t>If a duck exits the scene, they are no longer a valid target.</t>
    </r>
  </si>
  <si>
    <r>
      <t xml:space="preserve">Note: there is always only </t>
    </r>
    <r>
      <rPr>
        <u/>
        <sz val="12"/>
        <rFont val="Roboto"/>
      </rPr>
      <t>one</t>
    </r>
    <r>
      <rPr>
        <sz val="12"/>
        <rFont val="Roboto"/>
      </rPr>
      <t xml:space="preserve"> closest duck.</t>
    </r>
  </si>
  <si>
    <r>
      <t xml:space="preserve">Example6 - </t>
    </r>
    <r>
      <rPr>
        <sz val="12"/>
        <rFont val="Roboto"/>
      </rPr>
      <t>Twenty ducks fly in one second after the previous.</t>
    </r>
  </si>
  <si>
    <t xml:space="preserve"> - 22 seconds later, the hunter shoots cell N11.</t>
  </si>
  <si>
    <t xml:space="preserve"> - By that time, all ducks had entered the scene; 2 ducks had already left the scene and are no longer valid targets.</t>
  </si>
  <si>
    <t xml:space="preserve"> - At that time, the closest bird to cell N11 is Duck #14, which is in cell M10.</t>
  </si>
  <si>
    <t xml:space="preserve"> - #101: The duck will be within the range F5:I6.</t>
  </si>
  <si>
    <t xml:space="preserve"> - #102: The duck will be within the range R6:U11.</t>
  </si>
  <si>
    <t xml:space="preserve"> - #103:  The duck will be within the range F4:H9.</t>
  </si>
  <si>
    <t>Duck #6</t>
  </si>
  <si>
    <t>Duck #7</t>
  </si>
  <si>
    <t>Duck #8</t>
  </si>
  <si>
    <t>Duck #9</t>
  </si>
  <si>
    <t>Duck #10</t>
  </si>
  <si>
    <t>Duck #11</t>
  </si>
  <si>
    <t>Duck #12</t>
  </si>
  <si>
    <t>Duck #13</t>
  </si>
  <si>
    <t>Duck #14</t>
  </si>
  <si>
    <t>Duck #15</t>
  </si>
  <si>
    <t>Duck #16</t>
  </si>
  <si>
    <t>Duck #17</t>
  </si>
  <si>
    <t>Duck #18</t>
  </si>
  <si>
    <t>Duck #19</t>
  </si>
  <si>
    <t>Duck #20</t>
  </si>
  <si>
    <t>Example6</t>
  </si>
  <si>
    <t>M10</t>
  </si>
  <si>
    <t>N11</t>
  </si>
  <si>
    <t>G9</t>
  </si>
  <si>
    <t>U15</t>
  </si>
  <si>
    <t>H3</t>
  </si>
  <si>
    <t>L12</t>
  </si>
  <si>
    <t>H17</t>
  </si>
  <si>
    <t>G25</t>
  </si>
  <si>
    <t>P2</t>
  </si>
  <si>
    <t>S21</t>
  </si>
  <si>
    <t>D24</t>
  </si>
  <si>
    <t>K14</t>
  </si>
  <si>
    <t>M13</t>
  </si>
  <si>
    <t>E7</t>
  </si>
  <si>
    <t>D10</t>
  </si>
  <si>
    <t>F11</t>
  </si>
  <si>
    <t>U2</t>
  </si>
  <si>
    <t>T8</t>
  </si>
  <si>
    <t>S8</t>
  </si>
  <si>
    <t>J8</t>
  </si>
  <si>
    <t>K25</t>
  </si>
  <si>
    <t>Level 7</t>
  </si>
  <si>
    <t>Very Hard</t>
  </si>
  <si>
    <t>Scatter!</t>
  </si>
  <si>
    <t>Use the rules of Level 6, but now, when the hunter shoots the first shot, all ducks currently in the scene will fly to the nearest exit (left or right), moving 2 cells per second.</t>
  </si>
  <si>
    <t>When the hunter shoots the 2nd shot, in which cell is the closest duck?</t>
  </si>
  <si>
    <r>
      <t xml:space="preserve">Example7 - </t>
    </r>
    <r>
      <rPr>
        <sz val="12"/>
        <rFont val="Roboto"/>
      </rPr>
      <t>Twenty ducks fly in one second after the previous.</t>
    </r>
  </si>
  <si>
    <t xml:space="preserve"> - 30 seconds later, the hunter shoots cell T15.</t>
  </si>
  <si>
    <t xml:space="preserve"> - 1 second later (31 - 30), the hunter shoots again, targetting cell C3.</t>
  </si>
  <si>
    <t xml:space="preserve"> - At that time, the closest bird to cell C3 is Duck #18, which is in cell G6.</t>
  </si>
  <si>
    <t xml:space="preserve"> - Duck #18 traveled 13 (Entering the Scene at Second 18 and traveling until Second 30) cells initially, and was in Cell I6 when the hunter first shot.</t>
  </si>
  <si>
    <t xml:space="preserve"> - Duck #18 then sped up, traveling 2 cells per second for the 1 second between the shots. Since Duck #18 was closest to the left side of the Scene, Duck #18 traveled to the left.</t>
  </si>
  <si>
    <r>
      <t xml:space="preserve"> - Duck #18 traveled a total of (a) 13 cells to the left initally and (b) 2 cells to the left between shots, for a net of 15</t>
    </r>
    <r>
      <rPr>
        <b/>
        <sz val="12"/>
        <color theme="1"/>
        <rFont val="Roboto"/>
      </rPr>
      <t xml:space="preserve"> </t>
    </r>
    <r>
      <rPr>
        <sz val="12"/>
        <color theme="1"/>
        <rFont val="Roboto"/>
      </rPr>
      <t>cells to finish in Cell G6.</t>
    </r>
  </si>
  <si>
    <t xml:space="preserve"> - #121: The duck will be within the range E10:F20.</t>
  </si>
  <si>
    <t xml:space="preserve"> - #122: The duck will be within the range B12:H14.</t>
  </si>
  <si>
    <t xml:space="preserve"> - #123:  The duck will be within the range D11:F12.</t>
  </si>
  <si>
    <t>Seconds #1</t>
  </si>
  <si>
    <t>Hunter Target #1</t>
  </si>
  <si>
    <t>Seconds #2</t>
  </si>
  <si>
    <t>Hunter Target #2</t>
  </si>
  <si>
    <t>Example7</t>
  </si>
  <si>
    <t>G6</t>
  </si>
  <si>
    <t>T15</t>
  </si>
  <si>
    <t>C3</t>
  </si>
  <si>
    <t>B5</t>
  </si>
  <si>
    <t>D12</t>
  </si>
  <si>
    <t>B10</t>
  </si>
  <si>
    <t>I12</t>
  </si>
  <si>
    <t>L8</t>
  </si>
  <si>
    <t>R11</t>
  </si>
  <si>
    <t>U10</t>
  </si>
  <si>
    <t>R7</t>
  </si>
  <si>
    <t>U20</t>
  </si>
  <si>
    <t>T22</t>
  </si>
  <si>
    <t>Q2</t>
  </si>
  <si>
    <t>P25</t>
  </si>
  <si>
    <t>P6</t>
  </si>
  <si>
    <t>U25</t>
  </si>
  <si>
    <t>U12</t>
  </si>
  <si>
    <t>R23</t>
  </si>
  <si>
    <t>S20</t>
  </si>
  <si>
    <t>E2</t>
  </si>
  <si>
    <t>C12</t>
  </si>
  <si>
    <t>D21</t>
  </si>
  <si>
    <t>H18</t>
  </si>
  <si>
    <t>F15</t>
  </si>
  <si>
    <t>Q18</t>
  </si>
  <si>
    <t>E14</t>
  </si>
  <si>
    <t>F14</t>
  </si>
  <si>
    <t>T9</t>
  </si>
  <si>
    <t>C25</t>
  </si>
  <si>
    <t>F25</t>
  </si>
  <si>
    <t>N2</t>
  </si>
  <si>
    <t>D7</t>
  </si>
  <si>
    <t>U7</t>
  </si>
  <si>
    <t>N16</t>
  </si>
  <si>
    <t>→</t>
  </si>
  <si>
    <t>←</t>
  </si>
  <si>
    <t>Cloud</t>
  </si>
  <si>
    <t>Sky</t>
  </si>
  <si>
    <t>Tree</t>
  </si>
  <si>
    <t>Trunk</t>
  </si>
  <si>
    <t>Grass</t>
  </si>
  <si>
    <t>Your Answers</t>
  </si>
  <si>
    <t>Case Information</t>
  </si>
  <si>
    <t>MECC Jobs</t>
  </si>
  <si>
    <t>MECC sponsors such as Siemens, New York Life, Alvarez &amp; Marsal, and BDO have all hired MECC participants. Will you be next?</t>
  </si>
  <si>
    <t>About ASUS</t>
  </si>
  <si>
    <t>Earn MECC Badges</t>
  </si>
  <si>
    <t>ASUS is a global tech leader known for pushing boundaries with innovative devices, powerful performance, and world-class engineering. The Republic of Gamers (ROG) sub-brand makes the best hardware for PC gaming, eSports, and overclocking, delivering top performance and premium experience.</t>
  </si>
  <si>
    <t>Completing MECC challenges can earn you a certificate to add to your résumé, showcasing your Excel knowledge. Learn more about the certificates available to earn this season.</t>
  </si>
  <si>
    <t>This case originally appeared as a part of the MECC Regionals in April 2025. The objective of this case is to model and analyze duck movement across a scene to measure the impact of hunting activity.</t>
  </si>
  <si>
    <t>Visual Challenge - Varsity Edition</t>
  </si>
  <si>
    <t>Microsoft Excel Collegiate Challenge</t>
  </si>
  <si>
    <t>S25</t>
  </si>
  <si>
    <t>I21</t>
  </si>
  <si>
    <t>Row</t>
  </si>
  <si>
    <t>RowShot</t>
  </si>
  <si>
    <t>Column</t>
  </si>
  <si>
    <t>ColumnShot</t>
  </si>
  <si>
    <t>Diff</t>
  </si>
  <si>
    <t>D26</t>
  </si>
  <si>
    <t>K13</t>
  </si>
  <si>
    <t>Q4</t>
  </si>
  <si>
    <t>T26</t>
  </si>
  <si>
    <t>J26</t>
  </si>
  <si>
    <t>S22</t>
  </si>
  <si>
    <t>T11</t>
  </si>
  <si>
    <t>S18</t>
  </si>
  <si>
    <t>N24</t>
  </si>
  <si>
    <t>E22</t>
  </si>
  <si>
    <t>Q8</t>
  </si>
  <si>
    <t>I17</t>
  </si>
  <si>
    <t>M17</t>
  </si>
  <si>
    <t>H26</t>
  </si>
  <si>
    <t>R20</t>
  </si>
  <si>
    <t>W którym miejscu będzie kaczka po n sekundach?</t>
  </si>
  <si>
    <t>MIN</t>
  </si>
  <si>
    <t>MAX</t>
  </si>
  <si>
    <t>Count</t>
  </si>
  <si>
    <t>Position</t>
  </si>
  <si>
    <t>Value</t>
  </si>
  <si>
    <t>Col</t>
  </si>
  <si>
    <t>Closest</t>
  </si>
  <si>
    <t>W którym miejscu będzie kaczka po n  pierwszych sekundach?</t>
  </si>
  <si>
    <t>W którym miejscu będzie kaczka po n  drugich sekundach?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</si>
</sst>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_);[Red]\(&quot;$&quot;#,##0.00\)"/>
  </numFmts>
  <fonts count="43">
    <font>
      <sz val="11"/>
      <color theme="1"/>
      <name val="Aptos Narrow"/>
      <family val="2"/>
      <scheme val="minor"/>
    </font>
    <font>
      <sz val="11"/>
      <color theme="1"/>
      <name val="Aptos Narrow"/>
      <family val="2"/>
      <scheme val="minor"/>
    </font>
    <font>
      <sz val="11"/>
      <color theme="1"/>
      <name val="Roboto"/>
    </font>
    <font>
      <sz val="11"/>
      <name val="Roboto"/>
    </font>
    <font>
      <b/>
      <sz val="11"/>
      <color theme="1"/>
      <name val="Roboto"/>
    </font>
    <font>
      <b/>
      <sz val="11"/>
      <name val="Roboto"/>
    </font>
    <font>
      <sz val="12"/>
      <color theme="7" tint="-0.499984740745262"/>
      <name val="Roboto"/>
    </font>
    <font>
      <b/>
      <sz val="12"/>
      <color theme="7" tint="-0.499984740745262"/>
      <name val="Roboto"/>
    </font>
    <font>
      <b/>
      <sz val="18"/>
      <color theme="0"/>
      <name val="Roboto"/>
    </font>
    <font>
      <b/>
      <sz val="14"/>
      <color theme="0"/>
      <name val="Roboto"/>
    </font>
    <font>
      <i/>
      <sz val="10"/>
      <color theme="1"/>
      <name val="Roboto"/>
    </font>
    <font>
      <b/>
      <sz val="12"/>
      <color theme="1"/>
      <name val="Roboto"/>
    </font>
    <font>
      <i/>
      <sz val="14"/>
      <color theme="1"/>
      <name val="Roboto"/>
    </font>
    <font>
      <sz val="20"/>
      <color theme="1"/>
      <name val="Aptos"/>
      <family val="2"/>
    </font>
    <font>
      <b/>
      <sz val="26"/>
      <color theme="0"/>
      <name val="Futura"/>
      <family val="2"/>
    </font>
    <font>
      <b/>
      <sz val="24"/>
      <color theme="0"/>
      <name val="Futura"/>
      <family val="2"/>
    </font>
    <font>
      <b/>
      <sz val="12"/>
      <color theme="1"/>
      <name val="Robotech"/>
    </font>
    <font>
      <b/>
      <sz val="18"/>
      <color theme="0"/>
      <name val="Futura"/>
      <family val="2"/>
    </font>
    <font>
      <sz val="12"/>
      <color theme="1"/>
      <name val="Aptos"/>
      <family val="2"/>
    </font>
    <font>
      <sz val="18"/>
      <color theme="1"/>
      <name val="Roboto"/>
    </font>
    <font>
      <u/>
      <sz val="20"/>
      <color theme="10"/>
      <name val="Aptos"/>
      <family val="2"/>
    </font>
    <font>
      <b/>
      <sz val="12"/>
      <name val="Aptos"/>
      <family val="2"/>
    </font>
    <font>
      <b/>
      <sz val="12"/>
      <color theme="0"/>
      <name val="Roboto"/>
    </font>
    <font>
      <sz val="12"/>
      <color theme="1"/>
      <name val="Roboto"/>
    </font>
    <font>
      <b/>
      <sz val="12"/>
      <name val="Roboto"/>
    </font>
    <font>
      <sz val="12"/>
      <name val="Roboto"/>
    </font>
    <font>
      <b/>
      <u/>
      <sz val="12"/>
      <color theme="1"/>
      <name val="Roboto"/>
    </font>
    <font>
      <b/>
      <u/>
      <sz val="12"/>
      <name val="Roboto"/>
    </font>
    <font>
      <u/>
      <sz val="12"/>
      <name val="Roboto"/>
    </font>
    <font>
      <b/>
      <sz val="14"/>
      <color theme="1"/>
      <name val="Roboto"/>
    </font>
    <font>
      <sz val="12"/>
      <color theme="0" tint="-0.499984740745262"/>
      <name val="Roboto"/>
    </font>
    <font>
      <b/>
      <sz val="16"/>
      <color theme="1"/>
      <name val="Roboto"/>
    </font>
    <font>
      <b/>
      <sz val="11"/>
      <color theme="0"/>
      <name val="Roboto"/>
    </font>
    <font>
      <sz val="11"/>
      <color theme="7" tint="-0.499984740745262"/>
      <name val="Roboto"/>
    </font>
    <font>
      <b/>
      <sz val="24"/>
      <color theme="0"/>
      <name val="Futura"/>
      <family val="2"/>
    </font>
    <font>
      <sz val="12"/>
      <color theme="1"/>
      <name val="Aptos Narrow"/>
      <family val="2"/>
      <scheme val="minor"/>
    </font>
    <font>
      <b/>
      <sz val="20"/>
      <color theme="0"/>
      <name val="Futura"/>
      <family val="2"/>
    </font>
    <font>
      <b/>
      <sz val="18"/>
      <color theme="0"/>
      <name val="Futura"/>
      <family val="2"/>
    </font>
    <font>
      <sz val="16"/>
      <name val="Roboto"/>
    </font>
    <font>
      <sz val="20"/>
      <color theme="1"/>
      <name val="Aptos Narrow"/>
      <family val="2"/>
      <scheme val="minor"/>
    </font>
    <font>
      <b/>
      <sz val="16"/>
      <color theme="0"/>
      <name val="Roboto"/>
    </font>
    <font>
      <i/>
      <sz val="11"/>
      <name val="Roboto"/>
    </font>
    <font>
      <sz val="12"/>
      <color rgb="FFFFFFFF"/>
      <name val="Arial"/>
      <family val="2"/>
      <charset val="238"/>
    </font>
  </fonts>
  <fills count="21">
    <fill>
      <patternFill patternType="none"/>
    </fill>
    <fill>
      <patternFill patternType="gray125"/>
    </fill>
    <fill>
      <patternFill patternType="solid">
        <fgColor theme="3" tint="0.89999084444715716"/>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6F5755"/>
        <bgColor indexed="64"/>
      </patternFill>
    </fill>
    <fill>
      <patternFill patternType="solid">
        <fgColor theme="6"/>
        <bgColor indexed="64"/>
      </patternFill>
    </fill>
    <fill>
      <patternFill patternType="solid">
        <fgColor theme="0"/>
        <bgColor indexed="64"/>
      </patternFill>
    </fill>
    <fill>
      <patternFill patternType="solid">
        <fgColor rgb="FF006837"/>
        <bgColor indexed="64"/>
      </patternFill>
    </fill>
    <fill>
      <patternFill patternType="solid">
        <fgColor theme="9" tint="0.599963377788628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6C6CD"/>
        <bgColor indexed="64"/>
      </patternFill>
    </fill>
    <fill>
      <patternFill patternType="solid">
        <fgColor rgb="FF001838"/>
        <bgColor indexed="64"/>
      </patternFill>
    </fill>
    <fill>
      <patternFill patternType="solid">
        <fgColor rgb="FFED203F"/>
        <bgColor indexed="64"/>
      </patternFill>
    </fill>
    <fill>
      <patternFill patternType="solid">
        <fgColor rgb="FFBC1F36"/>
        <bgColor indexed="64"/>
      </patternFill>
    </fill>
    <fill>
      <patternFill patternType="solid">
        <fgColor rgb="FFF2F2F2"/>
        <bgColor indexed="64"/>
      </patternFill>
    </fill>
    <fill>
      <patternFill patternType="solid">
        <fgColor rgb="FFD47771"/>
        <bgColor indexed="64"/>
      </patternFill>
    </fill>
    <fill>
      <patternFill patternType="solid">
        <fgColor rgb="FFED203F"/>
        <bgColor auto="1"/>
      </patternFill>
    </fill>
    <fill>
      <patternFill patternType="solid">
        <fgColor rgb="FF9E1B32"/>
        <bgColor indexed="64"/>
      </patternFill>
    </fill>
  </fills>
  <borders count="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rgb="FF6F5755"/>
      </top>
      <bottom style="thin">
        <color indexed="64"/>
      </bottom>
      <diagonal/>
    </border>
    <border>
      <left/>
      <right/>
      <top style="thin">
        <color rgb="FF6F5755"/>
      </top>
      <bottom style="thin">
        <color indexed="64"/>
      </bottom>
      <diagonal/>
    </border>
    <border>
      <left/>
      <right style="thin">
        <color indexed="64"/>
      </right>
      <top style="thin">
        <color rgb="FF6F5755"/>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rgb="FF6F5755"/>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style="thin">
        <color theme="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0" fillId="0" borderId="0"/>
    <xf numFmtId="0" fontId="1" fillId="0" borderId="0"/>
    <xf numFmtId="0" fontId="13" fillId="0" borderId="0"/>
    <xf numFmtId="0" fontId="20" fillId="0" borderId="0" applyNumberFormat="0" applyFill="0" applyBorder="0" applyAlignment="0" applyProtection="0"/>
    <xf numFmtId="0" fontId="1" fillId="0" borderId="0"/>
    <xf numFmtId="0" fontId="1" fillId="0" borderId="0"/>
    <xf numFmtId="0" fontId="1" fillId="0" borderId="0"/>
    <xf numFmtId="0" fontId="35" fillId="0" borderId="0"/>
    <xf numFmtId="0" fontId="39" fillId="0" borderId="0"/>
  </cellStyleXfs>
  <cellXfs count="163">
    <xf numFmtId="0" fontId="0" fillId="0" borderId="0" xfId="0"/>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4" borderId="0" xfId="0" applyFill="1"/>
    <xf numFmtId="0" fontId="0" fillId="2" borderId="0" xfId="0" applyFill="1" applyAlignment="1">
      <alignment horizontal="right"/>
    </xf>
    <xf numFmtId="0" fontId="0" fillId="3" borderId="9" xfId="0" applyFill="1" applyBorder="1"/>
    <xf numFmtId="0" fontId="0" fillId="3" borderId="10" xfId="0" applyFill="1" applyBorder="1"/>
    <xf numFmtId="0" fontId="0" fillId="3" borderId="11" xfId="0" applyFill="1" applyBorder="1"/>
    <xf numFmtId="0" fontId="0" fillId="2" borderId="1" xfId="0" applyFill="1" applyBorder="1"/>
    <xf numFmtId="0" fontId="0" fillId="6" borderId="0" xfId="0" applyFill="1"/>
    <xf numFmtId="0" fontId="0" fillId="6" borderId="1" xfId="0" applyFill="1" applyBorder="1"/>
    <xf numFmtId="0" fontId="0" fillId="6" borderId="12" xfId="0" applyFill="1" applyBorder="1"/>
    <xf numFmtId="0" fontId="0" fillId="6" borderId="5" xfId="0" applyFill="1" applyBorder="1"/>
    <xf numFmtId="0" fontId="0" fillId="5" borderId="13" xfId="0" applyFill="1" applyBorder="1"/>
    <xf numFmtId="0" fontId="0" fillId="5" borderId="14" xfId="0" applyFill="1" applyBorder="1"/>
    <xf numFmtId="0" fontId="0" fillId="6" borderId="4" xfId="0" applyFill="1" applyBorder="1"/>
    <xf numFmtId="0" fontId="0" fillId="6" borderId="3" xfId="0" applyFill="1" applyBorder="1"/>
    <xf numFmtId="0" fontId="0" fillId="6" borderId="8" xfId="0" applyFill="1" applyBorder="1"/>
    <xf numFmtId="0" fontId="0" fillId="6" borderId="7" xfId="0" applyFill="1" applyBorder="1"/>
    <xf numFmtId="0" fontId="0" fillId="6" borderId="6" xfId="0" applyFill="1" applyBorder="1"/>
    <xf numFmtId="0" fontId="2" fillId="7" borderId="0" xfId="1" applyFont="1" applyFill="1"/>
    <xf numFmtId="0" fontId="3" fillId="7" borderId="0" xfId="1" applyFont="1" applyFill="1"/>
    <xf numFmtId="0" fontId="2" fillId="7" borderId="0" xfId="1" applyFont="1" applyFill="1" applyAlignment="1">
      <alignment horizontal="center"/>
    </xf>
    <xf numFmtId="0" fontId="2" fillId="7" borderId="0" xfId="1" applyFont="1" applyFill="1" applyAlignment="1">
      <alignment horizontal="left"/>
    </xf>
    <xf numFmtId="0" fontId="5" fillId="7" borderId="0" xfId="1" applyFont="1" applyFill="1" applyAlignment="1">
      <alignment horizontal="left"/>
    </xf>
    <xf numFmtId="0" fontId="4" fillId="7" borderId="0" xfId="1" applyFont="1" applyFill="1" applyAlignment="1">
      <alignment horizontal="left"/>
    </xf>
    <xf numFmtId="0" fontId="6" fillId="7" borderId="19" xfId="1" applyFont="1" applyFill="1" applyBorder="1" applyAlignment="1">
      <alignment horizontal="center" vertical="center" wrapText="1"/>
    </xf>
    <xf numFmtId="0" fontId="7" fillId="7" borderId="19" xfId="1" applyFont="1" applyFill="1" applyBorder="1" applyAlignment="1">
      <alignment horizontal="center" vertical="center"/>
    </xf>
    <xf numFmtId="164" fontId="8" fillId="8" borderId="20" xfId="1" applyNumberFormat="1" applyFont="1" applyFill="1" applyBorder="1" applyAlignment="1">
      <alignment horizontal="center" vertical="center"/>
    </xf>
    <xf numFmtId="0" fontId="6" fillId="0" borderId="19" xfId="1" applyFont="1" applyBorder="1" applyAlignment="1">
      <alignment horizontal="center" vertical="center" wrapText="1"/>
    </xf>
    <xf numFmtId="3" fontId="6" fillId="0" borderId="19" xfId="1" applyNumberFormat="1" applyFont="1" applyBorder="1" applyAlignment="1">
      <alignment horizontal="center" vertical="center"/>
    </xf>
    <xf numFmtId="1" fontId="8" fillId="8" borderId="20" xfId="1" applyNumberFormat="1" applyFont="1" applyFill="1" applyBorder="1" applyAlignment="1">
      <alignment horizontal="center" vertical="center"/>
    </xf>
    <xf numFmtId="0" fontId="5" fillId="0" borderId="0" xfId="1" applyFont="1" applyAlignment="1">
      <alignment horizontal="left"/>
    </xf>
    <xf numFmtId="0" fontId="12" fillId="9" borderId="16" xfId="0" applyFont="1" applyFill="1" applyBorder="1" applyAlignment="1">
      <alignment horizontal="center" vertical="center"/>
    </xf>
    <xf numFmtId="0" fontId="10" fillId="11" borderId="16" xfId="0" applyFont="1" applyFill="1" applyBorder="1" applyAlignment="1">
      <alignment horizontal="center" vertical="center"/>
    </xf>
    <xf numFmtId="0" fontId="12" fillId="10" borderId="16" xfId="0" applyFont="1" applyFill="1" applyBorder="1" applyAlignment="1">
      <alignment horizontal="center" vertical="center"/>
    </xf>
    <xf numFmtId="0" fontId="10" fillId="12" borderId="16" xfId="0" applyFont="1" applyFill="1" applyBorder="1" applyAlignment="1">
      <alignment horizontal="center" vertical="center"/>
    </xf>
    <xf numFmtId="0" fontId="12" fillId="13" borderId="16" xfId="0" applyFont="1" applyFill="1" applyBorder="1" applyAlignment="1">
      <alignment horizontal="center" vertical="center"/>
    </xf>
    <xf numFmtId="0" fontId="14" fillId="14" borderId="21" xfId="2" applyFont="1" applyFill="1" applyBorder="1" applyAlignment="1">
      <alignment horizontal="centerContinuous" vertical="center"/>
    </xf>
    <xf numFmtId="0" fontId="15" fillId="15" borderId="0" xfId="2" applyFont="1" applyFill="1" applyAlignment="1">
      <alignment horizontal="centerContinuous" vertical="center" wrapText="1"/>
    </xf>
    <xf numFmtId="0" fontId="17" fillId="16" borderId="21" xfId="2" applyFont="1" applyFill="1" applyBorder="1" applyAlignment="1">
      <alignment horizontal="centerContinuous" vertical="center"/>
    </xf>
    <xf numFmtId="0" fontId="18" fillId="7" borderId="0" xfId="2" applyFont="1" applyFill="1"/>
    <xf numFmtId="0" fontId="16" fillId="7" borderId="0" xfId="2" applyFont="1" applyFill="1" applyAlignment="1">
      <alignment wrapText="1"/>
    </xf>
    <xf numFmtId="0" fontId="21" fillId="7" borderId="0" xfId="3" applyFont="1" applyFill="1" applyBorder="1" applyAlignment="1">
      <alignment vertical="top"/>
    </xf>
    <xf numFmtId="3" fontId="18" fillId="7" borderId="0" xfId="2" applyNumberFormat="1" applyFont="1" applyFill="1"/>
    <xf numFmtId="0" fontId="17" fillId="16" borderId="12" xfId="2" applyFont="1" applyFill="1" applyBorder="1" applyAlignment="1">
      <alignment horizontal="centerContinuous" vertical="center"/>
    </xf>
    <xf numFmtId="0" fontId="17" fillId="14" borderId="21" xfId="2" applyFont="1" applyFill="1" applyBorder="1" applyAlignment="1">
      <alignment horizontal="centerContinuous" vertical="center"/>
    </xf>
    <xf numFmtId="0" fontId="22" fillId="16" borderId="16" xfId="2" applyFont="1" applyFill="1" applyBorder="1" applyAlignment="1">
      <alignment horizontal="center" vertical="center"/>
    </xf>
    <xf numFmtId="0" fontId="22" fillId="16" borderId="16" xfId="2" applyFont="1" applyFill="1" applyBorder="1" applyAlignment="1">
      <alignment horizontal="center" vertical="center" wrapText="1"/>
    </xf>
    <xf numFmtId="0" fontId="23" fillId="7" borderId="0" xfId="2" applyFont="1" applyFill="1" applyAlignment="1">
      <alignment horizontal="center" vertical="center"/>
    </xf>
    <xf numFmtId="0" fontId="22" fillId="16" borderId="16" xfId="2" applyFont="1" applyFill="1" applyBorder="1" applyAlignment="1">
      <alignment horizontal="centerContinuous" vertical="center"/>
    </xf>
    <xf numFmtId="0" fontId="19" fillId="0" borderId="21" xfId="2" applyFont="1" applyBorder="1" applyAlignment="1">
      <alignment horizontal="centerContinuous" vertical="center"/>
    </xf>
    <xf numFmtId="0" fontId="19" fillId="7" borderId="21" xfId="2" applyFont="1" applyFill="1" applyBorder="1" applyAlignment="1">
      <alignment horizontal="centerContinuous" vertical="center"/>
    </xf>
    <xf numFmtId="0" fontId="2" fillId="7" borderId="7" xfId="1" applyFont="1" applyFill="1" applyBorder="1" applyAlignment="1">
      <alignment horizontal="left"/>
    </xf>
    <xf numFmtId="0" fontId="2" fillId="7" borderId="7" xfId="1" applyFont="1" applyFill="1" applyBorder="1" applyAlignment="1">
      <alignment horizontal="center"/>
    </xf>
    <xf numFmtId="0" fontId="2" fillId="7" borderId="2" xfId="1" applyFont="1" applyFill="1" applyBorder="1" applyAlignment="1">
      <alignment horizontal="left"/>
    </xf>
    <xf numFmtId="0" fontId="2" fillId="7" borderId="2" xfId="1" applyFont="1" applyFill="1" applyBorder="1" applyAlignment="1">
      <alignment horizontal="center"/>
    </xf>
    <xf numFmtId="0" fontId="3" fillId="7" borderId="2" xfId="1" applyFont="1" applyFill="1" applyBorder="1"/>
    <xf numFmtId="0" fontId="25" fillId="7" borderId="6" xfId="1" applyFont="1" applyFill="1" applyBorder="1" applyAlignment="1">
      <alignment horizontal="left"/>
    </xf>
    <xf numFmtId="0" fontId="25" fillId="7" borderId="1" xfId="1" applyFont="1" applyFill="1" applyBorder="1" applyAlignment="1">
      <alignment horizontal="left" vertical="center"/>
    </xf>
    <xf numFmtId="0" fontId="25" fillId="7" borderId="4" xfId="1" applyFont="1" applyFill="1" applyBorder="1" applyAlignment="1">
      <alignment horizontal="left" vertical="center"/>
    </xf>
    <xf numFmtId="0" fontId="6" fillId="0" borderId="18" xfId="2" applyFont="1" applyBorder="1" applyAlignment="1">
      <alignment horizontal="center" vertical="center" wrapText="1"/>
    </xf>
    <xf numFmtId="0" fontId="7" fillId="0" borderId="18" xfId="2" applyFont="1" applyBorder="1" applyAlignment="1">
      <alignment horizontal="center" vertical="center"/>
    </xf>
    <xf numFmtId="0" fontId="8" fillId="8" borderId="22" xfId="2" applyFont="1" applyFill="1" applyBorder="1" applyAlignment="1">
      <alignment horizontal="center" vertical="center"/>
    </xf>
    <xf numFmtId="0" fontId="6" fillId="0" borderId="19" xfId="2" applyFont="1" applyBorder="1" applyAlignment="1">
      <alignment horizontal="center" vertical="center" wrapText="1"/>
    </xf>
    <xf numFmtId="0" fontId="7" fillId="0" borderId="19" xfId="2" applyFont="1" applyBorder="1" applyAlignment="1">
      <alignment horizontal="center" vertical="center"/>
    </xf>
    <xf numFmtId="0" fontId="8" fillId="8" borderId="20" xfId="2" applyFont="1" applyFill="1" applyBorder="1" applyAlignment="1">
      <alignment horizontal="center" vertical="center"/>
    </xf>
    <xf numFmtId="0" fontId="6" fillId="0" borderId="25" xfId="2" applyFont="1" applyBorder="1" applyAlignment="1">
      <alignment vertical="center"/>
    </xf>
    <xf numFmtId="1" fontId="8" fillId="8" borderId="20" xfId="2" applyNumberFormat="1" applyFont="1" applyFill="1" applyBorder="1" applyAlignment="1">
      <alignment horizontal="center" vertical="center"/>
    </xf>
    <xf numFmtId="0" fontId="24" fillId="7" borderId="0" xfId="1" applyFont="1" applyFill="1" applyAlignment="1">
      <alignment horizontal="left"/>
    </xf>
    <xf numFmtId="0" fontId="23" fillId="7" borderId="0" xfId="1" applyFont="1" applyFill="1"/>
    <xf numFmtId="0" fontId="23" fillId="7" borderId="0" xfId="1" applyFont="1" applyFill="1" applyAlignment="1">
      <alignment horizontal="center"/>
    </xf>
    <xf numFmtId="0" fontId="25" fillId="7" borderId="0" xfId="1" applyFont="1" applyFill="1"/>
    <xf numFmtId="0" fontId="23" fillId="7" borderId="0" xfId="1" applyFont="1" applyFill="1" applyAlignment="1">
      <alignment horizontal="left"/>
    </xf>
    <xf numFmtId="0" fontId="23" fillId="7" borderId="0" xfId="1" applyFont="1" applyFill="1" applyAlignment="1">
      <alignment horizontal="left" indent="1"/>
    </xf>
    <xf numFmtId="0" fontId="23" fillId="0" borderId="0" xfId="1" applyFont="1" applyAlignment="1">
      <alignment horizontal="left" indent="1"/>
    </xf>
    <xf numFmtId="0" fontId="26" fillId="0" borderId="0" xfId="1" applyFont="1" applyAlignment="1">
      <alignment horizontal="left" indent="1"/>
    </xf>
    <xf numFmtId="0" fontId="25" fillId="7" borderId="0" xfId="1" applyFont="1" applyFill="1" applyAlignment="1">
      <alignment horizontal="left"/>
    </xf>
    <xf numFmtId="0" fontId="23" fillId="7" borderId="0" xfId="1" applyFont="1" applyFill="1" applyAlignment="1">
      <alignment horizontal="right"/>
    </xf>
    <xf numFmtId="0" fontId="29" fillId="7" borderId="0" xfId="1" applyFont="1" applyFill="1" applyAlignment="1">
      <alignment horizontal="left" vertical="center"/>
    </xf>
    <xf numFmtId="0" fontId="29" fillId="0" borderId="0" xfId="1" applyFont="1" applyAlignment="1">
      <alignment horizontal="left" vertical="center"/>
    </xf>
    <xf numFmtId="0" fontId="11" fillId="7" borderId="0" xfId="1" applyFont="1" applyFill="1" applyAlignment="1">
      <alignment horizontal="left"/>
    </xf>
    <xf numFmtId="0" fontId="23" fillId="4" borderId="16" xfId="0" applyFont="1" applyFill="1" applyBorder="1" applyAlignment="1">
      <alignment horizontal="center"/>
    </xf>
    <xf numFmtId="0" fontId="23" fillId="2" borderId="16" xfId="0" applyFont="1" applyFill="1" applyBorder="1" applyAlignment="1">
      <alignment horizontal="center"/>
    </xf>
    <xf numFmtId="0" fontId="23" fillId="6" borderId="16" xfId="0" applyFont="1" applyFill="1" applyBorder="1" applyAlignment="1">
      <alignment horizontal="center"/>
    </xf>
    <xf numFmtId="0" fontId="23" fillId="5" borderId="16" xfId="0" applyFont="1" applyFill="1" applyBorder="1" applyAlignment="1">
      <alignment horizontal="center"/>
    </xf>
    <xf numFmtId="0" fontId="23" fillId="3" borderId="16" xfId="0" applyFont="1" applyFill="1" applyBorder="1" applyAlignment="1">
      <alignment horizontal="center"/>
    </xf>
    <xf numFmtId="0" fontId="30" fillId="0" borderId="0" xfId="0" applyFont="1"/>
    <xf numFmtId="0" fontId="30" fillId="0" borderId="0" xfId="0" applyFont="1" applyAlignment="1">
      <alignment horizontal="right"/>
    </xf>
    <xf numFmtId="0" fontId="0" fillId="17" borderId="0" xfId="0" applyFill="1"/>
    <xf numFmtId="0" fontId="22" fillId="16" borderId="15" xfId="1" applyFont="1" applyFill="1" applyBorder="1" applyAlignment="1">
      <alignment horizontal="center" vertical="center"/>
    </xf>
    <xf numFmtId="0" fontId="22" fillId="16" borderId="16" xfId="1" applyFont="1" applyFill="1" applyBorder="1" applyAlignment="1">
      <alignment horizontal="center" vertical="center"/>
    </xf>
    <xf numFmtId="0" fontId="22" fillId="16" borderId="17" xfId="1" applyFont="1" applyFill="1" applyBorder="1" applyAlignment="1">
      <alignment horizontal="center" vertical="center"/>
    </xf>
    <xf numFmtId="3" fontId="22" fillId="16" borderId="16" xfId="0" applyNumberFormat="1" applyFont="1" applyFill="1" applyBorder="1" applyAlignment="1">
      <alignment horizontal="center" vertical="center"/>
    </xf>
    <xf numFmtId="0" fontId="22" fillId="16" borderId="16" xfId="1" applyFont="1" applyFill="1" applyBorder="1" applyAlignment="1">
      <alignment horizontal="left" vertical="center" indent="1"/>
    </xf>
    <xf numFmtId="0" fontId="24" fillId="0" borderId="0" xfId="0" applyFont="1" applyAlignment="1">
      <alignment horizontal="left"/>
    </xf>
    <xf numFmtId="0" fontId="24" fillId="0" borderId="0" xfId="0" applyFont="1" applyAlignment="1">
      <alignment horizontal="left" vertical="center"/>
    </xf>
    <xf numFmtId="0" fontId="25" fillId="0" borderId="0" xfId="0" applyFont="1" applyAlignment="1">
      <alignment horizontal="left" vertical="center"/>
    </xf>
    <xf numFmtId="0" fontId="10" fillId="18" borderId="16" xfId="0" applyFont="1" applyFill="1" applyBorder="1" applyAlignment="1">
      <alignment horizontal="center" vertical="center"/>
    </xf>
    <xf numFmtId="0" fontId="9" fillId="19" borderId="15" xfId="0" applyFont="1" applyFill="1" applyBorder="1" applyAlignment="1">
      <alignment horizontal="center" vertical="center"/>
    </xf>
    <xf numFmtId="0" fontId="23" fillId="0" borderId="0" xfId="2" applyFont="1" applyAlignment="1">
      <alignment horizontal="center" vertical="center"/>
    </xf>
    <xf numFmtId="0" fontId="6" fillId="0" borderId="26" xfId="2" applyFont="1" applyBorder="1" applyAlignment="1">
      <alignment vertical="center"/>
    </xf>
    <xf numFmtId="0" fontId="6" fillId="0" borderId="27" xfId="2" applyFont="1" applyBorder="1" applyAlignment="1">
      <alignment vertical="center"/>
    </xf>
    <xf numFmtId="0" fontId="6" fillId="0" borderId="28" xfId="2" applyFont="1" applyBorder="1" applyAlignment="1">
      <alignment vertical="center"/>
    </xf>
    <xf numFmtId="0" fontId="6" fillId="0" borderId="23" xfId="2" applyFont="1" applyBorder="1" applyAlignment="1">
      <alignment vertical="center"/>
    </xf>
    <xf numFmtId="0" fontId="6" fillId="0" borderId="24" xfId="2" applyFont="1" applyBorder="1" applyAlignment="1">
      <alignment vertical="center"/>
    </xf>
    <xf numFmtId="0" fontId="2" fillId="7" borderId="2" xfId="1" applyFont="1" applyFill="1" applyBorder="1"/>
    <xf numFmtId="0" fontId="2" fillId="7" borderId="3" xfId="1" applyFont="1" applyFill="1" applyBorder="1"/>
    <xf numFmtId="0" fontId="2" fillId="7" borderId="5" xfId="1" applyFont="1" applyFill="1" applyBorder="1"/>
    <xf numFmtId="0" fontId="2" fillId="7" borderId="7" xfId="1" applyFont="1" applyFill="1" applyBorder="1"/>
    <xf numFmtId="0" fontId="2" fillId="7" borderId="8" xfId="1" applyFont="1" applyFill="1" applyBorder="1"/>
    <xf numFmtId="0" fontId="31" fillId="7" borderId="0" xfId="1" applyFont="1" applyFill="1"/>
    <xf numFmtId="3" fontId="2" fillId="7" borderId="0" xfId="1" applyNumberFormat="1" applyFont="1" applyFill="1"/>
    <xf numFmtId="0" fontId="2" fillId="7" borderId="0" xfId="1" applyFont="1" applyFill="1" applyAlignment="1">
      <alignment vertical="top" wrapText="1"/>
    </xf>
    <xf numFmtId="0" fontId="3" fillId="7" borderId="0" xfId="1" applyFont="1" applyFill="1" applyAlignment="1">
      <alignment vertical="top" wrapText="1"/>
    </xf>
    <xf numFmtId="0" fontId="32" fillId="20" borderId="16" xfId="1" applyFont="1" applyFill="1" applyBorder="1" applyAlignment="1">
      <alignment horizontal="center" vertical="center"/>
    </xf>
    <xf numFmtId="3" fontId="32" fillId="20" borderId="16" xfId="1" applyNumberFormat="1" applyFont="1" applyFill="1" applyBorder="1" applyAlignment="1">
      <alignment horizontal="center" vertical="center"/>
    </xf>
    <xf numFmtId="0" fontId="33" fillId="7" borderId="18" xfId="1" applyFont="1" applyFill="1" applyBorder="1" applyAlignment="1">
      <alignment horizontal="center" vertical="center" wrapText="1"/>
    </xf>
    <xf numFmtId="1" fontId="8" fillId="8" borderId="22" xfId="1" applyNumberFormat="1" applyFont="1" applyFill="1" applyBorder="1" applyAlignment="1">
      <alignment horizontal="center" vertical="center"/>
    </xf>
    <xf numFmtId="0" fontId="1" fillId="0" borderId="0" xfId="4" applyAlignment="1">
      <alignment horizontal="left"/>
    </xf>
    <xf numFmtId="0" fontId="33" fillId="7" borderId="19" xfId="1" applyFont="1" applyFill="1" applyBorder="1" applyAlignment="1">
      <alignment horizontal="center" vertical="center" wrapText="1"/>
    </xf>
    <xf numFmtId="3" fontId="2" fillId="7" borderId="0" xfId="1" applyNumberFormat="1" applyFont="1" applyFill="1" applyAlignment="1">
      <alignment horizontal="center"/>
    </xf>
    <xf numFmtId="0" fontId="2" fillId="0" borderId="0" xfId="5" applyFont="1" applyAlignment="1">
      <alignment vertical="center"/>
    </xf>
    <xf numFmtId="0" fontId="4" fillId="0" borderId="0" xfId="5" applyFont="1" applyAlignment="1">
      <alignment horizontal="center" vertical="center"/>
    </xf>
    <xf numFmtId="0" fontId="2" fillId="0" borderId="0" xfId="5" applyFont="1" applyAlignment="1">
      <alignment horizontal="center" vertical="center"/>
    </xf>
    <xf numFmtId="0" fontId="3" fillId="0" borderId="0" xfId="5" applyFont="1" applyAlignment="1">
      <alignment vertical="center"/>
    </xf>
    <xf numFmtId="0" fontId="8" fillId="16" borderId="29" xfId="6" applyFont="1" applyFill="1" applyBorder="1" applyAlignment="1">
      <alignment horizontal="centerContinuous" vertical="center"/>
    </xf>
    <xf numFmtId="0" fontId="8" fillId="16" borderId="30" xfId="6" applyFont="1" applyFill="1" applyBorder="1" applyAlignment="1">
      <alignment horizontal="centerContinuous" vertical="center" wrapText="1"/>
    </xf>
    <xf numFmtId="0" fontId="8" fillId="16" borderId="31" xfId="6" applyFont="1" applyFill="1" applyBorder="1" applyAlignment="1">
      <alignment horizontal="centerContinuous" vertical="center" wrapText="1"/>
    </xf>
    <xf numFmtId="0" fontId="2" fillId="7" borderId="32" xfId="5" applyFont="1" applyFill="1" applyBorder="1"/>
    <xf numFmtId="0" fontId="2" fillId="7" borderId="0" xfId="5" applyFont="1" applyFill="1"/>
    <xf numFmtId="0" fontId="2" fillId="0" borderId="33" xfId="5" applyFont="1" applyBorder="1" applyAlignment="1">
      <alignment vertical="center"/>
    </xf>
    <xf numFmtId="0" fontId="2" fillId="0" borderId="32" xfId="5" applyFont="1" applyBorder="1" applyAlignment="1">
      <alignment vertical="center"/>
    </xf>
    <xf numFmtId="0" fontId="34" fillId="15" borderId="0" xfId="6" applyFont="1" applyFill="1" applyAlignment="1">
      <alignment horizontal="centerContinuous" vertical="center" wrapText="1"/>
    </xf>
    <xf numFmtId="0" fontId="1" fillId="0" borderId="0" xfId="6"/>
    <xf numFmtId="0" fontId="36" fillId="14" borderId="29" xfId="7" applyFont="1" applyFill="1" applyBorder="1" applyAlignment="1">
      <alignment horizontal="centerContinuous" vertical="center"/>
    </xf>
    <xf numFmtId="0" fontId="37" fillId="14" borderId="30" xfId="7" applyFont="1" applyFill="1" applyBorder="1" applyAlignment="1">
      <alignment horizontal="centerContinuous" vertical="center"/>
    </xf>
    <xf numFmtId="0" fontId="37" fillId="14" borderId="31" xfId="7" applyFont="1" applyFill="1" applyBorder="1" applyAlignment="1">
      <alignment horizontal="centerContinuous" vertical="center"/>
    </xf>
    <xf numFmtId="0" fontId="36" fillId="14" borderId="30" xfId="7" applyFont="1" applyFill="1" applyBorder="1" applyAlignment="1">
      <alignment horizontal="centerContinuous" vertical="center"/>
    </xf>
    <xf numFmtId="0" fontId="36" fillId="14" borderId="31" xfId="7" applyFont="1" applyFill="1" applyBorder="1" applyAlignment="1">
      <alignment horizontal="centerContinuous" vertical="center"/>
    </xf>
    <xf numFmtId="0" fontId="3" fillId="0" borderId="0" xfId="5" applyFont="1" applyAlignment="1">
      <alignment horizontal="left" vertical="center"/>
    </xf>
    <xf numFmtId="0" fontId="2" fillId="0" borderId="0" xfId="5" applyFont="1" applyAlignment="1">
      <alignment horizontal="left" vertical="center"/>
    </xf>
    <xf numFmtId="0" fontId="39" fillId="0" borderId="0" xfId="8"/>
    <xf numFmtId="0" fontId="41" fillId="0" borderId="0" xfId="5" applyFont="1" applyAlignment="1">
      <alignment vertical="center"/>
    </xf>
    <xf numFmtId="0" fontId="5" fillId="0" borderId="0" xfId="5" applyFont="1" applyAlignment="1">
      <alignment horizontal="left" vertical="center"/>
    </xf>
    <xf numFmtId="0" fontId="42" fillId="0" borderId="0" xfId="0" applyFont="1"/>
    <xf numFmtId="3" fontId="8" fillId="8" borderId="20" xfId="1" applyNumberFormat="1" applyFont="1" applyFill="1" applyBorder="1" applyAlignment="1">
      <alignment horizontal="center" vertical="center"/>
    </xf>
    <xf numFmtId="0" fontId="25" fillId="7" borderId="0" xfId="1" applyFont="1" applyFill="1" applyAlignment="1">
      <alignment horizontal="centerContinuous"/>
    </xf>
    <xf numFmtId="0" fontId="25" fillId="7" borderId="7" xfId="1" applyFont="1" applyFill="1" applyBorder="1"/>
    <xf numFmtId="0" fontId="3" fillId="16" borderId="21" xfId="5" applyFont="1" applyFill="1" applyBorder="1" applyAlignment="1">
      <alignment horizontal="center" vertical="center"/>
    </xf>
    <xf numFmtId="0" fontId="38" fillId="0" borderId="15" xfId="5" applyFont="1" applyBorder="1" applyAlignment="1">
      <alignment horizontal="left" vertical="top" wrapText="1"/>
    </xf>
    <xf numFmtId="0" fontId="38" fillId="0" borderId="17" xfId="5" applyFont="1" applyBorder="1" applyAlignment="1">
      <alignment horizontal="left" vertical="top" wrapText="1"/>
    </xf>
    <xf numFmtId="0" fontId="38" fillId="0" borderId="34" xfId="5" applyFont="1" applyBorder="1" applyAlignment="1">
      <alignment horizontal="left" vertical="top" wrapText="1"/>
    </xf>
    <xf numFmtId="0" fontId="38" fillId="0" borderId="35" xfId="5" applyFont="1" applyBorder="1" applyAlignment="1">
      <alignment horizontal="left" vertical="top" wrapText="1"/>
    </xf>
    <xf numFmtId="0" fontId="38" fillId="0" borderId="36" xfId="5" applyFont="1" applyBorder="1" applyAlignment="1">
      <alignment horizontal="left" vertical="top" wrapText="1"/>
    </xf>
    <xf numFmtId="0" fontId="38" fillId="0" borderId="37" xfId="5" applyFont="1" applyBorder="1" applyAlignment="1">
      <alignment horizontal="left" vertical="top" wrapText="1"/>
    </xf>
    <xf numFmtId="0" fontId="40" fillId="16" borderId="15" xfId="5" applyFont="1" applyFill="1" applyBorder="1" applyAlignment="1">
      <alignment vertical="center" wrapText="1"/>
    </xf>
    <xf numFmtId="0" fontId="40" fillId="16" borderId="17" xfId="5" applyFont="1" applyFill="1" applyBorder="1" applyAlignment="1">
      <alignment vertical="center" wrapText="1"/>
    </xf>
    <xf numFmtId="0" fontId="40" fillId="16" borderId="34" xfId="5" applyFont="1" applyFill="1" applyBorder="1" applyAlignment="1">
      <alignment vertical="center" wrapText="1"/>
    </xf>
    <xf numFmtId="4" fontId="25" fillId="7" borderId="0" xfId="1" applyNumberFormat="1" applyFont="1" applyFill="1"/>
  </cellXfs>
  <cellStyles count="9">
    <cellStyle name="Hyperlink 2" xfId="3" xr:uid="{1C76E17C-4543-44A7-98B1-B5FCEF5531E7}"/>
    <cellStyle name="Normal 2" xfId="2" xr:uid="{633B2FEE-2F40-4BE3-9FF1-ACB78585AA1C}"/>
    <cellStyle name="Normal 2 3" xfId="6" xr:uid="{E8DE1A0B-2241-498E-83E7-83722B7DA58F}"/>
    <cellStyle name="Normal 3" xfId="1" xr:uid="{5EFB4202-9941-45CC-B734-602F8005A97D}"/>
    <cellStyle name="Normal 3 2" xfId="4" xr:uid="{AEAC13B5-1CA9-4298-BC4C-6EFDA40631DF}"/>
    <cellStyle name="Normal 3 2 2" xfId="5" xr:uid="{AD6AE5C4-C3D1-4D38-B97D-5A8C549DE87A}"/>
    <cellStyle name="Normal 4 2" xfId="7" xr:uid="{0ED9C6AF-EE57-4E9B-8389-B7ECF0408CFD}"/>
    <cellStyle name="Normal 4 2 2" xfId="8" xr:uid="{F877F1B0-B577-4DE9-B2D9-4521B12A5D7E}"/>
    <cellStyle name="Normalny" xfId="0" builtinId="0"/>
  </cellStyles>
  <dxfs count="0"/>
  <tableStyles count="1" defaultTableStyle="TableStyleMedium2" defaultPivotStyle="PivotStyleLight16">
    <tableStyle name="Invisible" pivot="0" table="0" count="0" xr9:uid="{DE4C8A47-9D56-4CC1-B985-4710F85F0DC1}"/>
  </tableStyles>
  <colors>
    <mruColors>
      <color rgb="FFBC1F36"/>
      <color rgb="FFF2F2F2"/>
      <color rgb="FF6F57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mecc.college/certificate-of-completion/" TargetMode="External"/><Relationship Id="rId1" Type="http://schemas.openxmlformats.org/officeDocument/2006/relationships/hyperlink" Target="https://mecc.college/job-board/" TargetMode="Externa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hyperlink" Target="https://rog.asus.com/"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19</xdr:col>
      <xdr:colOff>0</xdr:colOff>
      <xdr:row>10</xdr:row>
      <xdr:rowOff>9524</xdr:rowOff>
    </xdr:from>
    <xdr:to>
      <xdr:col>23</xdr:col>
      <xdr:colOff>0</xdr:colOff>
      <xdr:row>12</xdr:row>
      <xdr:rowOff>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BE09206E-87BB-47C4-ADEB-852A6A07DCCF}"/>
            </a:ext>
          </a:extLst>
        </xdr:cNvPr>
        <xdr:cNvSpPr/>
      </xdr:nvSpPr>
      <xdr:spPr>
        <a:xfrm>
          <a:off x="13312140" y="3438524"/>
          <a:ext cx="3048000" cy="1765936"/>
        </a:xfrm>
        <a:prstGeom prst="rect">
          <a:avLst/>
        </a:prstGeom>
        <a:solidFill>
          <a:srgbClr val="BC1F36"/>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000" b="1">
              <a:latin typeface="FUTURA MEDIUM" panose="020B0602020204020303" pitchFamily="34" charset="-79"/>
              <a:cs typeface="FUTURA MEDIUM" panose="020B0602020204020303" pitchFamily="34" charset="-79"/>
            </a:rPr>
            <a:t>Click</a:t>
          </a:r>
          <a:r>
            <a:rPr lang="en-US" sz="2000" b="1" baseline="0">
              <a:latin typeface="FUTURA MEDIUM" panose="020B0602020204020303" pitchFamily="34" charset="-79"/>
              <a:cs typeface="FUTURA MEDIUM" panose="020B0602020204020303" pitchFamily="34" charset="-79"/>
            </a:rPr>
            <a:t> For </a:t>
          </a:r>
        </a:p>
        <a:p>
          <a:pPr algn="ctr"/>
          <a:r>
            <a:rPr lang="en-US" sz="2000" b="1">
              <a:latin typeface="FUTURA MEDIUM" panose="020B0602020204020303" pitchFamily="34" charset="-79"/>
              <a:cs typeface="FUTURA MEDIUM" panose="020B0602020204020303" pitchFamily="34" charset="-79"/>
            </a:rPr>
            <a:t>Job Postings</a:t>
          </a:r>
          <a:endParaRPr lang="en-US" sz="1800" b="1">
            <a:latin typeface="FUTURA MEDIUM" panose="020B0602020204020303" pitchFamily="34" charset="-79"/>
            <a:cs typeface="FUTURA MEDIUM" panose="020B0602020204020303" pitchFamily="34" charset="-79"/>
          </a:endParaRPr>
        </a:p>
      </xdr:txBody>
    </xdr:sp>
    <xdr:clientData/>
  </xdr:twoCellAnchor>
  <xdr:twoCellAnchor>
    <xdr:from>
      <xdr:col>19</xdr:col>
      <xdr:colOff>0</xdr:colOff>
      <xdr:row>13</xdr:row>
      <xdr:rowOff>12698</xdr:rowOff>
    </xdr:from>
    <xdr:to>
      <xdr:col>23</xdr:col>
      <xdr:colOff>0</xdr:colOff>
      <xdr:row>15</xdr:row>
      <xdr:rowOff>-1</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BBF42EB-77F2-4DDF-9383-47C07F022097}"/>
            </a:ext>
          </a:extLst>
        </xdr:cNvPr>
        <xdr:cNvSpPr/>
      </xdr:nvSpPr>
      <xdr:spPr>
        <a:xfrm>
          <a:off x="13312140" y="5407658"/>
          <a:ext cx="3048000" cy="1762761"/>
        </a:xfrm>
        <a:prstGeom prst="rect">
          <a:avLst/>
        </a:prstGeom>
        <a:solidFill>
          <a:srgbClr val="BC1F36"/>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000" b="1">
              <a:latin typeface="FUTURA MEDIUM" panose="020B0602020204020303" pitchFamily="34" charset="-79"/>
              <a:cs typeface="FUTURA MEDIUM" panose="020B0602020204020303" pitchFamily="34" charset="-79"/>
            </a:rPr>
            <a:t>Click</a:t>
          </a:r>
          <a:r>
            <a:rPr lang="en-US" sz="2000" b="1" baseline="0">
              <a:latin typeface="FUTURA MEDIUM" panose="020B0602020204020303" pitchFamily="34" charset="-79"/>
              <a:cs typeface="FUTURA MEDIUM" panose="020B0602020204020303" pitchFamily="34" charset="-79"/>
            </a:rPr>
            <a:t> For More About </a:t>
          </a:r>
        </a:p>
        <a:p>
          <a:pPr algn="ctr"/>
          <a:r>
            <a:rPr lang="en-US" sz="2000" b="1" baseline="0">
              <a:latin typeface="FUTURA MEDIUM" panose="020B0602020204020303" pitchFamily="34" charset="-79"/>
              <a:cs typeface="FUTURA MEDIUM" panose="020B0602020204020303" pitchFamily="34" charset="-79"/>
            </a:rPr>
            <a:t>MECC Badges</a:t>
          </a:r>
          <a:endParaRPr lang="en-US" sz="1800" b="1">
            <a:latin typeface="FUTURA MEDIUM" panose="020B0602020204020303" pitchFamily="34" charset="-79"/>
            <a:cs typeface="FUTURA MEDIUM" panose="020B0602020204020303" pitchFamily="34" charset="-79"/>
          </a:endParaRPr>
        </a:p>
      </xdr:txBody>
    </xdr:sp>
    <xdr:clientData/>
  </xdr:twoCellAnchor>
  <xdr:twoCellAnchor editAs="oneCell">
    <xdr:from>
      <xdr:col>1</xdr:col>
      <xdr:colOff>0</xdr:colOff>
      <xdr:row>1</xdr:row>
      <xdr:rowOff>1</xdr:rowOff>
    </xdr:from>
    <xdr:to>
      <xdr:col>12</xdr:col>
      <xdr:colOff>23029</xdr:colOff>
      <xdr:row>8</xdr:row>
      <xdr:rowOff>1</xdr:rowOff>
    </xdr:to>
    <xdr:pic>
      <xdr:nvPicPr>
        <xdr:cNvPr id="4" name="Picture 3">
          <a:extLst>
            <a:ext uri="{FF2B5EF4-FFF2-40B4-BE49-F238E27FC236}">
              <a16:creationId xmlns:a16="http://schemas.microsoft.com/office/drawing/2014/main" id="{F3E5227D-5C4F-480E-9746-EC739EB882A0}"/>
            </a:ext>
          </a:extLst>
        </xdr:cNvPr>
        <xdr:cNvPicPr>
          <a:picLocks noChangeAspect="1"/>
        </xdr:cNvPicPr>
      </xdr:nvPicPr>
      <xdr:blipFill>
        <a:blip xmlns:r="http://schemas.openxmlformats.org/officeDocument/2006/relationships" r:embed="rId3"/>
        <a:stretch>
          <a:fillRect/>
        </a:stretch>
      </xdr:blipFill>
      <xdr:spPr>
        <a:xfrm>
          <a:off x="373380" y="190501"/>
          <a:ext cx="8405029" cy="2667000"/>
        </a:xfrm>
        <a:prstGeom prst="rect">
          <a:avLst/>
        </a:prstGeom>
      </xdr:spPr>
    </xdr:pic>
    <xdr:clientData/>
  </xdr:twoCellAnchor>
  <xdr:twoCellAnchor editAs="oneCell">
    <xdr:from>
      <xdr:col>19</xdr:col>
      <xdr:colOff>204203</xdr:colOff>
      <xdr:row>6</xdr:row>
      <xdr:rowOff>54429</xdr:rowOff>
    </xdr:from>
    <xdr:to>
      <xdr:col>22</xdr:col>
      <xdr:colOff>566677</xdr:colOff>
      <xdr:row>8</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E282F1E5-71A1-4AEC-ACA4-3847D2F874BF}"/>
            </a:ext>
          </a:extLst>
        </xdr:cNvPr>
        <xdr:cNvPicPr>
          <a:picLocks noChangeAspect="1"/>
        </xdr:cNvPicPr>
      </xdr:nvPicPr>
      <xdr:blipFill>
        <a:blip xmlns:r="http://schemas.openxmlformats.org/officeDocument/2006/relationships" r:embed="rId5"/>
        <a:stretch>
          <a:fillRect/>
        </a:stretch>
      </xdr:blipFill>
      <xdr:spPr>
        <a:xfrm>
          <a:off x="13516343" y="2149929"/>
          <a:ext cx="2648474" cy="707572"/>
        </a:xfrm>
        <a:prstGeom prst="rect">
          <a:avLst/>
        </a:prstGeom>
      </xdr:spPr>
    </xdr:pic>
    <xdr:clientData/>
  </xdr:twoCellAnchor>
  <xdr:twoCellAnchor>
    <xdr:from>
      <xdr:col>19</xdr:col>
      <xdr:colOff>12699</xdr:colOff>
      <xdr:row>0</xdr:row>
      <xdr:rowOff>172810</xdr:rowOff>
    </xdr:from>
    <xdr:to>
      <xdr:col>23</xdr:col>
      <xdr:colOff>12699</xdr:colOff>
      <xdr:row>4</xdr:row>
      <xdr:rowOff>217715</xdr:rowOff>
    </xdr:to>
    <xdr:sp macro="" textlink="">
      <xdr:nvSpPr>
        <xdr:cNvPr id="6" name="Rectangle 5">
          <a:extLst>
            <a:ext uri="{FF2B5EF4-FFF2-40B4-BE49-F238E27FC236}">
              <a16:creationId xmlns:a16="http://schemas.microsoft.com/office/drawing/2014/main" id="{9B3FD037-2EE1-46AC-A6D8-E50D6E285393}"/>
            </a:ext>
          </a:extLst>
        </xdr:cNvPr>
        <xdr:cNvSpPr/>
      </xdr:nvSpPr>
      <xdr:spPr>
        <a:xfrm>
          <a:off x="13324839" y="172810"/>
          <a:ext cx="3048000" cy="1378405"/>
        </a:xfrm>
        <a:prstGeom prst="rect">
          <a:avLst/>
        </a:prstGeom>
        <a:solidFill>
          <a:srgbClr val="BC1F36"/>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000" b="1">
              <a:latin typeface="FUTURA MEDIUM" panose="020B0602020204020303" pitchFamily="34" charset="-79"/>
              <a:cs typeface="FUTURA MEDIUM" panose="020B0602020204020303" pitchFamily="34" charset="-79"/>
            </a:rPr>
            <a:t>Video</a:t>
          </a:r>
          <a:r>
            <a:rPr lang="en-US" sz="2000" b="1" baseline="0">
              <a:latin typeface="FUTURA MEDIUM" panose="020B0602020204020303" pitchFamily="34" charset="-79"/>
              <a:cs typeface="FUTURA MEDIUM" panose="020B0602020204020303" pitchFamily="34" charset="-79"/>
            </a:rPr>
            <a:t> Walkthrough </a:t>
          </a:r>
          <a:br>
            <a:rPr lang="en-US" sz="2000" b="1" baseline="0">
              <a:latin typeface="FUTURA MEDIUM" panose="020B0602020204020303" pitchFamily="34" charset="-79"/>
              <a:cs typeface="FUTURA MEDIUM" panose="020B0602020204020303" pitchFamily="34" charset="-79"/>
            </a:rPr>
          </a:br>
          <a:r>
            <a:rPr lang="en-US" sz="2000" b="1" baseline="0">
              <a:latin typeface="FUTURA MEDIUM" panose="020B0602020204020303" pitchFamily="34" charset="-79"/>
              <a:cs typeface="FUTURA MEDIUM" panose="020B0602020204020303" pitchFamily="34" charset="-79"/>
            </a:rPr>
            <a:t>Coming Soon</a:t>
          </a:r>
          <a:endParaRPr lang="en-US" sz="1800" b="1">
            <a:latin typeface="FUTURA MEDIUM" panose="020B0602020204020303" pitchFamily="34" charset="-79"/>
            <a:cs typeface="FUTURA MEDIUM" panose="020B0602020204020303" pitchFamily="34" charset="-79"/>
          </a:endParaRPr>
        </a:p>
      </xdr:txBody>
    </xdr:sp>
    <xdr:clientData/>
  </xdr:twoCellAnchor>
  <xdr:twoCellAnchor editAs="oneCell">
    <xdr:from>
      <xdr:col>14</xdr:col>
      <xdr:colOff>0</xdr:colOff>
      <xdr:row>2</xdr:row>
      <xdr:rowOff>0</xdr:rowOff>
    </xdr:from>
    <xdr:to>
      <xdr:col>17</xdr:col>
      <xdr:colOff>0</xdr:colOff>
      <xdr:row>8</xdr:row>
      <xdr:rowOff>0</xdr:rowOff>
    </xdr:to>
    <xdr:pic>
      <xdr:nvPicPr>
        <xdr:cNvPr id="7" name="Picture 6">
          <a:extLst>
            <a:ext uri="{FF2B5EF4-FFF2-40B4-BE49-F238E27FC236}">
              <a16:creationId xmlns:a16="http://schemas.microsoft.com/office/drawing/2014/main" id="{8A83CD8E-2B44-4D20-B316-F3B2B9F9E8AB}"/>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a:off x="9884229" y="576943"/>
          <a:ext cx="2286000" cy="2286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9</xdr:col>
      <xdr:colOff>0</xdr:colOff>
      <xdr:row>11</xdr:row>
      <xdr:rowOff>296658</xdr:rowOff>
    </xdr:to>
    <xdr:pic>
      <xdr:nvPicPr>
        <xdr:cNvPr id="3" name="Picture 2">
          <a:extLst>
            <a:ext uri="{FF2B5EF4-FFF2-40B4-BE49-F238E27FC236}">
              <a16:creationId xmlns:a16="http://schemas.microsoft.com/office/drawing/2014/main" id="{25150153-8053-44C4-9AA5-1A8CB474833C}"/>
            </a:ext>
          </a:extLst>
        </xdr:cNvPr>
        <xdr:cNvPicPr>
          <a:picLocks noChangeAspect="1"/>
        </xdr:cNvPicPr>
      </xdr:nvPicPr>
      <xdr:blipFill>
        <a:blip xmlns:r="http://schemas.openxmlformats.org/officeDocument/2006/relationships" r:embed="rId1"/>
        <a:stretch>
          <a:fillRect/>
        </a:stretch>
      </xdr:blipFill>
      <xdr:spPr>
        <a:xfrm>
          <a:off x="239486" y="1143000"/>
          <a:ext cx="9339943" cy="29636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agcapital-my.sharepoint.com/personal/emils_agcapital_onmicrosoft_com/Documents/Financial%20Modeling%20World%20Cup/MECC/MECC%202025/Cases/Regionals/Speed%20Run/Speed%20Challenge%20(David%20Brown)%20-%20MECC%20ASUS%20Case%20Explorer%202026%20-%20Speed%20Case%20-%20Varsity%20-%2005Jan2026.xlsm" TargetMode="External"/><Relationship Id="rId2" Type="http://schemas.microsoft.com/office/2019/04/relationships/externalLinkLongPath" Target="https://agcapital-my.sharepoint.com/personal/emils_agcapital_onmicrosoft_com/Documents/Financial%20Modeling%20World%20Cup/MECC/MECC%202025/Cases/Regionals/Speed%20Run/Speed%20Challenge%20(David%20Brown)%20-%20MECC%20ASUS%20Case%20Explorer%202026%20-%20Speed%20Case%20-%20Varsity%20-%2005Jan2026.xlsm?F43C72A4" TargetMode="External"/><Relationship Id="rId1" Type="http://schemas.openxmlformats.org/officeDocument/2006/relationships/externalLinkPath" Target="file:///\\F43C72A4\Speed%20Challenge%20(David%20Brown)%20-%20MECC%20ASUS%20Case%20Explorer%202026%20-%20Speed%20Case%20-%20Varsity%20-%2005Jan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over"/>
      <sheetName val="Unblock Guide"/>
      <sheetName val="Start Tab"/>
      <sheetName val="Maze Tab"/>
      <sheetName val="Last Tab"/>
      <sheetName val="Progress &amp; Instructions"/>
      <sheetName val="Results"/>
      <sheetName val="BackgroundCalcs"/>
      <sheetName val="Time Grading"/>
      <sheetName val="Grading"/>
      <sheetName val="Output"/>
    </sheetNames>
    <sheetDataSet>
      <sheetData sheetId="0"/>
      <sheetData sheetId="1" refreshError="1"/>
      <sheetData sheetId="2" refreshError="1"/>
      <sheetData sheetId="3" refreshError="1"/>
      <sheetData sheetId="4"/>
      <sheetData sheetId="5" refreshError="1"/>
      <sheetData sheetId="6" refreshError="1"/>
      <sheetData sheetId="7">
        <row r="2">
          <cell r="F2">
            <v>45775.612754629627</v>
          </cell>
          <cell r="S2">
            <v>3</v>
          </cell>
        </row>
        <row r="5">
          <cell r="D5" t="str">
            <v>MECC 2025 Regionals - Speed Challenge - Varsity</v>
          </cell>
        </row>
        <row r="29">
          <cell r="F29">
            <v>0.56788194442196982</v>
          </cell>
        </row>
      </sheetData>
      <sheetData sheetId="8" refreshError="1"/>
      <sheetData sheetId="9" refreshError="1"/>
      <sheetData sheetId="10" refreshError="1"/>
    </sheetDataSet>
  </externalBook>
</externalLink>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2BC0B-7989-47AF-AED2-12380E4AC70E}">
  <sheetPr codeName="Sheet11">
    <tabColor rgb="FFBC1F36"/>
  </sheetPr>
  <dimension ref="A1:XX1000"/>
  <sheetViews>
    <sheetView showGridLines="0" zoomScale="70" zoomScaleNormal="70" zoomScaleSheetLayoutView="100" workbookViewId="0">
      <selection activeCell="AP14" sqref="AP14"/>
    </sheetView>
  </sheetViews>
  <sheetFormatPr defaultColWidth="10.140625" defaultRowHeight="20.100000000000001" customHeight="1"/>
  <cols>
    <col min="1" max="1" width="5.42578125" style="125" customWidth="1"/>
    <col min="2" max="9" width="11.140625" style="127" customWidth="1"/>
    <col min="10" max="12" width="11.140625" style="125" customWidth="1"/>
    <col min="13" max="13" width="5.42578125" style="125" customWidth="1"/>
    <col min="14" max="18" width="11.140625" style="125" customWidth="1"/>
    <col min="19" max="19" width="5.42578125" style="125" customWidth="1"/>
    <col min="20" max="20" width="11.140625" style="125" customWidth="1"/>
    <col min="21" max="23" width="11.140625" style="128" customWidth="1"/>
    <col min="24" max="16384" width="10.140625" style="128"/>
  </cols>
  <sheetData>
    <row r="1" spans="2:24" ht="15" customHeight="1" thickBot="1">
      <c r="B1" s="125"/>
      <c r="C1" s="125"/>
      <c r="D1" s="125"/>
      <c r="E1" s="125"/>
      <c r="F1" s="125"/>
      <c r="G1" s="125"/>
      <c r="H1" s="125"/>
      <c r="I1" s="125"/>
      <c r="P1" s="126"/>
      <c r="Q1" s="127"/>
      <c r="R1" s="127"/>
    </row>
    <row r="2" spans="2:24" ht="30" customHeight="1" thickBot="1">
      <c r="B2" s="125"/>
      <c r="C2" s="125"/>
      <c r="D2" s="125"/>
      <c r="E2" s="125"/>
      <c r="F2" s="125"/>
      <c r="G2" s="125"/>
      <c r="H2" s="125"/>
      <c r="I2" s="125"/>
      <c r="O2" s="129" t="s">
        <v>1</v>
      </c>
      <c r="P2" s="130"/>
      <c r="Q2" s="131"/>
    </row>
    <row r="3" spans="2:24" ht="30" customHeight="1">
      <c r="B3" s="125"/>
      <c r="C3" s="125"/>
      <c r="D3" s="125"/>
      <c r="E3" s="125"/>
      <c r="F3" s="125"/>
      <c r="G3" s="125"/>
      <c r="H3" s="125"/>
      <c r="I3" s="125"/>
      <c r="O3" s="132"/>
      <c r="P3" s="133"/>
      <c r="Q3" s="134"/>
      <c r="T3" s="128"/>
      <c r="W3" s="125"/>
      <c r="X3" s="125"/>
    </row>
    <row r="4" spans="2:24" ht="30" customHeight="1">
      <c r="B4" s="125"/>
      <c r="C4" s="125"/>
      <c r="D4" s="125"/>
      <c r="E4" s="125"/>
      <c r="F4" s="125"/>
      <c r="G4" s="125"/>
      <c r="H4" s="125"/>
      <c r="I4" s="125"/>
      <c r="O4" s="132"/>
      <c r="P4" s="133"/>
      <c r="Q4" s="134"/>
      <c r="T4" s="128"/>
      <c r="W4" s="125"/>
    </row>
    <row r="5" spans="2:24" ht="30" customHeight="1">
      <c r="B5" s="125"/>
      <c r="C5" s="125"/>
      <c r="D5" s="125"/>
      <c r="E5" s="125"/>
      <c r="F5" s="125"/>
      <c r="G5" s="125"/>
      <c r="H5" s="125"/>
      <c r="I5" s="125"/>
      <c r="O5" s="132"/>
      <c r="P5" s="133"/>
      <c r="Q5" s="134"/>
      <c r="T5" s="128"/>
      <c r="W5" s="125"/>
    </row>
    <row r="6" spans="2:24" ht="30" customHeight="1">
      <c r="B6" s="125"/>
      <c r="C6" s="125"/>
      <c r="D6" s="125"/>
      <c r="E6" s="125"/>
      <c r="F6" s="125"/>
      <c r="G6" s="125"/>
      <c r="H6" s="125"/>
      <c r="I6" s="125"/>
      <c r="O6" s="132"/>
      <c r="P6" s="133"/>
      <c r="Q6" s="134"/>
      <c r="T6" s="152"/>
      <c r="U6" s="152"/>
      <c r="V6" s="152"/>
      <c r="W6" s="152"/>
      <c r="X6" s="125"/>
    </row>
    <row r="7" spans="2:24" ht="30" customHeight="1">
      <c r="B7" s="125"/>
      <c r="C7" s="125"/>
      <c r="D7" s="125"/>
      <c r="E7" s="125"/>
      <c r="F7" s="125"/>
      <c r="G7" s="125"/>
      <c r="H7" s="125"/>
      <c r="I7" s="125"/>
      <c r="O7" s="132"/>
      <c r="P7" s="133"/>
      <c r="Q7" s="134"/>
      <c r="T7" s="152"/>
      <c r="U7" s="152"/>
      <c r="V7" s="152"/>
      <c r="W7" s="152"/>
      <c r="X7" s="125"/>
    </row>
    <row r="8" spans="2:24" ht="30" customHeight="1" thickBot="1">
      <c r="B8" s="125"/>
      <c r="C8" s="125"/>
      <c r="D8" s="125"/>
      <c r="E8" s="125"/>
      <c r="F8" s="125"/>
      <c r="G8" s="125"/>
      <c r="H8" s="125"/>
      <c r="I8" s="125"/>
      <c r="O8" s="135"/>
      <c r="Q8" s="134"/>
      <c r="T8" s="152"/>
      <c r="U8" s="152"/>
      <c r="V8" s="152"/>
      <c r="W8" s="152"/>
      <c r="X8" s="125"/>
    </row>
    <row r="9" spans="2:24" ht="30" customHeight="1" thickBot="1">
      <c r="B9" s="136" t="s">
        <v>327</v>
      </c>
      <c r="C9" s="136"/>
      <c r="D9" s="136"/>
      <c r="E9" s="136"/>
      <c r="F9" s="136"/>
      <c r="G9" s="136"/>
      <c r="H9" s="136"/>
      <c r="I9" s="136"/>
      <c r="J9" s="136"/>
      <c r="K9" s="136"/>
      <c r="L9" s="136"/>
      <c r="O9" s="129" t="s">
        <v>2</v>
      </c>
      <c r="P9" s="130"/>
      <c r="Q9" s="131"/>
      <c r="T9" s="152"/>
      <c r="U9" s="152"/>
      <c r="V9" s="152"/>
      <c r="W9" s="152"/>
    </row>
    <row r="10" spans="2:24" ht="15" customHeight="1" thickBot="1">
      <c r="B10" s="125"/>
      <c r="C10" s="125"/>
      <c r="D10" s="125"/>
      <c r="E10" s="125"/>
      <c r="F10" s="125"/>
      <c r="G10" s="125"/>
      <c r="H10" s="125"/>
      <c r="I10" s="125"/>
      <c r="O10" s="137"/>
      <c r="P10" s="137"/>
      <c r="T10" s="128"/>
      <c r="W10" s="125"/>
    </row>
    <row r="11" spans="2:24" ht="30" customHeight="1" thickBot="1">
      <c r="B11" s="138" t="s">
        <v>319</v>
      </c>
      <c r="C11" s="139"/>
      <c r="D11" s="139"/>
      <c r="E11" s="139"/>
      <c r="F11" s="139"/>
      <c r="G11" s="139"/>
      <c r="H11" s="139"/>
      <c r="I11" s="139"/>
      <c r="J11" s="139"/>
      <c r="K11" s="139"/>
      <c r="L11" s="140"/>
      <c r="N11" s="138" t="s">
        <v>320</v>
      </c>
      <c r="O11" s="141"/>
      <c r="P11" s="141"/>
      <c r="Q11" s="141"/>
      <c r="R11" s="142"/>
      <c r="U11" s="125"/>
      <c r="V11" s="125"/>
      <c r="W11" s="125"/>
    </row>
    <row r="12" spans="2:24" ht="90" customHeight="1" thickBot="1">
      <c r="B12" s="153" t="s">
        <v>326</v>
      </c>
      <c r="C12" s="154"/>
      <c r="D12" s="154"/>
      <c r="E12" s="154"/>
      <c r="F12" s="154"/>
      <c r="G12" s="154"/>
      <c r="H12" s="154"/>
      <c r="I12" s="154"/>
      <c r="J12" s="154"/>
      <c r="K12" s="154"/>
      <c r="L12" s="155"/>
      <c r="N12" s="156" t="s">
        <v>321</v>
      </c>
      <c r="O12" s="157"/>
      <c r="P12" s="157"/>
      <c r="Q12" s="157"/>
      <c r="R12" s="158"/>
      <c r="S12" s="127"/>
      <c r="T12" s="128"/>
      <c r="W12" s="125"/>
    </row>
    <row r="13" spans="2:24" ht="15" customHeight="1" thickBot="1">
      <c r="B13" s="143"/>
      <c r="C13" s="144"/>
      <c r="D13" s="145"/>
      <c r="H13" s="128"/>
      <c r="I13" s="128"/>
      <c r="J13" s="128"/>
      <c r="N13" s="127"/>
      <c r="O13" s="127"/>
      <c r="P13" s="127"/>
      <c r="Q13" s="127"/>
      <c r="R13" s="127"/>
      <c r="S13" s="127"/>
      <c r="T13" s="127"/>
      <c r="U13" s="127"/>
      <c r="V13" s="125"/>
      <c r="W13" s="125"/>
    </row>
    <row r="14" spans="2:24" ht="30" customHeight="1" thickBot="1">
      <c r="B14" s="138" t="s">
        <v>322</v>
      </c>
      <c r="C14" s="139"/>
      <c r="D14" s="139"/>
      <c r="E14" s="139"/>
      <c r="F14" s="139"/>
      <c r="G14" s="139"/>
      <c r="H14" s="139"/>
      <c r="I14" s="139"/>
      <c r="J14" s="139"/>
      <c r="K14" s="139"/>
      <c r="L14" s="140"/>
      <c r="N14" s="138" t="s">
        <v>323</v>
      </c>
      <c r="O14" s="139"/>
      <c r="P14" s="139"/>
      <c r="Q14" s="139"/>
      <c r="R14" s="140"/>
      <c r="U14" s="125"/>
      <c r="V14" s="125"/>
      <c r="W14" s="125"/>
      <c r="X14" s="125"/>
    </row>
    <row r="15" spans="2:24" ht="110.1" customHeight="1" thickBot="1">
      <c r="B15" s="159" t="s">
        <v>324</v>
      </c>
      <c r="C15" s="160"/>
      <c r="D15" s="160"/>
      <c r="E15" s="160"/>
      <c r="F15" s="160"/>
      <c r="G15" s="160"/>
      <c r="H15" s="160"/>
      <c r="I15" s="160"/>
      <c r="J15" s="160"/>
      <c r="K15" s="160"/>
      <c r="L15" s="161"/>
      <c r="N15" s="156" t="s">
        <v>325</v>
      </c>
      <c r="O15" s="157"/>
      <c r="P15" s="157"/>
      <c r="Q15" s="157"/>
      <c r="R15" s="158"/>
      <c r="S15" s="127"/>
      <c r="T15" s="128"/>
      <c r="W15" s="125"/>
    </row>
    <row r="16" spans="2:24" ht="20.100000000000001" customHeight="1">
      <c r="X16" s="125"/>
    </row>
    <row r="17" spans="1:24" ht="30" customHeight="1">
      <c r="A17" s="128"/>
      <c r="B17" s="128"/>
      <c r="C17" s="128"/>
      <c r="D17" s="128"/>
      <c r="E17" s="128"/>
      <c r="F17" s="128"/>
      <c r="G17" s="128" t="e" vm="1">
        <v>#VALUE!</v>
      </c>
      <c r="H17" s="128"/>
      <c r="I17" s="128"/>
      <c r="J17" s="128"/>
      <c r="K17" s="128"/>
      <c r="L17" s="128"/>
      <c r="M17" s="128"/>
      <c r="R17" s="128"/>
      <c r="S17" s="128"/>
      <c r="T17" s="128"/>
      <c r="X17" s="125"/>
    </row>
    <row r="18" spans="1:24" ht="30" customHeight="1">
      <c r="A18" s="128"/>
      <c r="B18" s="128"/>
      <c r="C18" s="128"/>
      <c r="D18" s="128"/>
      <c r="E18" s="128"/>
      <c r="F18" s="128"/>
      <c r="G18" s="128"/>
      <c r="H18" s="128"/>
      <c r="I18" s="128"/>
      <c r="J18" s="128"/>
      <c r="K18" s="128"/>
      <c r="L18" s="128"/>
      <c r="M18" s="128"/>
      <c r="R18" s="128"/>
      <c r="S18" s="128"/>
      <c r="T18" s="128"/>
      <c r="X18" s="125"/>
    </row>
    <row r="19" spans="1:24" s="146" customFormat="1" ht="30" customHeight="1">
      <c r="N19" s="127"/>
      <c r="O19" s="127"/>
      <c r="P19" s="127"/>
      <c r="Q19" s="127"/>
      <c r="R19" s="127"/>
      <c r="S19" s="127"/>
      <c r="T19" s="127"/>
      <c r="U19" s="127"/>
      <c r="V19" s="125"/>
      <c r="W19" s="125"/>
      <c r="X19" s="125"/>
    </row>
    <row r="20" spans="1:24" ht="30" customHeight="1">
      <c r="A20" s="128"/>
      <c r="B20" s="128"/>
      <c r="C20" s="128"/>
      <c r="D20" s="128"/>
      <c r="E20" s="128"/>
      <c r="F20" s="128"/>
      <c r="G20" s="128"/>
      <c r="H20" s="128"/>
      <c r="I20" s="128"/>
      <c r="J20" s="128"/>
      <c r="K20" s="128"/>
      <c r="L20" s="128"/>
      <c r="M20" s="128"/>
      <c r="N20" s="128"/>
      <c r="O20" s="128"/>
      <c r="P20" s="128"/>
      <c r="Q20" s="128"/>
      <c r="R20" s="127"/>
      <c r="S20" s="127"/>
      <c r="T20" s="127"/>
    </row>
    <row r="21" spans="1:24" ht="30" customHeight="1">
      <c r="A21" s="128"/>
      <c r="B21" s="128"/>
      <c r="C21" s="128"/>
      <c r="D21" s="128"/>
      <c r="E21" s="128"/>
      <c r="F21" s="128"/>
      <c r="G21" s="128"/>
      <c r="H21" s="128"/>
      <c r="I21" s="128"/>
      <c r="J21" s="128"/>
      <c r="K21" s="128"/>
      <c r="L21" s="128"/>
      <c r="M21" s="128"/>
      <c r="N21" s="128"/>
      <c r="O21" s="128"/>
      <c r="P21" s="128"/>
      <c r="Q21" s="128"/>
      <c r="R21" s="127"/>
      <c r="S21" s="127"/>
      <c r="T21" s="127"/>
    </row>
    <row r="22" spans="1:24" ht="30" customHeight="1">
      <c r="A22" s="128"/>
      <c r="B22" s="128"/>
      <c r="C22" s="128"/>
      <c r="D22" s="128"/>
      <c r="E22" s="128"/>
      <c r="F22" s="128"/>
      <c r="G22" s="128"/>
      <c r="H22" s="128"/>
      <c r="I22" s="128"/>
      <c r="J22" s="128"/>
      <c r="K22" s="128"/>
      <c r="L22" s="128"/>
      <c r="M22" s="128"/>
    </row>
    <row r="23" spans="1:24" ht="30" customHeight="1">
      <c r="A23" s="128"/>
      <c r="B23" s="128"/>
      <c r="C23" s="128"/>
      <c r="D23" s="128"/>
      <c r="E23" s="128"/>
      <c r="F23" s="128"/>
      <c r="G23" s="128"/>
      <c r="H23" s="128"/>
      <c r="I23" s="128"/>
      <c r="J23" s="128"/>
      <c r="K23" s="128"/>
      <c r="L23" s="128"/>
      <c r="M23" s="128"/>
    </row>
    <row r="24" spans="1:24" ht="20.100000000000001" customHeight="1">
      <c r="A24" s="128"/>
      <c r="B24" s="128"/>
      <c r="C24" s="128"/>
      <c r="D24" s="128"/>
      <c r="E24" s="128"/>
      <c r="F24" s="128"/>
      <c r="G24" s="128"/>
      <c r="H24" s="128"/>
      <c r="I24" s="128"/>
      <c r="J24" s="128"/>
      <c r="K24" s="128"/>
      <c r="L24" s="128"/>
      <c r="M24" s="128"/>
      <c r="N24" s="128"/>
      <c r="O24" s="128"/>
      <c r="P24" s="128"/>
      <c r="Q24" s="128"/>
      <c r="R24" s="127"/>
      <c r="S24" s="127"/>
      <c r="T24" s="127"/>
    </row>
    <row r="25" spans="1:24" ht="30" customHeight="1">
      <c r="A25" s="128"/>
      <c r="B25" s="128"/>
      <c r="C25" s="128"/>
      <c r="D25" s="128"/>
      <c r="E25" s="128"/>
      <c r="F25" s="128"/>
      <c r="G25" s="128"/>
      <c r="H25" s="128"/>
      <c r="I25" s="128"/>
      <c r="J25" s="128"/>
      <c r="K25" s="128"/>
      <c r="L25" s="128"/>
      <c r="M25" s="128"/>
    </row>
    <row r="26" spans="1:24" ht="89.45" customHeight="1">
      <c r="A26" s="128"/>
      <c r="B26" s="128"/>
      <c r="C26" s="128"/>
      <c r="D26" s="128"/>
      <c r="E26" s="128"/>
      <c r="F26" s="128"/>
      <c r="G26" s="128"/>
      <c r="H26" s="128"/>
      <c r="I26" s="128"/>
      <c r="J26" s="128"/>
      <c r="K26" s="128"/>
      <c r="L26" s="128"/>
      <c r="M26" s="128"/>
      <c r="N26" s="128"/>
      <c r="O26" s="128"/>
      <c r="P26" s="128"/>
      <c r="Q26" s="128"/>
      <c r="R26" s="127"/>
      <c r="S26" s="127"/>
      <c r="T26" s="127"/>
    </row>
    <row r="28" spans="1:24" ht="30" customHeight="1">
      <c r="A28" s="128"/>
      <c r="B28" s="128"/>
      <c r="C28" s="128"/>
      <c r="D28" s="128"/>
      <c r="E28" s="128"/>
      <c r="F28" s="128"/>
      <c r="G28" s="128"/>
      <c r="H28" s="128"/>
      <c r="I28" s="128"/>
      <c r="J28" s="128"/>
      <c r="K28" s="128"/>
      <c r="L28" s="128"/>
      <c r="M28" s="128"/>
    </row>
    <row r="29" spans="1:24" ht="86.45" customHeight="1">
      <c r="A29" s="128"/>
      <c r="B29" s="128"/>
      <c r="C29" s="128"/>
      <c r="D29" s="128"/>
      <c r="E29" s="128"/>
      <c r="F29" s="128"/>
      <c r="G29" s="128"/>
      <c r="H29" s="128"/>
      <c r="I29" s="128"/>
      <c r="J29" s="128"/>
      <c r="K29" s="128"/>
      <c r="L29" s="128"/>
      <c r="M29" s="128"/>
    </row>
    <row r="30" spans="1:24" ht="20.100000000000001" customHeight="1">
      <c r="A30" s="128"/>
      <c r="B30" s="128"/>
      <c r="C30" s="128"/>
      <c r="D30" s="128"/>
      <c r="E30" s="128"/>
      <c r="F30" s="128"/>
      <c r="G30" s="128"/>
      <c r="H30" s="128"/>
      <c r="I30" s="128"/>
      <c r="J30" s="128"/>
      <c r="K30" s="128"/>
      <c r="L30" s="128"/>
      <c r="M30" s="128"/>
    </row>
    <row r="32" spans="1:24" ht="20.100000000000001" customHeight="1">
      <c r="B32" s="125"/>
      <c r="C32" s="125"/>
      <c r="D32" s="125"/>
      <c r="E32" s="125"/>
      <c r="F32" s="125"/>
      <c r="G32" s="125"/>
      <c r="H32" s="125"/>
      <c r="I32" s="125"/>
      <c r="P32" s="126"/>
      <c r="Q32" s="127"/>
      <c r="R32" s="127"/>
    </row>
    <row r="34" spans="2:20" ht="20.100000000000001" customHeight="1">
      <c r="B34" s="147"/>
      <c r="C34" s="144"/>
      <c r="H34" s="128"/>
      <c r="I34" s="128"/>
      <c r="J34" s="128"/>
      <c r="K34" s="128"/>
      <c r="M34" s="128"/>
      <c r="N34" s="128"/>
      <c r="O34" s="128"/>
      <c r="P34" s="128"/>
      <c r="Q34" s="128"/>
      <c r="R34" s="127"/>
      <c r="S34" s="127"/>
      <c r="T34" s="127"/>
    </row>
    <row r="35" spans="2:20" ht="20.100000000000001" customHeight="1">
      <c r="B35" s="143"/>
      <c r="C35" s="144"/>
      <c r="H35" s="128"/>
      <c r="I35" s="128"/>
      <c r="J35" s="128"/>
      <c r="K35" s="128"/>
      <c r="M35" s="128"/>
      <c r="N35" s="128"/>
      <c r="O35" s="128"/>
      <c r="P35" s="128"/>
      <c r="Q35" s="128"/>
      <c r="R35" s="127"/>
      <c r="S35" s="127"/>
      <c r="T35" s="127"/>
    </row>
    <row r="36" spans="2:20" ht="20.100000000000001" customHeight="1">
      <c r="B36" s="143"/>
      <c r="C36" s="144"/>
      <c r="H36" s="128"/>
      <c r="I36" s="128"/>
      <c r="J36" s="128"/>
      <c r="K36" s="128"/>
      <c r="M36" s="128"/>
      <c r="N36" s="128"/>
      <c r="O36" s="128"/>
      <c r="P36" s="128"/>
      <c r="Q36" s="128"/>
      <c r="R36" s="127"/>
      <c r="S36" s="127"/>
      <c r="T36" s="127"/>
    </row>
    <row r="37" spans="2:20" ht="20.100000000000001" customHeight="1">
      <c r="B37" s="143"/>
      <c r="C37" s="144"/>
      <c r="D37" s="145"/>
      <c r="H37" s="128"/>
      <c r="I37" s="128"/>
      <c r="J37" s="128"/>
      <c r="K37" s="128"/>
      <c r="M37" s="128"/>
      <c r="N37" s="128"/>
      <c r="O37" s="128"/>
      <c r="P37" s="128"/>
      <c r="Q37" s="128"/>
      <c r="R37" s="127"/>
      <c r="S37" s="127"/>
      <c r="T37" s="127"/>
    </row>
    <row r="1000" spans="648:648" ht="15">
      <c r="XX1000" s="148">
        <v>125713</v>
      </c>
    </row>
  </sheetData>
  <mergeCells count="5">
    <mergeCell ref="T6:W9"/>
    <mergeCell ref="B12:L12"/>
    <mergeCell ref="N12:R12"/>
    <mergeCell ref="B15:L15"/>
    <mergeCell ref="N15:R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39DC2-904F-485D-B0E8-AE9A75B145E8}">
  <sheetPr codeName="Sheet1">
    <tabColor rgb="FFBC1F36"/>
  </sheetPr>
  <dimension ref="A2:XT1000"/>
  <sheetViews>
    <sheetView showGridLines="0" topLeftCell="A301" zoomScale="70" zoomScaleNormal="44" workbookViewId="0">
      <selection activeCell="BW308" sqref="BW308:CP327"/>
    </sheetView>
  </sheetViews>
  <sheetFormatPr defaultColWidth="8.85546875" defaultRowHeight="15"/>
  <cols>
    <col min="1" max="1" width="3.42578125" style="23" customWidth="1"/>
    <col min="2" max="4" width="14.140625" style="25" customWidth="1"/>
    <col min="5" max="5" width="30.42578125" style="25" customWidth="1"/>
    <col min="6" max="6" width="4.42578125" style="25" customWidth="1"/>
    <col min="7" max="9" width="19.42578125" style="25" customWidth="1"/>
    <col min="10" max="30" width="19.42578125" style="23" customWidth="1"/>
    <col min="31" max="239" width="8.42578125" style="23" customWidth="1"/>
    <col min="240" max="512" width="8.42578125" style="24" customWidth="1"/>
    <col min="513" max="2520" width="8.85546875" style="24"/>
    <col min="2521" max="2521" width="10.85546875" style="24" customWidth="1"/>
    <col min="2522" max="2522" width="8.85546875" style="24"/>
    <col min="2523" max="2523" width="11.42578125" style="24" customWidth="1"/>
    <col min="2524" max="16384" width="8.85546875" style="24"/>
  </cols>
  <sheetData>
    <row r="2" spans="2:15" ht="30" customHeight="1">
      <c r="B2" s="41" t="s">
        <v>328</v>
      </c>
      <c r="C2" s="41"/>
      <c r="D2" s="41"/>
      <c r="E2" s="41"/>
      <c r="F2" s="41"/>
      <c r="G2" s="41"/>
      <c r="H2" s="41"/>
      <c r="I2" s="41"/>
      <c r="J2" s="41"/>
      <c r="K2" s="41"/>
      <c r="L2" s="41"/>
      <c r="M2" s="41"/>
      <c r="N2" s="41"/>
      <c r="O2" s="41"/>
    </row>
    <row r="3" spans="2:15" ht="15" customHeight="1">
      <c r="B3" s="23"/>
      <c r="C3" s="23"/>
      <c r="D3" s="23"/>
      <c r="E3" s="23"/>
      <c r="F3" s="23"/>
      <c r="G3" s="23"/>
      <c r="H3" s="23"/>
      <c r="I3" s="23"/>
    </row>
    <row r="4" spans="2:15" ht="30" customHeight="1">
      <c r="B4" s="42" t="s">
        <v>0</v>
      </c>
      <c r="C4" s="42"/>
      <c r="D4" s="42"/>
      <c r="E4" s="42"/>
      <c r="F4" s="42"/>
      <c r="G4" s="42"/>
      <c r="H4" s="42"/>
      <c r="I4" s="42"/>
      <c r="J4" s="45"/>
      <c r="K4" s="45"/>
      <c r="M4" s="43" t="s">
        <v>1</v>
      </c>
      <c r="N4" s="43"/>
    </row>
    <row r="5" spans="2:15" ht="30" customHeight="1">
      <c r="B5" s="44"/>
      <c r="C5" s="44"/>
      <c r="D5" s="44"/>
      <c r="E5" s="47"/>
      <c r="F5" s="44"/>
      <c r="G5" s="44"/>
      <c r="H5" s="44"/>
      <c r="I5" s="44"/>
      <c r="J5" s="44"/>
      <c r="K5" s="45"/>
      <c r="M5" s="54" t="s">
        <v>2</v>
      </c>
      <c r="N5" s="54"/>
    </row>
    <row r="6" spans="2:15" ht="30" customHeight="1">
      <c r="B6" s="44"/>
      <c r="C6" s="44"/>
      <c r="D6" s="44"/>
      <c r="E6" s="47"/>
      <c r="F6" s="44"/>
      <c r="G6" s="44"/>
      <c r="H6" s="44"/>
      <c r="I6" s="44"/>
      <c r="J6" s="44"/>
      <c r="K6" s="45"/>
      <c r="M6" s="44"/>
    </row>
    <row r="7" spans="2:15" ht="30" customHeight="1">
      <c r="B7" s="44"/>
      <c r="C7" s="44"/>
      <c r="D7" s="44"/>
      <c r="E7" s="47"/>
      <c r="F7" s="44"/>
      <c r="G7" s="44"/>
      <c r="H7" s="44"/>
      <c r="I7" s="44"/>
      <c r="J7" s="44"/>
      <c r="K7" s="45"/>
      <c r="M7" s="43" t="s">
        <v>3</v>
      </c>
      <c r="N7" s="43"/>
    </row>
    <row r="8" spans="2:15" ht="30" customHeight="1">
      <c r="B8" s="44"/>
      <c r="C8" s="44"/>
      <c r="D8" s="44"/>
      <c r="E8" s="47"/>
      <c r="F8" s="44"/>
      <c r="G8" s="44"/>
      <c r="H8" s="44"/>
      <c r="I8" s="44"/>
      <c r="J8" s="44"/>
      <c r="K8" s="45"/>
      <c r="M8" s="55" t="s">
        <v>4</v>
      </c>
      <c r="N8" s="55"/>
    </row>
    <row r="9" spans="2:15" ht="30" customHeight="1">
      <c r="B9" s="44"/>
      <c r="C9" s="44"/>
      <c r="D9" s="44"/>
      <c r="E9" s="47"/>
      <c r="F9" s="44"/>
      <c r="G9" s="44"/>
      <c r="H9" s="44"/>
      <c r="I9" s="44"/>
      <c r="J9" s="44"/>
      <c r="K9" s="45"/>
      <c r="M9" s="55" t="s">
        <v>5</v>
      </c>
      <c r="N9" s="55"/>
    </row>
    <row r="10" spans="2:15" ht="30" customHeight="1">
      <c r="B10" s="44"/>
      <c r="C10" s="44"/>
      <c r="D10" s="44"/>
      <c r="E10" s="47"/>
      <c r="F10" s="44"/>
      <c r="G10" s="44"/>
      <c r="H10" s="44"/>
      <c r="I10" s="44"/>
      <c r="J10" s="44"/>
      <c r="K10" s="45"/>
      <c r="M10" s="55" t="s">
        <v>6</v>
      </c>
      <c r="N10" s="55"/>
    </row>
    <row r="11" spans="2:15" ht="30" customHeight="1">
      <c r="B11" s="44"/>
      <c r="C11" s="44"/>
      <c r="D11" s="44"/>
      <c r="E11" s="47"/>
      <c r="F11" s="44"/>
      <c r="G11" s="44"/>
      <c r="H11" s="44"/>
      <c r="I11" s="44"/>
      <c r="J11" s="44"/>
      <c r="K11" s="45"/>
      <c r="M11" s="55" t="s">
        <v>7</v>
      </c>
      <c r="N11" s="55"/>
    </row>
    <row r="12" spans="2:15" ht="30" customHeight="1">
      <c r="B12" s="44"/>
      <c r="C12" s="44"/>
      <c r="D12" s="44"/>
      <c r="E12" s="47"/>
      <c r="F12" s="44"/>
      <c r="G12" s="44"/>
      <c r="H12" s="44"/>
      <c r="I12" s="44"/>
      <c r="J12" s="44"/>
      <c r="K12" s="45"/>
      <c r="L12" s="45"/>
      <c r="M12" s="45"/>
    </row>
    <row r="13" spans="2:15" ht="15" customHeight="1">
      <c r="B13" s="44"/>
      <c r="C13" s="44"/>
      <c r="D13" s="44"/>
      <c r="E13" s="47"/>
      <c r="F13" s="44"/>
      <c r="G13" s="44"/>
      <c r="H13" s="44"/>
      <c r="I13" s="44"/>
      <c r="J13" s="44"/>
      <c r="K13" s="46"/>
      <c r="L13" s="46"/>
      <c r="M13" s="46"/>
    </row>
    <row r="14" spans="2:15" ht="30" customHeight="1">
      <c r="B14" s="48" t="s">
        <v>8</v>
      </c>
      <c r="C14" s="48"/>
      <c r="D14" s="48"/>
      <c r="E14" s="48"/>
      <c r="F14" s="48"/>
      <c r="G14" s="48"/>
      <c r="H14" s="48"/>
      <c r="I14" s="48"/>
      <c r="J14" s="48"/>
      <c r="K14" s="48"/>
      <c r="L14" s="48"/>
      <c r="M14" s="48"/>
      <c r="N14" s="48"/>
      <c r="O14" s="48"/>
    </row>
    <row r="15" spans="2:15" ht="15" customHeight="1">
      <c r="B15" s="62" t="s">
        <v>9</v>
      </c>
      <c r="C15" s="58"/>
      <c r="D15" s="59"/>
      <c r="E15" s="59"/>
      <c r="F15" s="59"/>
      <c r="G15" s="59"/>
      <c r="H15" s="60"/>
      <c r="I15" s="60"/>
      <c r="J15" s="60"/>
      <c r="K15" s="60"/>
      <c r="L15" s="60"/>
      <c r="M15" s="60"/>
      <c r="N15" s="109"/>
      <c r="O15" s="110"/>
    </row>
    <row r="16" spans="2:15" ht="15" customHeight="1">
      <c r="B16" s="63" t="s">
        <v>10</v>
      </c>
      <c r="C16" s="26"/>
      <c r="H16" s="24"/>
      <c r="I16" s="24"/>
      <c r="J16" s="24"/>
      <c r="K16" s="24"/>
      <c r="L16" s="24"/>
      <c r="M16" s="24"/>
      <c r="O16" s="111"/>
    </row>
    <row r="17" spans="2:21" ht="15" customHeight="1">
      <c r="B17" s="63" t="s">
        <v>11</v>
      </c>
      <c r="C17" s="26"/>
      <c r="O17" s="111"/>
    </row>
    <row r="18" spans="2:21" ht="15" customHeight="1">
      <c r="B18" s="61"/>
      <c r="C18" s="56"/>
      <c r="D18" s="57"/>
      <c r="E18" s="57"/>
      <c r="F18" s="57"/>
      <c r="G18" s="57"/>
      <c r="H18" s="57"/>
      <c r="I18" s="57"/>
      <c r="J18" s="112"/>
      <c r="K18" s="112"/>
      <c r="L18" s="112"/>
      <c r="M18" s="112"/>
      <c r="N18" s="112"/>
      <c r="O18" s="113"/>
    </row>
    <row r="19" spans="2:21" ht="15" customHeight="1">
      <c r="B19" s="26"/>
      <c r="C19" s="23"/>
      <c r="D19" s="23"/>
      <c r="E19" s="23"/>
      <c r="F19" s="23"/>
      <c r="G19" s="23"/>
    </row>
    <row r="20" spans="2:21" ht="30" customHeight="1">
      <c r="B20" s="49" t="s">
        <v>12</v>
      </c>
      <c r="C20" s="49"/>
      <c r="D20" s="49"/>
      <c r="E20" s="49"/>
      <c r="F20" s="49"/>
      <c r="G20" s="49"/>
      <c r="H20" s="49"/>
      <c r="I20" s="49"/>
      <c r="J20" s="49"/>
      <c r="K20" s="49"/>
      <c r="L20" s="49"/>
      <c r="M20" s="49"/>
      <c r="N20" s="49"/>
      <c r="O20" s="49"/>
    </row>
    <row r="21" spans="2:21" ht="15" customHeight="1">
      <c r="B21" s="26"/>
      <c r="C21" s="23"/>
      <c r="D21" s="23"/>
      <c r="E21" s="23"/>
      <c r="F21" s="23"/>
      <c r="G21" s="23"/>
      <c r="H21" s="23"/>
      <c r="I21" s="23"/>
    </row>
    <row r="22" spans="2:21" ht="15" customHeight="1">
      <c r="B22" s="35" t="s">
        <v>13</v>
      </c>
      <c r="J22" s="25"/>
      <c r="K22" s="25"/>
      <c r="L22" s="25"/>
      <c r="M22" s="25"/>
      <c r="N22" s="25"/>
      <c r="O22" s="25"/>
    </row>
    <row r="23" spans="2:21" ht="15" customHeight="1" thickBot="1">
      <c r="B23" s="27"/>
      <c r="G23" s="28"/>
      <c r="H23" s="28"/>
      <c r="I23" s="28"/>
      <c r="J23" s="28"/>
      <c r="K23" s="28"/>
      <c r="L23" s="28"/>
      <c r="M23" s="28"/>
      <c r="N23" s="28"/>
      <c r="O23" s="28"/>
    </row>
    <row r="24" spans="2:21" ht="30" customHeight="1" thickBot="1">
      <c r="B24" s="50" t="s">
        <v>14</v>
      </c>
      <c r="C24" s="51" t="s">
        <v>15</v>
      </c>
      <c r="D24" s="50" t="s">
        <v>16</v>
      </c>
      <c r="E24" s="50" t="s">
        <v>17</v>
      </c>
      <c r="F24" s="52"/>
      <c r="G24" s="53" t="s">
        <v>12</v>
      </c>
      <c r="H24" s="53"/>
      <c r="I24" s="53"/>
      <c r="J24" s="53"/>
      <c r="K24" s="53"/>
      <c r="L24" s="53"/>
      <c r="M24" s="53"/>
      <c r="N24" s="53"/>
      <c r="O24" s="53"/>
    </row>
    <row r="25" spans="2:21" ht="30" customHeight="1">
      <c r="B25" s="64" t="s">
        <v>18</v>
      </c>
      <c r="C25" s="64" t="s">
        <v>19</v>
      </c>
      <c r="D25" s="65">
        <v>30</v>
      </c>
      <c r="E25" s="66">
        <f>COUNTIF(Scene!B2:U27,0)</f>
        <v>40</v>
      </c>
      <c r="F25" s="103"/>
      <c r="G25" s="104" t="s">
        <v>20</v>
      </c>
      <c r="H25" s="105"/>
      <c r="I25" s="105"/>
      <c r="J25" s="105"/>
      <c r="K25" s="105"/>
      <c r="L25" s="105"/>
      <c r="M25" s="105"/>
      <c r="N25" s="105"/>
      <c r="O25" s="106"/>
    </row>
    <row r="26" spans="2:21" ht="30" customHeight="1">
      <c r="B26" s="67" t="s">
        <v>21</v>
      </c>
      <c r="C26" s="67">
        <v>3</v>
      </c>
      <c r="D26" s="68">
        <v>40</v>
      </c>
      <c r="E26" s="69">
        <f>COUNTIF(G134:G153,"A*")</f>
        <v>11</v>
      </c>
      <c r="F26" s="103"/>
      <c r="G26" s="70" t="s">
        <v>22</v>
      </c>
      <c r="H26" s="107"/>
      <c r="I26" s="107"/>
      <c r="J26" s="107"/>
      <c r="K26" s="107"/>
      <c r="L26" s="107"/>
      <c r="M26" s="107"/>
      <c r="N26" s="107"/>
      <c r="O26" s="108"/>
      <c r="R26" s="23" t="str" cm="1">
        <f t="array" ref="R26:R125">_xlfn.VSTACK(I177:I196,H219:H238,H264:H283,H308:H327,J308:J327)</f>
        <v>C23</v>
      </c>
      <c r="T26" s="23" t="str" cm="1">
        <f t="array" ref="T26:U113">_xlfn.GROUPBY(_xlfn.ANCHORARRAY(R26),_xlfn.ANCHORARRAY(R26),_xleta.COUNTA,0,0,-2)</f>
        <v>K17</v>
      </c>
      <c r="U26" s="23">
        <v>4</v>
      </c>
    </row>
    <row r="27" spans="2:21" ht="30" customHeight="1">
      <c r="B27" s="67" t="s">
        <v>23</v>
      </c>
      <c r="C27" s="64" t="s">
        <v>19</v>
      </c>
      <c r="D27" s="68">
        <v>50</v>
      </c>
      <c r="E27" s="71" t="s">
        <v>149</v>
      </c>
      <c r="F27" s="103"/>
      <c r="G27" s="70" t="s">
        <v>24</v>
      </c>
      <c r="H27" s="107"/>
      <c r="I27" s="107"/>
      <c r="J27" s="107"/>
      <c r="K27" s="107"/>
      <c r="L27" s="107"/>
      <c r="M27" s="107"/>
      <c r="N27" s="107"/>
      <c r="O27" s="108"/>
      <c r="R27" s="23" t="str">
        <v>N19</v>
      </c>
      <c r="T27" s="23" t="str">
        <v>B2</v>
      </c>
      <c r="U27" s="23">
        <v>3</v>
      </c>
    </row>
    <row r="28" spans="2:21" ht="30" customHeight="1">
      <c r="B28" s="67" t="s">
        <v>25</v>
      </c>
      <c r="C28" s="67">
        <v>6</v>
      </c>
      <c r="D28" s="68">
        <v>60</v>
      </c>
      <c r="E28" s="71">
        <v>21</v>
      </c>
      <c r="F28" s="103"/>
      <c r="G28" s="70" t="s">
        <v>26</v>
      </c>
      <c r="H28" s="107"/>
      <c r="I28" s="107"/>
      <c r="J28" s="107"/>
      <c r="K28" s="107"/>
      <c r="L28" s="107"/>
      <c r="M28" s="107"/>
      <c r="N28" s="107"/>
      <c r="O28" s="108"/>
      <c r="R28" s="23" t="str">
        <v>B2</v>
      </c>
      <c r="T28" s="23" t="str">
        <v>C21</v>
      </c>
      <c r="U28" s="23">
        <v>2</v>
      </c>
    </row>
    <row r="29" spans="2:21" ht="30" customHeight="1">
      <c r="B29" s="67" t="s">
        <v>27</v>
      </c>
      <c r="C29" s="64" t="s">
        <v>28</v>
      </c>
      <c r="D29" s="68">
        <v>70</v>
      </c>
      <c r="E29" s="69">
        <v>0</v>
      </c>
      <c r="F29" s="103"/>
      <c r="G29" s="70" t="s">
        <v>29</v>
      </c>
      <c r="H29" s="107"/>
      <c r="I29" s="107"/>
      <c r="J29" s="107"/>
      <c r="K29" s="107"/>
      <c r="L29" s="107"/>
      <c r="M29" s="107"/>
      <c r="N29" s="107"/>
      <c r="O29" s="108"/>
      <c r="R29" s="23" t="str">
        <v>U22</v>
      </c>
      <c r="T29" s="23" t="str">
        <v>K25</v>
      </c>
      <c r="U29" s="23">
        <v>2</v>
      </c>
    </row>
    <row r="30" spans="2:21" ht="15" customHeight="1">
      <c r="B30" s="26"/>
      <c r="C30" s="23"/>
      <c r="D30" s="23"/>
      <c r="E30" s="23"/>
      <c r="F30" s="23"/>
      <c r="G30" s="23"/>
      <c r="R30" s="23" t="str">
        <v>L20</v>
      </c>
      <c r="T30" s="23" t="str">
        <v>L20</v>
      </c>
      <c r="U30" s="23">
        <v>2</v>
      </c>
    </row>
    <row r="31" spans="2:21" ht="30" customHeight="1">
      <c r="B31" s="49" t="s">
        <v>30</v>
      </c>
      <c r="C31" s="49"/>
      <c r="D31" s="49"/>
      <c r="E31" s="49"/>
      <c r="F31" s="49"/>
      <c r="G31" s="49"/>
      <c r="H31" s="49"/>
      <c r="I31" s="49"/>
      <c r="J31" s="49"/>
      <c r="K31" s="49"/>
      <c r="L31" s="49"/>
      <c r="M31" s="49"/>
      <c r="N31" s="49"/>
      <c r="O31" s="49"/>
      <c r="R31" s="23" t="str">
        <v>U19</v>
      </c>
      <c r="T31" s="23" t="str">
        <v>M13</v>
      </c>
      <c r="U31" s="23">
        <v>2</v>
      </c>
    </row>
    <row r="32" spans="2:21">
      <c r="R32" s="23" t="str">
        <v>P7</v>
      </c>
      <c r="T32" s="23" t="str">
        <v>R21</v>
      </c>
      <c r="U32" s="23">
        <v>2</v>
      </c>
    </row>
    <row r="33" spans="2:21" ht="22.5" customHeight="1" thickBot="1">
      <c r="B33" s="102" t="s">
        <v>31</v>
      </c>
      <c r="C33" s="36" t="s">
        <v>32</v>
      </c>
      <c r="D33" s="82" t="s">
        <v>33</v>
      </c>
      <c r="G33" s="23"/>
      <c r="H33" s="23"/>
      <c r="R33" s="23" t="str">
        <v>P22</v>
      </c>
      <c r="T33" s="23" t="str">
        <v>U13</v>
      </c>
      <c r="U33" s="23">
        <v>2</v>
      </c>
    </row>
    <row r="34" spans="2:21" s="75" customFormat="1" ht="15" customHeight="1">
      <c r="B34" s="74"/>
      <c r="C34" s="74"/>
      <c r="D34" s="74"/>
      <c r="E34" s="74"/>
      <c r="F34" s="74"/>
      <c r="G34" s="73"/>
      <c r="H34" s="73"/>
      <c r="R34" s="75" t="str">
        <v>M9</v>
      </c>
      <c r="T34" s="75" t="str">
        <v>U15</v>
      </c>
      <c r="U34" s="75">
        <v>2</v>
      </c>
    </row>
    <row r="35" spans="2:21" s="75" customFormat="1" ht="15" customHeight="1">
      <c r="B35" s="76" t="s">
        <v>34</v>
      </c>
      <c r="C35" s="74"/>
      <c r="D35" s="74"/>
      <c r="E35" s="74"/>
      <c r="F35" s="74"/>
      <c r="G35" s="73"/>
      <c r="H35" s="73"/>
      <c r="R35" s="75" t="str">
        <v>S10</v>
      </c>
      <c r="T35" s="75" t="str">
        <v>B10</v>
      </c>
      <c r="U35" s="75">
        <v>1</v>
      </c>
    </row>
    <row r="36" spans="2:21" s="75" customFormat="1" ht="15" customHeight="1">
      <c r="B36" s="72" t="s">
        <v>35</v>
      </c>
      <c r="C36" s="76"/>
      <c r="D36" s="74"/>
      <c r="E36" s="74"/>
      <c r="F36" s="74"/>
      <c r="G36" s="73"/>
      <c r="H36" s="73"/>
      <c r="R36" s="75" t="str">
        <v>O24</v>
      </c>
      <c r="T36" s="75" t="str">
        <v>B14</v>
      </c>
      <c r="U36" s="75">
        <v>1</v>
      </c>
    </row>
    <row r="37" spans="2:21" s="75" customFormat="1" ht="15" customHeight="1">
      <c r="B37" s="74"/>
      <c r="C37" s="74"/>
      <c r="D37" s="74"/>
      <c r="E37" s="74"/>
      <c r="F37" s="74"/>
      <c r="G37" s="73"/>
      <c r="H37" s="73"/>
      <c r="L37" s="75">
        <v>70</v>
      </c>
      <c r="R37" s="75" t="str">
        <v>B14</v>
      </c>
      <c r="T37" s="75" t="str">
        <v>B17</v>
      </c>
      <c r="U37" s="75">
        <v>1</v>
      </c>
    </row>
    <row r="38" spans="2:21" s="75" customFormat="1" ht="15" customHeight="1">
      <c r="B38" s="72" t="s">
        <v>36</v>
      </c>
      <c r="C38" s="74"/>
      <c r="D38" s="74"/>
      <c r="E38" s="74"/>
      <c r="F38" s="74"/>
      <c r="G38" s="73"/>
      <c r="H38" s="73"/>
      <c r="L38" s="162">
        <f>SUM(D25:D29,D52:D71,D92:D111,D134:D153,D177:D196,D219:D238,D264:D283,D308:D327)</f>
        <v>1250</v>
      </c>
      <c r="N38" s="75">
        <f>L38*0.97</f>
        <v>1212.5</v>
      </c>
      <c r="R38" s="75" t="str">
        <v>K17</v>
      </c>
      <c r="T38" s="75" t="str">
        <v>B5</v>
      </c>
      <c r="U38" s="75">
        <v>1</v>
      </c>
    </row>
    <row r="39" spans="2:21" s="75" customFormat="1" ht="15" customHeight="1">
      <c r="B39" s="76" t="s">
        <v>37</v>
      </c>
      <c r="C39" s="74"/>
      <c r="D39" s="74"/>
      <c r="E39" s="74"/>
      <c r="F39" s="74"/>
      <c r="G39" s="73"/>
      <c r="H39" s="73"/>
      <c r="N39" s="162">
        <f>L38-N38</f>
        <v>37.5</v>
      </c>
      <c r="R39" s="75" t="str">
        <v>S15</v>
      </c>
      <c r="T39" s="75" t="str">
        <v>C12</v>
      </c>
      <c r="U39" s="75">
        <v>1</v>
      </c>
    </row>
    <row r="40" spans="2:21" s="75" customFormat="1" ht="15" customHeight="1">
      <c r="B40" s="76" t="s">
        <v>38</v>
      </c>
      <c r="C40" s="74"/>
      <c r="D40" s="74"/>
      <c r="E40" s="74"/>
      <c r="F40" s="74"/>
      <c r="G40" s="73"/>
      <c r="H40" s="73"/>
      <c r="R40" s="75" t="str">
        <v>J9</v>
      </c>
      <c r="T40" s="75" t="str">
        <v>C23</v>
      </c>
      <c r="U40" s="75">
        <v>1</v>
      </c>
    </row>
    <row r="41" spans="2:21" s="75" customFormat="1" ht="15" customHeight="1">
      <c r="B41" s="76" t="s">
        <v>39</v>
      </c>
      <c r="C41" s="74"/>
      <c r="D41" s="74"/>
      <c r="E41" s="74"/>
      <c r="F41" s="74"/>
      <c r="G41" s="73"/>
      <c r="H41" s="73"/>
      <c r="R41" s="75" t="str">
        <v>I4</v>
      </c>
      <c r="T41" s="75" t="str">
        <v>C25</v>
      </c>
      <c r="U41" s="75">
        <v>1</v>
      </c>
    </row>
    <row r="42" spans="2:21" s="75" customFormat="1" ht="15" customHeight="1">
      <c r="C42" s="78"/>
      <c r="D42" s="74"/>
      <c r="E42" s="74"/>
      <c r="F42" s="74"/>
      <c r="G42" s="73"/>
      <c r="H42" s="73"/>
      <c r="R42" s="75" t="str">
        <v>Q11</v>
      </c>
      <c r="T42" s="75" t="str">
        <v>D10</v>
      </c>
      <c r="U42" s="75">
        <v>1</v>
      </c>
    </row>
    <row r="43" spans="2:21" s="75" customFormat="1" ht="15" customHeight="1">
      <c r="B43" s="98" t="s">
        <v>40</v>
      </c>
      <c r="C43" s="74"/>
      <c r="D43" s="74"/>
      <c r="E43" s="74"/>
      <c r="F43" s="74"/>
      <c r="G43" s="73"/>
      <c r="H43" s="73"/>
      <c r="R43" s="75" t="str">
        <v>H8</v>
      </c>
      <c r="T43" s="75" t="str">
        <v>D12</v>
      </c>
      <c r="U43" s="75">
        <v>1</v>
      </c>
    </row>
    <row r="44" spans="2:21" s="75" customFormat="1" ht="15" customHeight="1">
      <c r="B44" s="76" t="s">
        <v>41</v>
      </c>
      <c r="C44" s="77"/>
      <c r="D44" s="74"/>
      <c r="E44" s="74"/>
      <c r="F44" s="74"/>
      <c r="G44" s="73"/>
      <c r="H44" s="73"/>
      <c r="R44" s="75" t="str">
        <v>O23</v>
      </c>
      <c r="T44" s="75" t="str">
        <v>D21</v>
      </c>
      <c r="U44" s="75">
        <v>1</v>
      </c>
    </row>
    <row r="45" spans="2:21" s="75" customFormat="1" ht="15" customHeight="1">
      <c r="B45" s="76" t="s">
        <v>42</v>
      </c>
      <c r="C45" s="77"/>
      <c r="D45" s="74"/>
      <c r="E45" s="74"/>
      <c r="F45" s="74"/>
      <c r="G45" s="73"/>
      <c r="H45" s="73"/>
      <c r="R45" s="75" t="str">
        <v>S12</v>
      </c>
      <c r="T45" s="75" t="str">
        <v>D24</v>
      </c>
      <c r="U45" s="75">
        <v>1</v>
      </c>
    </row>
    <row r="46" spans="2:21" s="75" customFormat="1" ht="15" customHeight="1">
      <c r="B46" s="76" t="s">
        <v>43</v>
      </c>
      <c r="C46" s="77"/>
      <c r="D46" s="74"/>
      <c r="E46" s="74"/>
      <c r="F46" s="74"/>
      <c r="G46" s="73"/>
      <c r="H46" s="73"/>
      <c r="R46" s="75" t="str">
        <v>L20</v>
      </c>
      <c r="T46" s="75" t="str">
        <v>D7</v>
      </c>
      <c r="U46" s="75">
        <v>1</v>
      </c>
    </row>
    <row r="47" spans="2:21" s="75" customFormat="1" ht="15" customHeight="1" thickBot="1">
      <c r="B47" s="72"/>
      <c r="C47" s="74"/>
      <c r="D47" s="74"/>
      <c r="E47" s="74"/>
      <c r="F47" s="74"/>
      <c r="G47" s="73"/>
      <c r="H47" s="74"/>
      <c r="R47" s="75" t="str">
        <v>B2</v>
      </c>
      <c r="T47" s="75" t="str">
        <v>E14</v>
      </c>
      <c r="U47" s="75">
        <v>1</v>
      </c>
    </row>
    <row r="48" spans="2:21" s="75" customFormat="1" ht="22.5" customHeight="1" thickBot="1">
      <c r="B48" s="93" t="s">
        <v>44</v>
      </c>
      <c r="C48" s="94" t="s">
        <v>45</v>
      </c>
      <c r="D48" s="95" t="s">
        <v>16</v>
      </c>
      <c r="E48" s="96" t="s">
        <v>17</v>
      </c>
      <c r="F48" s="74"/>
      <c r="G48" s="94" t="s">
        <v>46</v>
      </c>
      <c r="H48" s="94" t="s">
        <v>47</v>
      </c>
      <c r="R48" s="75" t="str">
        <v>B17</v>
      </c>
      <c r="T48" s="75" t="str">
        <v>E2</v>
      </c>
      <c r="U48" s="75">
        <v>1</v>
      </c>
    </row>
    <row r="49" spans="2:21">
      <c r="R49" s="23" t="str">
        <v>R25</v>
      </c>
      <c r="T49" s="23" t="str">
        <v>E7</v>
      </c>
      <c r="U49" s="23">
        <v>1</v>
      </c>
    </row>
    <row r="50" spans="2:21" ht="22.5" customHeight="1">
      <c r="B50" s="32" t="s">
        <v>48</v>
      </c>
      <c r="C50" s="29">
        <v>1</v>
      </c>
      <c r="D50" s="30">
        <v>0</v>
      </c>
      <c r="E50" s="31" t="s">
        <v>49</v>
      </c>
      <c r="F50" s="103"/>
      <c r="G50" s="33" t="s">
        <v>50</v>
      </c>
      <c r="H50" s="33">
        <v>6</v>
      </c>
      <c r="R50" s="23" t="str">
        <v>L10</v>
      </c>
      <c r="T50" s="23" t="str">
        <v>F11</v>
      </c>
      <c r="U50" s="23">
        <v>1</v>
      </c>
    </row>
    <row r="51" spans="2:21" ht="15" customHeight="1">
      <c r="B51" s="23"/>
      <c r="C51" s="23"/>
      <c r="D51" s="23"/>
      <c r="E51" s="23"/>
      <c r="R51" s="23" t="str">
        <v>G11</v>
      </c>
      <c r="T51" s="23" t="str">
        <v>F14</v>
      </c>
      <c r="U51" s="23">
        <v>1</v>
      </c>
    </row>
    <row r="52" spans="2:21" ht="22.5" customHeight="1">
      <c r="B52" s="32">
        <v>1</v>
      </c>
      <c r="C52" s="32">
        <v>1</v>
      </c>
      <c r="D52" s="30">
        <v>4</v>
      </c>
      <c r="E52" s="31" t="str" cm="1">
        <f t="array" aca="1" ref="E52" ca="1">SUBSTITUTE(CELL("adres",OFFSET(INDIRECT(G52),,H52,1,1)),"$","")</f>
        <v>K10</v>
      </c>
      <c r="F52" s="103"/>
      <c r="G52" s="33" t="s">
        <v>51</v>
      </c>
      <c r="H52" s="33">
        <v>10</v>
      </c>
      <c r="R52" s="23" t="str">
        <v>G7</v>
      </c>
      <c r="T52" s="23" t="str">
        <v>F15</v>
      </c>
      <c r="U52" s="23">
        <v>1</v>
      </c>
    </row>
    <row r="53" spans="2:21" ht="22.5" customHeight="1">
      <c r="B53" s="32">
        <f>B52+1</f>
        <v>2</v>
      </c>
      <c r="C53" s="32">
        <v>1</v>
      </c>
      <c r="D53" s="30">
        <v>4</v>
      </c>
      <c r="E53" s="31" t="str" cm="1">
        <f t="array" aca="1" ref="E53" ca="1">SUBSTITUTE(CELL("adres",OFFSET(INDIRECT(G53),,H53,1,1)),"$","")</f>
        <v>S25</v>
      </c>
      <c r="F53" s="103"/>
      <c r="G53" s="33" t="s">
        <v>52</v>
      </c>
      <c r="H53" s="33">
        <v>18</v>
      </c>
      <c r="R53" s="23" t="str">
        <v>M12</v>
      </c>
      <c r="T53" s="23" t="str">
        <v>F25</v>
      </c>
      <c r="U53" s="23">
        <v>1</v>
      </c>
    </row>
    <row r="54" spans="2:21" ht="22.5" customHeight="1">
      <c r="B54" s="32">
        <f>B53+1</f>
        <v>3</v>
      </c>
      <c r="C54" s="32">
        <v>1</v>
      </c>
      <c r="D54" s="30">
        <v>4</v>
      </c>
      <c r="E54" s="31" t="str" cm="1">
        <f t="array" aca="1" ref="E54" ca="1">SUBSTITUTE(CELL("adres",OFFSET(INDIRECT(G54),,H54,1,1)),"$","")</f>
        <v>E4</v>
      </c>
      <c r="F54" s="103"/>
      <c r="G54" s="33" t="s">
        <v>53</v>
      </c>
      <c r="H54" s="33">
        <v>4</v>
      </c>
      <c r="R54" s="23" t="str">
        <v>N7</v>
      </c>
      <c r="T54" s="23" t="str">
        <v>G11</v>
      </c>
      <c r="U54" s="23">
        <v>1</v>
      </c>
    </row>
    <row r="55" spans="2:21" ht="22.5" customHeight="1">
      <c r="B55" s="32">
        <f t="shared" ref="B55:B71" si="0">B54+1</f>
        <v>4</v>
      </c>
      <c r="C55" s="32">
        <v>1</v>
      </c>
      <c r="D55" s="30">
        <v>4</v>
      </c>
      <c r="E55" s="31" t="str" cm="1">
        <f t="array" aca="1" ref="E55" ca="1">SUBSTITUTE(CELL("adres",OFFSET(INDIRECT(G55),,H55,1,1)),"$","")</f>
        <v>C19</v>
      </c>
      <c r="F55" s="103"/>
      <c r="G55" s="33" t="s">
        <v>54</v>
      </c>
      <c r="H55" s="33">
        <v>2</v>
      </c>
      <c r="R55" s="23" t="str">
        <v>P13</v>
      </c>
      <c r="T55" s="23" t="str">
        <v>G12</v>
      </c>
      <c r="U55" s="23">
        <v>1</v>
      </c>
    </row>
    <row r="56" spans="2:21" ht="22.5" customHeight="1">
      <c r="B56" s="32">
        <f t="shared" si="0"/>
        <v>5</v>
      </c>
      <c r="C56" s="32">
        <v>1</v>
      </c>
      <c r="D56" s="30">
        <v>4</v>
      </c>
      <c r="E56" s="31" t="str" cm="1">
        <f t="array" aca="1" ref="E56" ca="1">SUBSTITUTE(CELL("adres",OFFSET(INDIRECT(G56),,H56,1,1)),"$","")</f>
        <v>P26</v>
      </c>
      <c r="F56" s="103"/>
      <c r="G56" s="33" t="s">
        <v>55</v>
      </c>
      <c r="H56" s="33">
        <v>15</v>
      </c>
      <c r="R56" s="23" t="str">
        <v>U13</v>
      </c>
      <c r="T56" s="23" t="str">
        <v>G25</v>
      </c>
      <c r="U56" s="23">
        <v>1</v>
      </c>
    </row>
    <row r="57" spans="2:21" ht="22.5" customHeight="1">
      <c r="B57" s="32">
        <f t="shared" si="0"/>
        <v>6</v>
      </c>
      <c r="C57" s="32">
        <v>1</v>
      </c>
      <c r="D57" s="30">
        <v>4</v>
      </c>
      <c r="E57" s="31" t="str" cm="1">
        <f t="array" aca="1" ref="E57" ca="1">SUBSTITUTE(CELL("adres",OFFSET(INDIRECT(G57),,H57,1,1)),"$","")</f>
        <v>C3</v>
      </c>
      <c r="F57" s="103"/>
      <c r="G57" s="33" t="s">
        <v>56</v>
      </c>
      <c r="H57" s="33">
        <v>2</v>
      </c>
      <c r="R57" s="23" t="str">
        <v>C21</v>
      </c>
      <c r="T57" s="23" t="str">
        <v>G7</v>
      </c>
      <c r="U57" s="23">
        <v>1</v>
      </c>
    </row>
    <row r="58" spans="2:21" ht="22.5" customHeight="1">
      <c r="B58" s="32">
        <f t="shared" si="0"/>
        <v>7</v>
      </c>
      <c r="C58" s="32">
        <v>1</v>
      </c>
      <c r="D58" s="30">
        <v>4</v>
      </c>
      <c r="E58" s="31" t="str" cm="1">
        <f t="array" aca="1" ref="E58" ca="1">SUBSTITUTE(CELL("adres",OFFSET(INDIRECT(G58),,H58,1,1)),"$","")</f>
        <v>Q17</v>
      </c>
      <c r="F58" s="103"/>
      <c r="G58" s="33" t="s">
        <v>57</v>
      </c>
      <c r="H58" s="33">
        <v>16</v>
      </c>
      <c r="R58" s="23" t="str">
        <v>P19</v>
      </c>
      <c r="T58" s="23" t="str">
        <v>G9</v>
      </c>
      <c r="U58" s="23">
        <v>1</v>
      </c>
    </row>
    <row r="59" spans="2:21" ht="22.5" customHeight="1">
      <c r="B59" s="32">
        <f t="shared" si="0"/>
        <v>8</v>
      </c>
      <c r="C59" s="32">
        <v>1</v>
      </c>
      <c r="D59" s="30">
        <v>4</v>
      </c>
      <c r="E59" s="31" t="str" cm="1">
        <f t="array" aca="1" ref="E59" ca="1">SUBSTITUTE(CELL("adres",OFFSET(INDIRECT(G59),,H59,1,1)),"$","")</f>
        <v>C4</v>
      </c>
      <c r="F59" s="103"/>
      <c r="G59" s="33" t="s">
        <v>53</v>
      </c>
      <c r="H59" s="33">
        <v>2</v>
      </c>
      <c r="R59" s="23" t="str">
        <v>N18</v>
      </c>
      <c r="T59" s="23" t="str">
        <v>H17</v>
      </c>
      <c r="U59" s="23">
        <v>1</v>
      </c>
    </row>
    <row r="60" spans="2:21" ht="22.5" customHeight="1">
      <c r="B60" s="32">
        <f t="shared" si="0"/>
        <v>9</v>
      </c>
      <c r="C60" s="32">
        <v>1</v>
      </c>
      <c r="D60" s="30">
        <v>4</v>
      </c>
      <c r="E60" s="31" t="str" cm="1">
        <f t="array" aca="1" ref="E60" ca="1">SUBSTITUTE(CELL("adres",OFFSET(INDIRECT(G60),,H60,1,1)),"$","")</f>
        <v>L3</v>
      </c>
      <c r="F60" s="103"/>
      <c r="G60" s="33" t="s">
        <v>56</v>
      </c>
      <c r="H60" s="33">
        <v>11</v>
      </c>
      <c r="R60" s="23" t="str">
        <v>I22</v>
      </c>
      <c r="T60" s="23" t="str">
        <v>H18</v>
      </c>
      <c r="U60" s="23">
        <v>1</v>
      </c>
    </row>
    <row r="61" spans="2:21" ht="22.5" customHeight="1">
      <c r="B61" s="32">
        <f t="shared" si="0"/>
        <v>10</v>
      </c>
      <c r="C61" s="32">
        <v>1</v>
      </c>
      <c r="D61" s="30">
        <v>4</v>
      </c>
      <c r="E61" s="31" t="str" cm="1">
        <f t="array" aca="1" ref="E61" ca="1">SUBSTITUTE(CELL("adres",OFFSET(INDIRECT(G61),,H61,1,1)),"$","")</f>
        <v>O16</v>
      </c>
      <c r="F61" s="103"/>
      <c r="G61" s="33" t="s">
        <v>58</v>
      </c>
      <c r="H61" s="33">
        <v>14</v>
      </c>
      <c r="R61" s="23" t="str">
        <v>R6</v>
      </c>
      <c r="T61" s="23" t="str">
        <v>H3</v>
      </c>
      <c r="U61" s="23">
        <v>1</v>
      </c>
    </row>
    <row r="62" spans="2:21" ht="22.5" customHeight="1">
      <c r="B62" s="32">
        <f t="shared" si="0"/>
        <v>11</v>
      </c>
      <c r="C62" s="32">
        <v>1</v>
      </c>
      <c r="D62" s="30">
        <v>4</v>
      </c>
      <c r="E62" s="31" t="str" cm="1">
        <f t="array" aca="1" ref="E62" ca="1">SUBSTITUTE(CELL("adres",OFFSET(INDIRECT(G62),,H62,1,1)),"$","")</f>
        <v>D7</v>
      </c>
      <c r="F62" s="103"/>
      <c r="G62" s="33" t="s">
        <v>59</v>
      </c>
      <c r="H62" s="33">
        <v>3</v>
      </c>
      <c r="R62" s="23" t="str">
        <v>M25</v>
      </c>
      <c r="T62" s="23" t="str">
        <v>H8</v>
      </c>
      <c r="U62" s="23">
        <v>1</v>
      </c>
    </row>
    <row r="63" spans="2:21" ht="22.5" customHeight="1">
      <c r="B63" s="32">
        <f t="shared" si="0"/>
        <v>12</v>
      </c>
      <c r="C63" s="32">
        <v>1</v>
      </c>
      <c r="D63" s="30">
        <v>4</v>
      </c>
      <c r="E63" s="31" t="str" cm="1">
        <f t="array" aca="1" ref="E63" ca="1">SUBSTITUTE(CELL("adres",OFFSET(INDIRECT(G63),,H63,1,1)),"$","")</f>
        <v>I21</v>
      </c>
      <c r="F63" s="103"/>
      <c r="G63" s="33" t="s">
        <v>60</v>
      </c>
      <c r="H63" s="33">
        <v>8</v>
      </c>
      <c r="R63" s="23" t="str">
        <v>K17</v>
      </c>
      <c r="T63" s="23" t="str">
        <v>I12</v>
      </c>
      <c r="U63" s="23">
        <v>1</v>
      </c>
    </row>
    <row r="64" spans="2:21" ht="22.5" customHeight="1">
      <c r="B64" s="32">
        <f t="shared" si="0"/>
        <v>13</v>
      </c>
      <c r="C64" s="32">
        <v>1</v>
      </c>
      <c r="D64" s="30">
        <v>4</v>
      </c>
      <c r="E64" s="31" t="str" cm="1">
        <f t="array" aca="1" ref="E64" ca="1">SUBSTITUTE(CELL("adres",OFFSET(INDIRECT(G64),,H64,1,1)),"$","")</f>
        <v>D8</v>
      </c>
      <c r="F64" s="103"/>
      <c r="G64" s="33" t="s">
        <v>61</v>
      </c>
      <c r="H64" s="33">
        <v>3</v>
      </c>
      <c r="R64" s="23" t="str">
        <v>G12</v>
      </c>
      <c r="T64" s="23" t="str">
        <v>I22</v>
      </c>
      <c r="U64" s="23">
        <v>1</v>
      </c>
    </row>
    <row r="65" spans="2:21" ht="22.5" customHeight="1">
      <c r="B65" s="32">
        <f t="shared" si="0"/>
        <v>14</v>
      </c>
      <c r="C65" s="32">
        <v>1</v>
      </c>
      <c r="D65" s="30">
        <v>4</v>
      </c>
      <c r="E65" s="31" t="str" cm="1">
        <f t="array" aca="1" ref="E65" ca="1">SUBSTITUTE(CELL("adres",OFFSET(INDIRECT(G65),,H65,1,1)),"$","")</f>
        <v>Q6</v>
      </c>
      <c r="F65" s="103"/>
      <c r="G65" s="33" t="s">
        <v>62</v>
      </c>
      <c r="H65" s="33">
        <v>16</v>
      </c>
      <c r="R65" s="23" t="str">
        <v>R21</v>
      </c>
      <c r="T65" s="23" t="str">
        <v>I4</v>
      </c>
      <c r="U65" s="23">
        <v>1</v>
      </c>
    </row>
    <row r="66" spans="2:21" ht="22.5" customHeight="1">
      <c r="B66" s="32">
        <f t="shared" si="0"/>
        <v>15</v>
      </c>
      <c r="C66" s="32">
        <v>1</v>
      </c>
      <c r="D66" s="30">
        <v>4</v>
      </c>
      <c r="E66" s="31" t="str" cm="1">
        <f t="array" aca="1" ref="E66" ca="1">SUBSTITUTE(CELL("adres",OFFSET(INDIRECT(G66),,H66,1,1)),"$","")</f>
        <v>M22</v>
      </c>
      <c r="F66" s="103"/>
      <c r="G66" s="33" t="s">
        <v>63</v>
      </c>
      <c r="H66" s="33">
        <v>12</v>
      </c>
      <c r="R66" s="23" t="str">
        <v>G9</v>
      </c>
      <c r="T66" s="23" t="str">
        <v>J8</v>
      </c>
      <c r="U66" s="23">
        <v>1</v>
      </c>
    </row>
    <row r="67" spans="2:21" ht="22.5" customHeight="1">
      <c r="B67" s="32">
        <f t="shared" si="0"/>
        <v>16</v>
      </c>
      <c r="C67" s="32">
        <v>1</v>
      </c>
      <c r="D67" s="30">
        <v>4</v>
      </c>
      <c r="E67" s="31" t="str" cm="1">
        <f t="array" aca="1" ref="E67" ca="1">SUBSTITUTE(CELL("adres",OFFSET(INDIRECT(G67),,H67,1,1)),"$","")</f>
        <v>U9</v>
      </c>
      <c r="F67" s="103"/>
      <c r="G67" s="33" t="s">
        <v>64</v>
      </c>
      <c r="H67" s="33">
        <v>20</v>
      </c>
      <c r="R67" s="23" t="str">
        <v>U15</v>
      </c>
      <c r="T67" s="23" t="str">
        <v>J9</v>
      </c>
      <c r="U67" s="23">
        <v>1</v>
      </c>
    </row>
    <row r="68" spans="2:21" ht="22.5" customHeight="1">
      <c r="B68" s="32">
        <f t="shared" si="0"/>
        <v>17</v>
      </c>
      <c r="C68" s="32">
        <v>1</v>
      </c>
      <c r="D68" s="30">
        <v>4</v>
      </c>
      <c r="E68" s="31" t="str" cm="1">
        <f t="array" aca="1" ref="E68" ca="1">SUBSTITUTE(CELL("adres",OFFSET(INDIRECT(G68),,H68,1,1)),"$","")</f>
        <v>C12</v>
      </c>
      <c r="F68" s="103"/>
      <c r="G68" s="33" t="s">
        <v>65</v>
      </c>
      <c r="H68" s="33">
        <v>2</v>
      </c>
      <c r="R68" s="23" t="str">
        <v>H3</v>
      </c>
      <c r="T68" s="23" t="str">
        <v>K14</v>
      </c>
      <c r="U68" s="23">
        <v>1</v>
      </c>
    </row>
    <row r="69" spans="2:21" ht="22.5" customHeight="1">
      <c r="B69" s="32">
        <f t="shared" si="0"/>
        <v>18</v>
      </c>
      <c r="C69" s="32">
        <v>1</v>
      </c>
      <c r="D69" s="30">
        <v>4</v>
      </c>
      <c r="E69" s="31" t="str" cm="1">
        <f t="array" aca="1" ref="E69" ca="1">SUBSTITUTE(CELL("adres",OFFSET(INDIRECT(G69),,H69,1,1)),"$","")</f>
        <v>T25</v>
      </c>
      <c r="F69" s="103"/>
      <c r="G69" s="33" t="s">
        <v>52</v>
      </c>
      <c r="H69" s="33">
        <v>19</v>
      </c>
      <c r="R69" s="23" t="str">
        <v>L12</v>
      </c>
      <c r="T69" s="23" t="str">
        <v>L10</v>
      </c>
      <c r="U69" s="23">
        <v>1</v>
      </c>
    </row>
    <row r="70" spans="2:21" ht="22.5" customHeight="1">
      <c r="B70" s="32">
        <f t="shared" si="0"/>
        <v>19</v>
      </c>
      <c r="C70" s="32">
        <v>1</v>
      </c>
      <c r="D70" s="30">
        <v>4</v>
      </c>
      <c r="E70" s="31" t="str" cm="1">
        <f t="array" aca="1" ref="E70" ca="1">SUBSTITUTE(CELL("adres",OFFSET(INDIRECT(G70),,H70,1,1)),"$","")</f>
        <v>C20</v>
      </c>
      <c r="F70" s="103"/>
      <c r="G70" s="33" t="s">
        <v>66</v>
      </c>
      <c r="H70" s="33">
        <v>2</v>
      </c>
      <c r="R70" s="23" t="str">
        <v>U15</v>
      </c>
      <c r="T70" s="23" t="str">
        <v>L12</v>
      </c>
      <c r="U70" s="23">
        <v>1</v>
      </c>
    </row>
    <row r="71" spans="2:21" ht="22.5" customHeight="1">
      <c r="B71" s="32">
        <f t="shared" si="0"/>
        <v>20</v>
      </c>
      <c r="C71" s="32">
        <v>1</v>
      </c>
      <c r="D71" s="30">
        <v>4</v>
      </c>
      <c r="E71" s="31" t="str" cm="1">
        <f t="array" aca="1" ref="E71" ca="1">SUBSTITUTE(CELL("adres",OFFSET(INDIRECT(G71),,H71,1,1)),"$","")</f>
        <v>N13</v>
      </c>
      <c r="F71" s="103"/>
      <c r="G71" s="33" t="s">
        <v>50</v>
      </c>
      <c r="H71" s="33">
        <v>13</v>
      </c>
      <c r="R71" s="23" t="str">
        <v>H17</v>
      </c>
      <c r="T71" s="23" t="str">
        <v>L8</v>
      </c>
      <c r="U71" s="23">
        <v>1</v>
      </c>
    </row>
    <row r="72" spans="2:21" ht="15" customHeight="1" thickBot="1">
      <c r="R72" s="23" t="str">
        <v>G25</v>
      </c>
      <c r="T72" s="23" t="str">
        <v>M12</v>
      </c>
      <c r="U72" s="23">
        <v>1</v>
      </c>
    </row>
    <row r="73" spans="2:21" ht="22.5" customHeight="1" thickBot="1">
      <c r="B73" s="102" t="s">
        <v>67</v>
      </c>
      <c r="C73" s="36" t="s">
        <v>32</v>
      </c>
      <c r="D73" s="83" t="s">
        <v>68</v>
      </c>
      <c r="R73" s="23" t="str">
        <v>P2</v>
      </c>
      <c r="T73" s="23" t="str">
        <v>M25</v>
      </c>
      <c r="U73" s="23">
        <v>1</v>
      </c>
    </row>
    <row r="74" spans="2:21" s="75" customFormat="1" ht="15" customHeight="1">
      <c r="B74" s="74"/>
      <c r="C74" s="74"/>
      <c r="D74" s="74"/>
      <c r="E74" s="74"/>
      <c r="F74" s="74"/>
      <c r="G74" s="74"/>
      <c r="H74" s="74"/>
      <c r="R74" s="75" t="str">
        <v>S21</v>
      </c>
      <c r="T74" s="75" t="str">
        <v>M9</v>
      </c>
      <c r="U74" s="75">
        <v>1</v>
      </c>
    </row>
    <row r="75" spans="2:21" s="75" customFormat="1" ht="15" customHeight="1">
      <c r="B75" s="76" t="s">
        <v>69</v>
      </c>
      <c r="C75" s="74"/>
      <c r="D75" s="74"/>
      <c r="E75" s="74"/>
      <c r="F75" s="74"/>
      <c r="G75" s="74"/>
      <c r="H75" s="74"/>
      <c r="R75" s="75" t="str">
        <v>D24</v>
      </c>
      <c r="T75" s="75" t="str">
        <v>N16</v>
      </c>
      <c r="U75" s="75">
        <v>1</v>
      </c>
    </row>
    <row r="76" spans="2:21" s="75" customFormat="1" ht="15" customHeight="1">
      <c r="B76" s="72" t="s">
        <v>70</v>
      </c>
      <c r="C76" s="76"/>
      <c r="D76" s="74"/>
      <c r="E76" s="74"/>
      <c r="F76" s="74"/>
      <c r="G76" s="73"/>
      <c r="H76" s="73"/>
      <c r="R76" s="75" t="str">
        <v>K14</v>
      </c>
      <c r="T76" s="75" t="str">
        <v>N18</v>
      </c>
      <c r="U76" s="75">
        <v>1</v>
      </c>
    </row>
    <row r="77" spans="2:21" s="75" customFormat="1" ht="15" customHeight="1">
      <c r="B77" s="73"/>
      <c r="C77" s="74"/>
      <c r="D77" s="74"/>
      <c r="E77" s="74"/>
      <c r="F77" s="74"/>
      <c r="G77" s="73"/>
      <c r="H77" s="73"/>
      <c r="R77" s="75" t="str">
        <v>M13</v>
      </c>
      <c r="T77" s="75" t="str">
        <v>N19</v>
      </c>
      <c r="U77" s="75">
        <v>1</v>
      </c>
    </row>
    <row r="78" spans="2:21" s="75" customFormat="1" ht="15" customHeight="1">
      <c r="B78" s="72" t="s">
        <v>71</v>
      </c>
      <c r="C78" s="74"/>
      <c r="D78" s="74"/>
      <c r="E78" s="74"/>
      <c r="F78" s="74"/>
      <c r="G78" s="73"/>
      <c r="H78" s="73"/>
      <c r="R78" s="75" t="str">
        <v>E7</v>
      </c>
      <c r="T78" s="75" t="str">
        <v>N2</v>
      </c>
      <c r="U78" s="75">
        <v>1</v>
      </c>
    </row>
    <row r="79" spans="2:21" s="75" customFormat="1" ht="15" customHeight="1">
      <c r="B79" s="76" t="s">
        <v>72</v>
      </c>
      <c r="C79" s="74"/>
      <c r="D79" s="74"/>
      <c r="E79" s="74"/>
      <c r="F79" s="74"/>
      <c r="G79" s="73"/>
      <c r="H79" s="73"/>
      <c r="R79" s="75" t="str">
        <v>D10</v>
      </c>
      <c r="T79" s="75" t="str">
        <v>N7</v>
      </c>
      <c r="U79" s="75">
        <v>1</v>
      </c>
    </row>
    <row r="80" spans="2:21" s="75" customFormat="1" ht="15" customHeight="1">
      <c r="B80" s="76" t="s">
        <v>73</v>
      </c>
      <c r="C80" s="74"/>
      <c r="D80" s="74"/>
      <c r="E80" s="74"/>
      <c r="F80" s="74"/>
      <c r="G80" s="73"/>
      <c r="H80" s="73"/>
      <c r="R80" s="75" t="str">
        <v>F11</v>
      </c>
      <c r="T80" s="75" t="str">
        <v>O23</v>
      </c>
      <c r="U80" s="75">
        <v>1</v>
      </c>
    </row>
    <row r="81" spans="2:21" s="75" customFormat="1" ht="15" customHeight="1">
      <c r="B81" s="76" t="s">
        <v>74</v>
      </c>
      <c r="C81" s="74"/>
      <c r="D81" s="74"/>
      <c r="E81" s="74"/>
      <c r="F81" s="74"/>
      <c r="G81" s="73"/>
      <c r="H81" s="73"/>
      <c r="R81" s="75" t="str">
        <v>U2</v>
      </c>
      <c r="T81" s="75" t="str">
        <v>O24</v>
      </c>
      <c r="U81" s="75">
        <v>1</v>
      </c>
    </row>
    <row r="82" spans="2:21" s="75" customFormat="1" ht="15" customHeight="1">
      <c r="C82" s="78"/>
      <c r="D82" s="74"/>
      <c r="E82" s="74"/>
      <c r="F82" s="74"/>
      <c r="G82" s="73"/>
      <c r="H82" s="73"/>
      <c r="R82" s="75" t="str">
        <v>T8</v>
      </c>
      <c r="T82" s="75" t="str">
        <v>P13</v>
      </c>
      <c r="U82" s="75">
        <v>1</v>
      </c>
    </row>
    <row r="83" spans="2:21" s="75" customFormat="1" ht="15" customHeight="1">
      <c r="B83" s="99" t="s">
        <v>40</v>
      </c>
      <c r="C83" s="74"/>
      <c r="D83" s="74"/>
      <c r="E83" s="74"/>
      <c r="F83" s="74"/>
      <c r="G83" s="73"/>
      <c r="H83" s="73"/>
      <c r="R83" s="75" t="str">
        <v>S8</v>
      </c>
      <c r="T83" s="75" t="str">
        <v>P19</v>
      </c>
      <c r="U83" s="75">
        <v>1</v>
      </c>
    </row>
    <row r="84" spans="2:21" s="75" customFormat="1" ht="15" customHeight="1">
      <c r="B84" s="100" t="s">
        <v>75</v>
      </c>
      <c r="C84" s="77"/>
      <c r="D84" s="74"/>
      <c r="E84" s="74"/>
      <c r="F84" s="74"/>
      <c r="G84" s="73"/>
      <c r="H84" s="73"/>
      <c r="R84" s="75" t="str">
        <v>J8</v>
      </c>
      <c r="T84" s="75" t="str">
        <v>P2</v>
      </c>
      <c r="U84" s="75">
        <v>1</v>
      </c>
    </row>
    <row r="85" spans="2:21" s="75" customFormat="1" ht="15" customHeight="1">
      <c r="B85" s="100" t="s">
        <v>76</v>
      </c>
      <c r="C85" s="77"/>
      <c r="D85" s="74"/>
      <c r="E85" s="74"/>
      <c r="F85" s="74"/>
      <c r="G85" s="73"/>
      <c r="H85" s="73"/>
      <c r="R85" s="75" t="str">
        <v>K25</v>
      </c>
      <c r="T85" s="75" t="str">
        <v>P22</v>
      </c>
      <c r="U85" s="75">
        <v>1</v>
      </c>
    </row>
    <row r="86" spans="2:21" s="75" customFormat="1" ht="15" customHeight="1">
      <c r="B86" s="100" t="s">
        <v>77</v>
      </c>
      <c r="C86" s="77"/>
      <c r="D86" s="74"/>
      <c r="E86" s="74"/>
      <c r="F86" s="74"/>
      <c r="G86" s="73"/>
      <c r="H86" s="73"/>
      <c r="R86" s="75" t="str">
        <v>B5</v>
      </c>
      <c r="T86" s="75" t="str">
        <v>P25</v>
      </c>
      <c r="U86" s="75">
        <v>1</v>
      </c>
    </row>
    <row r="87" spans="2:21" s="75" customFormat="1" ht="15" customHeight="1" thickBot="1">
      <c r="B87" s="72"/>
      <c r="C87" s="74"/>
      <c r="D87" s="74"/>
      <c r="E87" s="74"/>
      <c r="F87" s="74"/>
      <c r="G87" s="74"/>
      <c r="H87" s="74"/>
      <c r="R87" s="75" t="str">
        <v>D12</v>
      </c>
      <c r="T87" s="75" t="str">
        <v>P6</v>
      </c>
      <c r="U87" s="75">
        <v>1</v>
      </c>
    </row>
    <row r="88" spans="2:21" s="75" customFormat="1" ht="22.5" customHeight="1" thickBot="1">
      <c r="B88" s="93" t="s">
        <v>44</v>
      </c>
      <c r="C88" s="94" t="s">
        <v>45</v>
      </c>
      <c r="D88" s="95" t="s">
        <v>16</v>
      </c>
      <c r="E88" s="96" t="s">
        <v>17</v>
      </c>
      <c r="F88" s="74"/>
      <c r="G88" s="94" t="s">
        <v>46</v>
      </c>
      <c r="H88" s="94" t="s">
        <v>47</v>
      </c>
      <c r="R88" s="75" t="str">
        <v>I12</v>
      </c>
      <c r="T88" s="75" t="str">
        <v>P7</v>
      </c>
      <c r="U88" s="75">
        <v>1</v>
      </c>
    </row>
    <row r="89" spans="2:21" ht="15" customHeight="1">
      <c r="B89" s="23"/>
      <c r="C89" s="23"/>
      <c r="D89" s="23"/>
      <c r="E89" s="23"/>
      <c r="G89" s="24"/>
      <c r="R89" s="23" t="str">
        <v>R11</v>
      </c>
      <c r="T89" s="23" t="str">
        <v>Q11</v>
      </c>
      <c r="U89" s="23">
        <v>1</v>
      </c>
    </row>
    <row r="90" spans="2:21" ht="22.5" customHeight="1">
      <c r="B90" s="32" t="s">
        <v>78</v>
      </c>
      <c r="C90" s="29">
        <v>2</v>
      </c>
      <c r="D90" s="30">
        <v>0</v>
      </c>
      <c r="E90" s="31" t="s">
        <v>79</v>
      </c>
      <c r="F90" s="103"/>
      <c r="G90" s="33" t="s">
        <v>80</v>
      </c>
      <c r="H90" s="33">
        <v>8</v>
      </c>
      <c r="R90" s="23" t="str">
        <v>B2</v>
      </c>
      <c r="T90" s="23" t="str">
        <v>Q18</v>
      </c>
      <c r="U90" s="23">
        <v>1</v>
      </c>
    </row>
    <row r="91" spans="2:21" ht="15" customHeight="1">
      <c r="B91" s="23"/>
      <c r="C91" s="23"/>
      <c r="D91" s="23"/>
      <c r="E91" s="23"/>
      <c r="R91" s="23" t="str">
        <v>U10</v>
      </c>
      <c r="T91" s="23" t="str">
        <v>Q2</v>
      </c>
      <c r="U91" s="23">
        <v>1</v>
      </c>
    </row>
    <row r="92" spans="2:21" ht="22.5" customHeight="1">
      <c r="B92" s="32">
        <v>21</v>
      </c>
      <c r="C92" s="32">
        <v>2</v>
      </c>
      <c r="D92" s="30">
        <v>4</v>
      </c>
      <c r="E92" s="31" t="str" cm="1">
        <f t="array" aca="1" ref="E92" ca="1">SUBSTITUTE(CELL("adres",OFFSET(INDIRECT(G92),,-H92,1,1)),"$","")</f>
        <v>D12</v>
      </c>
      <c r="F92" s="103"/>
      <c r="G92" s="33" t="s">
        <v>81</v>
      </c>
      <c r="H92" s="33">
        <v>18</v>
      </c>
      <c r="R92" s="23" t="str">
        <v>U20</v>
      </c>
      <c r="T92" s="23" t="str">
        <v>R11</v>
      </c>
      <c r="U92" s="23">
        <v>1</v>
      </c>
    </row>
    <row r="93" spans="2:21" ht="22.5" customHeight="1">
      <c r="B93" s="32">
        <f>B92+1</f>
        <v>22</v>
      </c>
      <c r="C93" s="32">
        <v>2</v>
      </c>
      <c r="D93" s="30">
        <v>4</v>
      </c>
      <c r="E93" s="31" t="str" cm="1">
        <f t="array" aca="1" ref="E93" ca="1">SUBSTITUTE(CELL("adres",OFFSET(INDIRECT(G93),,-H93,1,1)),"$","")</f>
        <v>G16</v>
      </c>
      <c r="F93" s="103"/>
      <c r="G93" s="33" t="s">
        <v>82</v>
      </c>
      <c r="H93" s="33">
        <v>15</v>
      </c>
      <c r="R93" s="23" t="str">
        <v>U13</v>
      </c>
      <c r="T93" s="23" t="str">
        <v>R23</v>
      </c>
      <c r="U93" s="23">
        <v>1</v>
      </c>
    </row>
    <row r="94" spans="2:21" ht="22.5" customHeight="1">
      <c r="B94" s="32">
        <f>B93+1</f>
        <v>23</v>
      </c>
      <c r="C94" s="32">
        <v>2</v>
      </c>
      <c r="D94" s="30">
        <v>4</v>
      </c>
      <c r="E94" s="31" t="str" cm="1">
        <f t="array" aca="1" ref="E94" ca="1">SUBSTITUTE(CELL("adres",OFFSET(INDIRECT(G94),,-H94,1,1)),"$","")</f>
        <v>O21</v>
      </c>
      <c r="F94" s="103"/>
      <c r="G94" s="33" t="s">
        <v>83</v>
      </c>
      <c r="H94" s="33">
        <v>7</v>
      </c>
      <c r="R94" s="23" t="str">
        <v>P25</v>
      </c>
      <c r="T94" s="23" t="str">
        <v>R25</v>
      </c>
      <c r="U94" s="23">
        <v>1</v>
      </c>
    </row>
    <row r="95" spans="2:21" ht="22.5" customHeight="1">
      <c r="B95" s="32">
        <f t="shared" ref="B95:B111" si="1">B94+1</f>
        <v>24</v>
      </c>
      <c r="C95" s="32">
        <v>2</v>
      </c>
      <c r="D95" s="30">
        <v>4</v>
      </c>
      <c r="E95" s="31" t="str" cm="1">
        <f t="array" aca="1" ref="E95" ca="1">SUBSTITUTE(CELL("adres",OFFSET(INDIRECT(G95),,-H95,1,1)),"$","")</f>
        <v>L6</v>
      </c>
      <c r="F95" s="103"/>
      <c r="G95" s="33" t="s">
        <v>80</v>
      </c>
      <c r="H95" s="33">
        <v>10</v>
      </c>
      <c r="R95" s="23" t="str">
        <v>U25</v>
      </c>
      <c r="T95" s="23" t="str">
        <v>R6</v>
      </c>
      <c r="U95" s="23">
        <v>1</v>
      </c>
    </row>
    <row r="96" spans="2:21" ht="22.5" customHeight="1">
      <c r="B96" s="32">
        <f t="shared" si="1"/>
        <v>25</v>
      </c>
      <c r="C96" s="32">
        <v>2</v>
      </c>
      <c r="D96" s="30">
        <v>4</v>
      </c>
      <c r="E96" s="31" t="str" cm="1">
        <f t="array" aca="1" ref="E96" ca="1">SUBSTITUTE(CELL("adres",OFFSET(INDIRECT(G96),,-H96,1,1)),"$","")</f>
        <v>Q26</v>
      </c>
      <c r="F96" s="103"/>
      <c r="G96" s="33" t="s">
        <v>84</v>
      </c>
      <c r="H96" s="33">
        <v>5</v>
      </c>
      <c r="R96" s="23" t="str">
        <v>R23</v>
      </c>
      <c r="T96" s="23" t="str">
        <v>R7</v>
      </c>
      <c r="U96" s="23">
        <v>1</v>
      </c>
    </row>
    <row r="97" spans="2:21" ht="22.5" customHeight="1">
      <c r="B97" s="32">
        <f t="shared" si="1"/>
        <v>26</v>
      </c>
      <c r="C97" s="32">
        <v>2</v>
      </c>
      <c r="D97" s="30">
        <v>4</v>
      </c>
      <c r="E97" s="31" t="str" cm="1">
        <f t="array" aca="1" ref="E97" ca="1">SUBSTITUTE(CELL("adres",OFFSET(INDIRECT(G97),,-H97,1,1)),"$","")</f>
        <v>F25</v>
      </c>
      <c r="F97" s="103"/>
      <c r="G97" s="33" t="s">
        <v>85</v>
      </c>
      <c r="H97" s="33">
        <v>16</v>
      </c>
      <c r="R97" s="23" t="str">
        <v>K17</v>
      </c>
      <c r="T97" s="23" t="str">
        <v>S10</v>
      </c>
      <c r="U97" s="23">
        <v>1</v>
      </c>
    </row>
    <row r="98" spans="2:21" ht="22.5" customHeight="1">
      <c r="B98" s="32">
        <f t="shared" si="1"/>
        <v>27</v>
      </c>
      <c r="C98" s="32">
        <v>2</v>
      </c>
      <c r="D98" s="30">
        <v>4</v>
      </c>
      <c r="E98" s="31" t="str" cm="1">
        <f t="array" aca="1" ref="E98" ca="1">SUBSTITUTE(CELL("adres",OFFSET(INDIRECT(G98),,-H98,1,1)),"$","")</f>
        <v>M26</v>
      </c>
      <c r="F98" s="103"/>
      <c r="G98" s="33" t="s">
        <v>84</v>
      </c>
      <c r="H98" s="33">
        <v>9</v>
      </c>
      <c r="R98" s="23" t="str">
        <v>C12</v>
      </c>
      <c r="T98" s="23" t="str">
        <v>S12</v>
      </c>
      <c r="U98" s="23">
        <v>1</v>
      </c>
    </row>
    <row r="99" spans="2:21" ht="22.5" customHeight="1">
      <c r="B99" s="32">
        <f t="shared" si="1"/>
        <v>28</v>
      </c>
      <c r="C99" s="32">
        <v>2</v>
      </c>
      <c r="D99" s="30">
        <v>4</v>
      </c>
      <c r="E99" s="31" t="str" cm="1">
        <f t="array" aca="1" ref="E99" ca="1">SUBSTITUTE(CELL("adres",OFFSET(INDIRECT(G99),,-H99,1,1)),"$","")</f>
        <v>F25</v>
      </c>
      <c r="F99" s="103"/>
      <c r="G99" s="33" t="s">
        <v>85</v>
      </c>
      <c r="H99" s="33">
        <v>16</v>
      </c>
      <c r="R99" s="23" t="str">
        <v>H18</v>
      </c>
      <c r="T99" s="23" t="str">
        <v>S15</v>
      </c>
      <c r="U99" s="23">
        <v>1</v>
      </c>
    </row>
    <row r="100" spans="2:21" ht="22.5" customHeight="1">
      <c r="B100" s="32">
        <f t="shared" si="1"/>
        <v>29</v>
      </c>
      <c r="C100" s="32">
        <v>2</v>
      </c>
      <c r="D100" s="30">
        <v>4</v>
      </c>
      <c r="E100" s="31" t="str" cm="1">
        <f t="array" aca="1" ref="E100" ca="1">SUBSTITUTE(CELL("adres",OFFSET(INDIRECT(G100),,-H100,1,1)),"$","")</f>
        <v>B17</v>
      </c>
      <c r="F100" s="103"/>
      <c r="G100" s="33" t="s">
        <v>86</v>
      </c>
      <c r="H100" s="33">
        <v>20</v>
      </c>
      <c r="R100" s="23" t="str">
        <v>Q18</v>
      </c>
      <c r="T100" s="23" t="str">
        <v>S20</v>
      </c>
      <c r="U100" s="23">
        <v>1</v>
      </c>
    </row>
    <row r="101" spans="2:21" ht="22.5" customHeight="1">
      <c r="B101" s="32">
        <f t="shared" si="1"/>
        <v>30</v>
      </c>
      <c r="C101" s="32">
        <v>2</v>
      </c>
      <c r="D101" s="30">
        <v>4</v>
      </c>
      <c r="E101" s="31" t="str" cm="1">
        <f t="array" aca="1" ref="E101" ca="1">SUBSTITUTE(CELL("adres",OFFSET(INDIRECT(G101),,-H101,1,1)),"$","")</f>
        <v>D8</v>
      </c>
      <c r="F101" s="103"/>
      <c r="G101" s="33" t="s">
        <v>87</v>
      </c>
      <c r="H101" s="33">
        <v>18</v>
      </c>
      <c r="R101" s="23" t="str">
        <v>F14</v>
      </c>
      <c r="T101" s="23" t="str">
        <v>S21</v>
      </c>
      <c r="U101" s="23">
        <v>1</v>
      </c>
    </row>
    <row r="102" spans="2:21" ht="22.5" customHeight="1">
      <c r="B102" s="32">
        <f t="shared" si="1"/>
        <v>31</v>
      </c>
      <c r="C102" s="32">
        <v>2</v>
      </c>
      <c r="D102" s="30">
        <v>4</v>
      </c>
      <c r="E102" s="31" t="str" cm="1">
        <f t="array" aca="1" ref="E102" ca="1">SUBSTITUTE(CELL("adres",OFFSET(INDIRECT(G102),,-H102,1,1)),"$","")</f>
        <v>N9</v>
      </c>
      <c r="F102" s="103"/>
      <c r="G102" s="33" t="s">
        <v>88</v>
      </c>
      <c r="H102" s="33">
        <v>8</v>
      </c>
      <c r="R102" s="23" t="str">
        <v>C25</v>
      </c>
      <c r="T102" s="23" t="str">
        <v>S8</v>
      </c>
      <c r="U102" s="23">
        <v>1</v>
      </c>
    </row>
    <row r="103" spans="2:21" ht="22.5" customHeight="1">
      <c r="B103" s="32">
        <f t="shared" si="1"/>
        <v>32</v>
      </c>
      <c r="C103" s="32">
        <v>2</v>
      </c>
      <c r="D103" s="30">
        <v>4</v>
      </c>
      <c r="E103" s="31" t="str" cm="1">
        <f t="array" aca="1" ref="E103" ca="1">SUBSTITUTE(CELL("adres",OFFSET(INDIRECT(G103),,-H103,1,1)),"$","")</f>
        <v>R8</v>
      </c>
      <c r="F103" s="103"/>
      <c r="G103" s="33" t="s">
        <v>87</v>
      </c>
      <c r="H103" s="33">
        <v>4</v>
      </c>
      <c r="R103" s="23" t="str">
        <v>K17</v>
      </c>
      <c r="T103" s="23" t="str">
        <v>T22</v>
      </c>
      <c r="U103" s="23">
        <v>1</v>
      </c>
    </row>
    <row r="104" spans="2:21" ht="22.5" customHeight="1">
      <c r="B104" s="32">
        <f t="shared" si="1"/>
        <v>33</v>
      </c>
      <c r="C104" s="32">
        <v>2</v>
      </c>
      <c r="D104" s="30">
        <v>4</v>
      </c>
      <c r="E104" s="31" t="str" cm="1">
        <f t="array" aca="1" ref="E104" ca="1">SUBSTITUTE(CELL("adres",OFFSET(INDIRECT(G104),,-H104,1,1)),"$","")</f>
        <v>P22</v>
      </c>
      <c r="F104" s="103"/>
      <c r="G104" s="33" t="s">
        <v>89</v>
      </c>
      <c r="H104" s="33">
        <v>6</v>
      </c>
      <c r="R104" s="23" t="str">
        <v>N2</v>
      </c>
      <c r="T104" s="23" t="str">
        <v>T8</v>
      </c>
      <c r="U104" s="23">
        <v>1</v>
      </c>
    </row>
    <row r="105" spans="2:21" ht="22.5" customHeight="1">
      <c r="B105" s="32">
        <f t="shared" si="1"/>
        <v>34</v>
      </c>
      <c r="C105" s="32">
        <v>2</v>
      </c>
      <c r="D105" s="30">
        <v>4</v>
      </c>
      <c r="E105" s="31" t="str" cm="1">
        <f t="array" aca="1" ref="E105" ca="1">SUBSTITUTE(CELL("adres",OFFSET(INDIRECT(G105),,-H105,1,1)),"$","")</f>
        <v>B24</v>
      </c>
      <c r="F105" s="103"/>
      <c r="G105" s="33" t="s">
        <v>90</v>
      </c>
      <c r="H105" s="33">
        <v>20</v>
      </c>
      <c r="R105" s="23" t="str">
        <v>U7</v>
      </c>
      <c r="T105" s="23" t="str">
        <v>T9</v>
      </c>
      <c r="U105" s="23">
        <v>1</v>
      </c>
    </row>
    <row r="106" spans="2:21" ht="22.5" customHeight="1">
      <c r="B106" s="32">
        <f t="shared" si="1"/>
        <v>35</v>
      </c>
      <c r="C106" s="32">
        <v>2</v>
      </c>
      <c r="D106" s="30">
        <v>4</v>
      </c>
      <c r="E106" s="31" t="str" cm="1">
        <f t="array" aca="1" ref="E106" ca="1">SUBSTITUTE(CELL("adres",OFFSET(INDIRECT(G106),,-H106,1,1)),"$","")</f>
        <v>J12</v>
      </c>
      <c r="F106" s="103"/>
      <c r="G106" s="33" t="s">
        <v>81</v>
      </c>
      <c r="H106" s="33">
        <v>12</v>
      </c>
      <c r="R106" s="23" t="str">
        <v>C21</v>
      </c>
      <c r="T106" s="23" t="str">
        <v>U10</v>
      </c>
      <c r="U106" s="23">
        <v>1</v>
      </c>
    </row>
    <row r="107" spans="2:21" ht="22.5" customHeight="1">
      <c r="B107" s="32">
        <f t="shared" si="1"/>
        <v>36</v>
      </c>
      <c r="C107" s="32">
        <v>2</v>
      </c>
      <c r="D107" s="30">
        <v>4</v>
      </c>
      <c r="E107" s="31" t="str" cm="1">
        <f t="array" aca="1" ref="E107" ca="1">SUBSTITUTE(CELL("adres",OFFSET(INDIRECT(G107),,-H107,1,1)),"$","")</f>
        <v>T3</v>
      </c>
      <c r="F107" s="103"/>
      <c r="G107" s="33" t="s">
        <v>91</v>
      </c>
      <c r="H107" s="33">
        <v>2</v>
      </c>
      <c r="R107" s="23" t="str">
        <v>B10</v>
      </c>
      <c r="T107" s="23" t="str">
        <v>U12</v>
      </c>
      <c r="U107" s="23">
        <v>1</v>
      </c>
    </row>
    <row r="108" spans="2:21" ht="22.5" customHeight="1">
      <c r="B108" s="32">
        <f t="shared" si="1"/>
        <v>37</v>
      </c>
      <c r="C108" s="32">
        <v>2</v>
      </c>
      <c r="D108" s="30">
        <v>4</v>
      </c>
      <c r="E108" s="31" t="str" cm="1">
        <f t="array" aca="1" ref="E108" ca="1">SUBSTITUTE(CELL("adres",OFFSET(INDIRECT(G108),,-H108,1,1)),"$","")</f>
        <v>P9</v>
      </c>
      <c r="F108" s="103"/>
      <c r="G108" s="33" t="s">
        <v>88</v>
      </c>
      <c r="H108" s="33">
        <v>6</v>
      </c>
      <c r="R108" s="23" t="str">
        <v>L8</v>
      </c>
      <c r="T108" s="23" t="str">
        <v>U19</v>
      </c>
      <c r="U108" s="23">
        <v>1</v>
      </c>
    </row>
    <row r="109" spans="2:21" ht="22.5" customHeight="1">
      <c r="B109" s="32">
        <f t="shared" si="1"/>
        <v>38</v>
      </c>
      <c r="C109" s="32">
        <v>2</v>
      </c>
      <c r="D109" s="30">
        <v>4</v>
      </c>
      <c r="E109" s="31" t="str" cm="1">
        <f t="array" aca="1" ref="E109" ca="1">SUBSTITUTE(CELL("adres",OFFSET(INDIRECT(G109),,-H109,1,1)),"$","")</f>
        <v>G5</v>
      </c>
      <c r="F109" s="103"/>
      <c r="G109" s="33" t="s">
        <v>92</v>
      </c>
      <c r="H109" s="33">
        <v>15</v>
      </c>
      <c r="R109" s="23" t="str">
        <v>K25</v>
      </c>
      <c r="T109" s="23" t="str">
        <v>U2</v>
      </c>
      <c r="U109" s="23">
        <v>1</v>
      </c>
    </row>
    <row r="110" spans="2:21" ht="22.5" customHeight="1">
      <c r="B110" s="32">
        <f t="shared" si="1"/>
        <v>39</v>
      </c>
      <c r="C110" s="32">
        <v>2</v>
      </c>
      <c r="D110" s="30">
        <v>4</v>
      </c>
      <c r="E110" s="31" t="str" cm="1">
        <f t="array" aca="1" ref="E110" ca="1">SUBSTITUTE(CELL("adres",OFFSET(INDIRECT(G110),,-H110,1,1)),"$","")</f>
        <v>J10</v>
      </c>
      <c r="F110" s="103"/>
      <c r="G110" s="33" t="s">
        <v>93</v>
      </c>
      <c r="H110" s="33">
        <v>12</v>
      </c>
      <c r="R110" s="23" t="str">
        <v>R21</v>
      </c>
      <c r="T110" s="23" t="str">
        <v>U20</v>
      </c>
      <c r="U110" s="23">
        <v>1</v>
      </c>
    </row>
    <row r="111" spans="2:21" ht="22.5" customHeight="1">
      <c r="B111" s="32">
        <f t="shared" si="1"/>
        <v>40</v>
      </c>
      <c r="C111" s="32">
        <v>2</v>
      </c>
      <c r="D111" s="30">
        <v>4</v>
      </c>
      <c r="E111" s="31" t="str" cm="1">
        <f t="array" aca="1" ref="E111" ca="1">SUBSTITUTE(CELL("adres",OFFSET(INDIRECT(G111),,-H111,1,1)),"$","")</f>
        <v>S17</v>
      </c>
      <c r="F111" s="103"/>
      <c r="G111" s="33" t="s">
        <v>86</v>
      </c>
      <c r="H111" s="33">
        <v>3</v>
      </c>
      <c r="R111" s="23" t="str">
        <v>R7</v>
      </c>
      <c r="T111" s="23" t="str">
        <v>U22</v>
      </c>
      <c r="U111" s="23">
        <v>1</v>
      </c>
    </row>
    <row r="112" spans="2:21">
      <c r="R112" s="23" t="str">
        <v>T22</v>
      </c>
      <c r="T112" s="23" t="str">
        <v>U25</v>
      </c>
      <c r="U112" s="23">
        <v>1</v>
      </c>
    </row>
    <row r="113" spans="2:21" ht="22.5" customHeight="1" thickBot="1">
      <c r="B113" s="102" t="s">
        <v>94</v>
      </c>
      <c r="C113" s="37" t="s">
        <v>95</v>
      </c>
      <c r="D113" s="83" t="s">
        <v>96</v>
      </c>
      <c r="R113" s="23" t="str">
        <v>Q2</v>
      </c>
      <c r="T113" s="23" t="str">
        <v>U7</v>
      </c>
      <c r="U113" s="23">
        <v>1</v>
      </c>
    </row>
    <row r="114" spans="2:21" s="75" customFormat="1" ht="15" customHeight="1">
      <c r="B114" s="74"/>
      <c r="C114" s="74"/>
      <c r="D114" s="74"/>
      <c r="R114" s="75" t="str">
        <v>P6</v>
      </c>
    </row>
    <row r="115" spans="2:21" s="75" customFormat="1" ht="15" customHeight="1">
      <c r="B115" s="80" t="s">
        <v>97</v>
      </c>
      <c r="C115" s="76"/>
      <c r="D115" s="74"/>
      <c r="R115" s="75" t="str">
        <v>U12</v>
      </c>
    </row>
    <row r="116" spans="2:21" s="75" customFormat="1" ht="15" customHeight="1">
      <c r="B116" s="76" t="s">
        <v>98</v>
      </c>
      <c r="C116" s="76"/>
      <c r="D116" s="74"/>
      <c r="R116" s="75" t="str">
        <v>S20</v>
      </c>
    </row>
    <row r="117" spans="2:21" s="75" customFormat="1" ht="15" customHeight="1">
      <c r="B117" s="76" t="s">
        <v>99</v>
      </c>
      <c r="C117" s="76"/>
      <c r="D117" s="74"/>
      <c r="R117" s="75" t="str">
        <v>E2</v>
      </c>
    </row>
    <row r="118" spans="2:21" s="75" customFormat="1" ht="15" customHeight="1">
      <c r="B118" s="84" t="s">
        <v>35</v>
      </c>
      <c r="C118" s="76"/>
      <c r="D118" s="74"/>
      <c r="R118" s="75" t="str">
        <v>D21</v>
      </c>
    </row>
    <row r="119" spans="2:21" s="75" customFormat="1" ht="15" customHeight="1">
      <c r="C119" s="74"/>
      <c r="D119" s="74"/>
      <c r="R119" s="75" t="str">
        <v>F15</v>
      </c>
    </row>
    <row r="120" spans="2:21" s="75" customFormat="1" ht="15" customHeight="1">
      <c r="B120" s="72" t="s">
        <v>100</v>
      </c>
      <c r="C120" s="74"/>
      <c r="D120" s="74"/>
      <c r="R120" s="75" t="str">
        <v>E14</v>
      </c>
    </row>
    <row r="121" spans="2:21" s="75" customFormat="1" ht="15" customHeight="1">
      <c r="B121" s="76" t="s">
        <v>101</v>
      </c>
      <c r="C121" s="74"/>
      <c r="D121" s="74"/>
      <c r="R121" s="75" t="str">
        <v>T9</v>
      </c>
    </row>
    <row r="122" spans="2:21" s="75" customFormat="1" ht="15" customHeight="1">
      <c r="B122" s="76" t="s">
        <v>102</v>
      </c>
      <c r="C122" s="74"/>
      <c r="D122" s="74"/>
      <c r="R122" s="75" t="str">
        <v>M13</v>
      </c>
    </row>
    <row r="123" spans="2:21" s="75" customFormat="1" ht="15" customHeight="1">
      <c r="B123" s="76" t="s">
        <v>103</v>
      </c>
      <c r="C123" s="74"/>
      <c r="D123" s="74"/>
      <c r="R123" s="75" t="str">
        <v>F25</v>
      </c>
    </row>
    <row r="124" spans="2:21" s="75" customFormat="1" ht="15" customHeight="1">
      <c r="C124" s="78"/>
      <c r="D124" s="74"/>
      <c r="R124" s="75" t="str">
        <v>D7</v>
      </c>
    </row>
    <row r="125" spans="2:21" s="75" customFormat="1" ht="15" customHeight="1">
      <c r="B125" s="99" t="s">
        <v>40</v>
      </c>
      <c r="C125" s="74"/>
      <c r="D125" s="74"/>
      <c r="R125" s="75" t="str">
        <v>N16</v>
      </c>
    </row>
    <row r="126" spans="2:21" s="75" customFormat="1" ht="15" customHeight="1">
      <c r="B126" s="100" t="s">
        <v>104</v>
      </c>
      <c r="C126" s="77"/>
      <c r="D126" s="74"/>
    </row>
    <row r="127" spans="2:21" s="75" customFormat="1" ht="15" customHeight="1">
      <c r="B127" s="100" t="s">
        <v>105</v>
      </c>
      <c r="C127" s="77"/>
      <c r="D127" s="74"/>
    </row>
    <row r="128" spans="2:21" s="75" customFormat="1" ht="15" customHeight="1">
      <c r="B128" s="100" t="s">
        <v>106</v>
      </c>
      <c r="C128" s="77"/>
      <c r="D128" s="74"/>
    </row>
    <row r="130" spans="2:8" s="75" customFormat="1" ht="22.5" customHeight="1" thickBot="1">
      <c r="B130" s="93" t="s">
        <v>44</v>
      </c>
      <c r="C130" s="94" t="s">
        <v>45</v>
      </c>
      <c r="D130" s="95" t="s">
        <v>16</v>
      </c>
      <c r="E130" s="96" t="s">
        <v>17</v>
      </c>
      <c r="F130" s="74"/>
      <c r="G130" s="94" t="s">
        <v>46</v>
      </c>
      <c r="H130" s="94" t="s">
        <v>47</v>
      </c>
    </row>
    <row r="131" spans="2:8" ht="15" customHeight="1">
      <c r="B131" s="23"/>
      <c r="C131" s="23"/>
      <c r="D131" s="23"/>
      <c r="E131" s="23"/>
      <c r="G131" s="24"/>
    </row>
    <row r="132" spans="2:8" ht="22.5" customHeight="1">
      <c r="B132" s="32" t="s">
        <v>107</v>
      </c>
      <c r="C132" s="29">
        <v>3</v>
      </c>
      <c r="D132" s="30">
        <v>0</v>
      </c>
      <c r="E132" s="31" t="s">
        <v>108</v>
      </c>
      <c r="F132" s="103"/>
      <c r="G132" s="33" t="s">
        <v>61</v>
      </c>
      <c r="H132" s="33">
        <v>7</v>
      </c>
    </row>
    <row r="133" spans="2:8" ht="15" customHeight="1">
      <c r="B133" s="23"/>
      <c r="C133" s="23"/>
      <c r="D133" s="23"/>
      <c r="E133" s="23"/>
    </row>
    <row r="134" spans="2:8" ht="22.5" customHeight="1">
      <c r="B134" s="32">
        <v>41</v>
      </c>
      <c r="C134" s="32">
        <v>3</v>
      </c>
      <c r="D134" s="30">
        <v>5</v>
      </c>
      <c r="E134" s="31" t="str" cm="1">
        <f t="array" aca="1" ref="E134" ca="1">SUBSTITUTE(CELL("adres",OFFSET(INDIRECT(G134),,IF(LEFT(G134)="V",-1,1)*H134,1,1)),"$","")</f>
        <v>G17</v>
      </c>
      <c r="F134" s="103"/>
      <c r="G134" s="33" t="s">
        <v>86</v>
      </c>
      <c r="H134" s="33">
        <v>15</v>
      </c>
    </row>
    <row r="135" spans="2:8" ht="22.5" customHeight="1">
      <c r="B135" s="32">
        <f>B134+1</f>
        <v>42</v>
      </c>
      <c r="C135" s="32">
        <v>3</v>
      </c>
      <c r="D135" s="30">
        <v>5</v>
      </c>
      <c r="E135" s="31" t="str" cm="1">
        <f t="array" aca="1" ref="E135" ca="1">SUBSTITUTE(CELL("adres",OFFSET(INDIRECT(G135),,IF(LEFT(G135)="V",-1,1)*H135,1,1)),"$","")</f>
        <v>S6</v>
      </c>
      <c r="F135" s="103"/>
      <c r="G135" s="33" t="s">
        <v>62</v>
      </c>
      <c r="H135" s="33">
        <v>18</v>
      </c>
    </row>
    <row r="136" spans="2:8" ht="22.5" customHeight="1">
      <c r="B136" s="32">
        <f>B135+1</f>
        <v>43</v>
      </c>
      <c r="C136" s="32">
        <v>3</v>
      </c>
      <c r="D136" s="30">
        <v>5</v>
      </c>
      <c r="E136" s="31" t="str" cm="1">
        <f t="array" aca="1" ref="E136" ca="1">SUBSTITUTE(CELL("adres",OFFSET(INDIRECT(G136),,IF(LEFT(G136)="V",-1,1)*H136,1,1)),"$","")</f>
        <v>J5</v>
      </c>
      <c r="F136" s="103"/>
      <c r="G136" s="33" t="s">
        <v>109</v>
      </c>
      <c r="H136" s="33">
        <v>9</v>
      </c>
    </row>
    <row r="137" spans="2:8" ht="22.5" customHeight="1">
      <c r="B137" s="32">
        <f t="shared" ref="B137:B153" si="2">B136+1</f>
        <v>44</v>
      </c>
      <c r="C137" s="32">
        <v>3</v>
      </c>
      <c r="D137" s="30">
        <v>5</v>
      </c>
      <c r="E137" s="31" t="str" cm="1">
        <f t="array" aca="1" ref="E137" ca="1">SUBSTITUTE(CELL("adres",OFFSET(INDIRECT(G137),,IF(LEFT(G137)="V",-1,1)*H137,1,1)),"$","")</f>
        <v>E11</v>
      </c>
      <c r="F137" s="103"/>
      <c r="G137" s="33" t="s">
        <v>110</v>
      </c>
      <c r="H137" s="33">
        <v>4</v>
      </c>
    </row>
    <row r="138" spans="2:8" ht="22.5" customHeight="1">
      <c r="B138" s="32">
        <f t="shared" si="2"/>
        <v>45</v>
      </c>
      <c r="C138" s="32">
        <v>3</v>
      </c>
      <c r="D138" s="30">
        <v>5</v>
      </c>
      <c r="E138" s="31" t="str" cm="1">
        <f t="array" aca="1" ref="E138" ca="1">SUBSTITUTE(CELL("adres",OFFSET(INDIRECT(G138),,IF(LEFT(G138)="V",-1,1)*H138,1,1)),"$","")</f>
        <v>F26</v>
      </c>
      <c r="F138" s="103"/>
      <c r="G138" s="33" t="s">
        <v>84</v>
      </c>
      <c r="H138" s="33">
        <v>16</v>
      </c>
    </row>
    <row r="139" spans="2:8" ht="22.5" customHeight="1">
      <c r="B139" s="32">
        <f t="shared" si="2"/>
        <v>46</v>
      </c>
      <c r="C139" s="32">
        <v>3</v>
      </c>
      <c r="D139" s="30">
        <v>5</v>
      </c>
      <c r="E139" s="31" t="str" cm="1">
        <f t="array" aca="1" ref="E139" ca="1">SUBSTITUTE(CELL("adres",OFFSET(INDIRECT(G139),,IF(LEFT(G139)="V",-1,1)*H139,1,1)),"$","")</f>
        <v>H26</v>
      </c>
      <c r="F139" s="103"/>
      <c r="G139" s="33" t="s">
        <v>55</v>
      </c>
      <c r="H139" s="33">
        <v>7</v>
      </c>
    </row>
    <row r="140" spans="2:8" ht="22.5" customHeight="1">
      <c r="B140" s="32">
        <f t="shared" si="2"/>
        <v>47</v>
      </c>
      <c r="C140" s="32">
        <v>3</v>
      </c>
      <c r="D140" s="30">
        <v>5</v>
      </c>
      <c r="E140" s="31" t="str" cm="1">
        <f t="array" aca="1" ref="E140" ca="1">SUBSTITUTE(CELL("adres",OFFSET(INDIRECT(G140),,IF(LEFT(G140)="V",-1,1)*H140,1,1)),"$","")</f>
        <v>K6</v>
      </c>
      <c r="F140" s="103"/>
      <c r="G140" s="33" t="s">
        <v>80</v>
      </c>
      <c r="H140" s="33">
        <v>11</v>
      </c>
    </row>
    <row r="141" spans="2:8" ht="22.5" customHeight="1">
      <c r="B141" s="32">
        <f t="shared" si="2"/>
        <v>48</v>
      </c>
      <c r="C141" s="32">
        <v>3</v>
      </c>
      <c r="D141" s="30">
        <v>5</v>
      </c>
      <c r="E141" s="31" t="str" cm="1">
        <f t="array" aca="1" ref="E141" ca="1">SUBSTITUTE(CELL("adres",OFFSET(INDIRECT(G141),,IF(LEFT(G141)="V",-1,1)*H141,1,1)),"$","")</f>
        <v>O16</v>
      </c>
      <c r="F141" s="103"/>
      <c r="G141" s="33" t="s">
        <v>58</v>
      </c>
      <c r="H141" s="33">
        <v>14</v>
      </c>
    </row>
    <row r="142" spans="2:8" ht="22.5" customHeight="1">
      <c r="B142" s="32">
        <f t="shared" si="2"/>
        <v>49</v>
      </c>
      <c r="C142" s="32">
        <v>3</v>
      </c>
      <c r="D142" s="30">
        <v>5</v>
      </c>
      <c r="E142" s="31" t="str" cm="1">
        <f t="array" aca="1" ref="E142" ca="1">SUBSTITUTE(CELL("adres",OFFSET(INDIRECT(G142),,IF(LEFT(G142)="V",-1,1)*H142,1,1)),"$","")</f>
        <v>N21</v>
      </c>
      <c r="F142" s="103"/>
      <c r="G142" s="33" t="s">
        <v>83</v>
      </c>
      <c r="H142" s="33">
        <v>8</v>
      </c>
    </row>
    <row r="143" spans="2:8" ht="22.5" customHeight="1">
      <c r="B143" s="32">
        <f t="shared" si="2"/>
        <v>50</v>
      </c>
      <c r="C143" s="32">
        <v>3</v>
      </c>
      <c r="D143" s="30">
        <v>5</v>
      </c>
      <c r="E143" s="31" t="str" cm="1">
        <f t="array" aca="1" ref="E143" ca="1">SUBSTITUTE(CELL("adres",OFFSET(INDIRECT(G143),,IF(LEFT(G143)="V",-1,1)*H143,1,1)),"$","")</f>
        <v>R18</v>
      </c>
      <c r="F143" s="103"/>
      <c r="G143" s="33" t="s">
        <v>111</v>
      </c>
      <c r="H143" s="33">
        <v>4</v>
      </c>
    </row>
    <row r="144" spans="2:8" ht="22.5" customHeight="1">
      <c r="B144" s="32">
        <f t="shared" si="2"/>
        <v>51</v>
      </c>
      <c r="C144" s="32">
        <v>3</v>
      </c>
      <c r="D144" s="30">
        <v>5</v>
      </c>
      <c r="E144" s="31" t="str" cm="1">
        <f t="array" aca="1" ref="E144" ca="1">SUBSTITUTE(CELL("adres",OFFSET(INDIRECT(G144),,IF(LEFT(G144)="V",-1,1)*H144,1,1)),"$","")</f>
        <v>D10</v>
      </c>
      <c r="F144" s="103"/>
      <c r="G144" s="33" t="s">
        <v>93</v>
      </c>
      <c r="H144" s="33">
        <v>18</v>
      </c>
    </row>
    <row r="145" spans="2:8" ht="22.5" customHeight="1">
      <c r="B145" s="32">
        <f t="shared" si="2"/>
        <v>52</v>
      </c>
      <c r="C145" s="32">
        <v>3</v>
      </c>
      <c r="D145" s="30">
        <v>5</v>
      </c>
      <c r="E145" s="31" t="str" cm="1">
        <f t="array" aca="1" ref="E145" ca="1">SUBSTITUTE(CELL("adres",OFFSET(INDIRECT(G145),,IF(LEFT(G145)="V",-1,1)*H145,1,1)),"$","")</f>
        <v>P12</v>
      </c>
      <c r="F145" s="103"/>
      <c r="G145" s="33" t="s">
        <v>65</v>
      </c>
      <c r="H145" s="33">
        <v>15</v>
      </c>
    </row>
    <row r="146" spans="2:8" ht="22.5" customHeight="1">
      <c r="B146" s="32">
        <f t="shared" si="2"/>
        <v>53</v>
      </c>
      <c r="C146" s="32">
        <v>3</v>
      </c>
      <c r="D146" s="30">
        <v>5</v>
      </c>
      <c r="E146" s="31" t="str" cm="1">
        <f t="array" aca="1" ref="E146" ca="1">SUBSTITUTE(CELL("adres",OFFSET(INDIRECT(G146),,IF(LEFT(G146)="V",-1,1)*H146,1,1)),"$","")</f>
        <v>R2</v>
      </c>
      <c r="F146" s="103"/>
      <c r="G146" s="33" t="s">
        <v>112</v>
      </c>
      <c r="H146" s="33">
        <v>4</v>
      </c>
    </row>
    <row r="147" spans="2:8" ht="22.5" customHeight="1">
      <c r="B147" s="32">
        <f t="shared" si="2"/>
        <v>54</v>
      </c>
      <c r="C147" s="32">
        <v>3</v>
      </c>
      <c r="D147" s="30">
        <v>5</v>
      </c>
      <c r="E147" s="31" t="str" cm="1">
        <f t="array" aca="1" ref="E147" ca="1">SUBSTITUTE(CELL("adres",OFFSET(INDIRECT(G147),,IF(LEFT(G147)="V",-1,1)*H147,1,1)),"$","")</f>
        <v>U5</v>
      </c>
      <c r="F147" s="103"/>
      <c r="G147" s="33" t="s">
        <v>109</v>
      </c>
      <c r="H147" s="33">
        <v>20</v>
      </c>
    </row>
    <row r="148" spans="2:8" ht="22.5" customHeight="1">
      <c r="B148" s="32">
        <f t="shared" si="2"/>
        <v>55</v>
      </c>
      <c r="C148" s="32">
        <v>3</v>
      </c>
      <c r="D148" s="30">
        <v>5</v>
      </c>
      <c r="E148" s="31" t="str" cm="1">
        <f t="array" aca="1" ref="E148" ca="1">SUBSTITUTE(CELL("adres",OFFSET(INDIRECT(G148),,IF(LEFT(G148)="V",-1,1)*H148,1,1)),"$","")</f>
        <v>F22</v>
      </c>
      <c r="F148" s="103"/>
      <c r="G148" s="33" t="s">
        <v>63</v>
      </c>
      <c r="H148" s="33">
        <v>5</v>
      </c>
    </row>
    <row r="149" spans="2:8" ht="22.5" customHeight="1">
      <c r="B149" s="32">
        <f t="shared" si="2"/>
        <v>56</v>
      </c>
      <c r="C149" s="32">
        <v>3</v>
      </c>
      <c r="D149" s="30">
        <v>5</v>
      </c>
      <c r="E149" s="31" t="str" cm="1">
        <f t="array" aca="1" ref="E149" ca="1">SUBSTITUTE(CELL("adres",OFFSET(INDIRECT(G149),,IF(LEFT(G149)="V",-1,1)*H149,1,1)),"$","")</f>
        <v>B26</v>
      </c>
      <c r="F149" s="103"/>
      <c r="G149" s="33" t="s">
        <v>84</v>
      </c>
      <c r="H149" s="33">
        <v>20</v>
      </c>
    </row>
    <row r="150" spans="2:8" ht="22.5" customHeight="1">
      <c r="B150" s="32">
        <f t="shared" si="2"/>
        <v>57</v>
      </c>
      <c r="C150" s="32">
        <v>3</v>
      </c>
      <c r="D150" s="30">
        <v>5</v>
      </c>
      <c r="E150" s="31" t="str" cm="1">
        <f t="array" aca="1" ref="E150" ca="1">SUBSTITUTE(CELL("adres",OFFSET(INDIRECT(G150),,IF(LEFT(G150)="V",-1,1)*H150,1,1)),"$","")</f>
        <v>T14</v>
      </c>
      <c r="F150" s="103"/>
      <c r="G150" s="33" t="s">
        <v>113</v>
      </c>
      <c r="H150" s="33">
        <v>19</v>
      </c>
    </row>
    <row r="151" spans="2:8" ht="22.5" customHeight="1">
      <c r="B151" s="32">
        <f t="shared" si="2"/>
        <v>58</v>
      </c>
      <c r="C151" s="32">
        <v>3</v>
      </c>
      <c r="D151" s="30">
        <v>5</v>
      </c>
      <c r="E151" s="31" t="str" cm="1">
        <f t="array" aca="1" ref="E151" ca="1">SUBSTITUTE(CELL("adres",OFFSET(INDIRECT(G151),,IF(LEFT(G151)="V",-1,1)*H151,1,1)),"$","")</f>
        <v>H13</v>
      </c>
      <c r="F151" s="103"/>
      <c r="G151" s="33" t="s">
        <v>114</v>
      </c>
      <c r="H151" s="33">
        <v>14</v>
      </c>
    </row>
    <row r="152" spans="2:8" ht="22.5" customHeight="1">
      <c r="B152" s="32">
        <f t="shared" si="2"/>
        <v>59</v>
      </c>
      <c r="C152" s="32">
        <v>3</v>
      </c>
      <c r="D152" s="30">
        <v>5</v>
      </c>
      <c r="E152" s="31" t="str" cm="1">
        <f t="array" aca="1" ref="E152" ca="1">SUBSTITUTE(CELL("adres",OFFSET(INDIRECT(G152),,IF(LEFT(G152)="V",-1,1)*H152,1,1)),"$","")</f>
        <v>C13</v>
      </c>
      <c r="F152" s="103"/>
      <c r="G152" s="33" t="s">
        <v>50</v>
      </c>
      <c r="H152" s="33">
        <v>2</v>
      </c>
    </row>
    <row r="153" spans="2:8" ht="22.5" customHeight="1">
      <c r="B153" s="32">
        <f t="shared" si="2"/>
        <v>60</v>
      </c>
      <c r="C153" s="32">
        <v>3</v>
      </c>
      <c r="D153" s="30">
        <v>5</v>
      </c>
      <c r="E153" s="31" t="str" cm="1">
        <f t="array" aca="1" ref="E153" ca="1">SUBSTITUTE(CELL("adres",OFFSET(INDIRECT(G153),,IF(LEFT(G153)="V",-1,1)*H153,1,1)),"$","")</f>
        <v>M2</v>
      </c>
      <c r="F153" s="103"/>
      <c r="G153" s="33" t="s">
        <v>115</v>
      </c>
      <c r="H153" s="33">
        <v>12</v>
      </c>
    </row>
    <row r="154" spans="2:8" ht="15" customHeight="1" thickBot="1"/>
    <row r="155" spans="2:8" ht="22.5" customHeight="1" thickBot="1">
      <c r="B155" s="102" t="s">
        <v>116</v>
      </c>
      <c r="C155" s="38" t="s">
        <v>117</v>
      </c>
      <c r="D155" s="83" t="s">
        <v>118</v>
      </c>
    </row>
    <row r="156" spans="2:8" s="75" customFormat="1" ht="15" customHeight="1">
      <c r="B156" s="74"/>
      <c r="C156" s="74"/>
      <c r="D156" s="74"/>
      <c r="E156" s="74"/>
      <c r="F156" s="74"/>
      <c r="G156" s="74"/>
      <c r="H156" s="74"/>
    </row>
    <row r="157" spans="2:8" s="75" customFormat="1" ht="15" customHeight="1">
      <c r="B157" s="76" t="s">
        <v>119</v>
      </c>
      <c r="C157" s="74"/>
      <c r="D157" s="74"/>
      <c r="E157" s="74"/>
      <c r="F157" s="74"/>
      <c r="G157" s="74"/>
      <c r="H157" s="74"/>
    </row>
    <row r="158" spans="2:8" s="75" customFormat="1" ht="15" customHeight="1">
      <c r="B158" s="76" t="s">
        <v>120</v>
      </c>
      <c r="C158" s="74"/>
      <c r="D158" s="74"/>
      <c r="E158" s="74"/>
      <c r="F158" s="74"/>
      <c r="G158" s="74"/>
      <c r="H158" s="74"/>
    </row>
    <row r="159" spans="2:8" s="75" customFormat="1" ht="15" customHeight="1">
      <c r="B159" s="72" t="s">
        <v>121</v>
      </c>
      <c r="C159" s="76"/>
      <c r="D159" s="74"/>
      <c r="E159" s="74"/>
      <c r="F159" s="74"/>
      <c r="G159" s="73"/>
      <c r="H159" s="73"/>
    </row>
    <row r="161" spans="2:16" s="75" customFormat="1" ht="15" customHeight="1">
      <c r="B161" s="72" t="s">
        <v>122</v>
      </c>
      <c r="C161" s="74"/>
      <c r="D161" s="74"/>
      <c r="E161" s="74"/>
      <c r="F161" s="74"/>
      <c r="G161" s="73"/>
      <c r="H161" s="73"/>
      <c r="I161" s="73"/>
    </row>
    <row r="162" spans="2:16" s="75" customFormat="1" ht="15" customHeight="1">
      <c r="B162" s="77" t="s">
        <v>123</v>
      </c>
      <c r="C162" s="74"/>
      <c r="D162" s="74"/>
      <c r="E162" s="74"/>
      <c r="F162" s="74"/>
      <c r="G162" s="73"/>
      <c r="H162" s="73"/>
      <c r="I162" s="73"/>
    </row>
    <row r="163" spans="2:16" s="75" customFormat="1" ht="15" customHeight="1">
      <c r="B163" s="77" t="s">
        <v>124</v>
      </c>
      <c r="C163" s="74"/>
      <c r="D163" s="74"/>
      <c r="E163" s="74"/>
      <c r="F163" s="74"/>
      <c r="G163" s="73"/>
      <c r="H163" s="73"/>
      <c r="I163" s="73"/>
    </row>
    <row r="164" spans="2:16" s="75" customFormat="1" ht="15" customHeight="1">
      <c r="B164" s="77" t="s">
        <v>125</v>
      </c>
      <c r="C164" s="74"/>
      <c r="D164" s="74"/>
      <c r="E164" s="74"/>
      <c r="F164" s="74"/>
      <c r="G164" s="73"/>
      <c r="H164" s="73"/>
      <c r="I164" s="73"/>
    </row>
    <row r="165" spans="2:16" s="75" customFormat="1" ht="15" customHeight="1">
      <c r="B165" s="77" t="s">
        <v>126</v>
      </c>
      <c r="C165" s="74"/>
      <c r="D165" s="74"/>
      <c r="E165" s="74"/>
      <c r="F165" s="74"/>
      <c r="G165" s="73"/>
      <c r="H165" s="73"/>
      <c r="I165" s="73"/>
    </row>
    <row r="166" spans="2:16" s="75" customFormat="1" ht="15" customHeight="1">
      <c r="B166" s="77" t="s">
        <v>127</v>
      </c>
      <c r="C166" s="74"/>
      <c r="D166" s="74"/>
      <c r="E166" s="74"/>
      <c r="F166" s="74"/>
      <c r="G166" s="73"/>
      <c r="H166" s="73"/>
      <c r="I166" s="73"/>
    </row>
    <row r="167" spans="2:16" s="75" customFormat="1" ht="15" customHeight="1">
      <c r="C167" s="78"/>
      <c r="D167" s="74"/>
      <c r="E167" s="74"/>
      <c r="F167" s="74"/>
      <c r="G167" s="73"/>
      <c r="H167" s="73"/>
      <c r="I167" s="73"/>
    </row>
    <row r="168" spans="2:16" s="75" customFormat="1" ht="15" customHeight="1">
      <c r="B168" s="79" t="s">
        <v>128</v>
      </c>
      <c r="C168" s="74"/>
      <c r="D168" s="74"/>
      <c r="E168" s="74"/>
      <c r="F168" s="74"/>
      <c r="G168" s="73"/>
      <c r="H168" s="73"/>
      <c r="I168" s="73"/>
    </row>
    <row r="169" spans="2:16" s="75" customFormat="1" ht="15" customHeight="1">
      <c r="B169" s="77" t="s">
        <v>129</v>
      </c>
      <c r="C169" s="77"/>
      <c r="D169" s="74"/>
      <c r="E169" s="74"/>
      <c r="F169" s="74"/>
      <c r="G169" s="73"/>
      <c r="H169" s="73"/>
      <c r="I169" s="73"/>
    </row>
    <row r="170" spans="2:16" s="75" customFormat="1" ht="15" customHeight="1">
      <c r="B170" s="77" t="s">
        <v>130</v>
      </c>
      <c r="C170" s="77"/>
      <c r="D170" s="74"/>
      <c r="E170" s="74"/>
      <c r="F170" s="74"/>
      <c r="G170" s="73"/>
      <c r="H170" s="73"/>
      <c r="I170" s="73"/>
    </row>
    <row r="171" spans="2:16" s="75" customFormat="1" ht="15" customHeight="1">
      <c r="B171" s="77" t="s">
        <v>131</v>
      </c>
      <c r="C171" s="77"/>
      <c r="D171" s="74"/>
      <c r="E171" s="74"/>
      <c r="F171" s="74"/>
      <c r="G171" s="73"/>
      <c r="H171" s="73"/>
      <c r="I171" s="73"/>
    </row>
    <row r="172" spans="2:16" s="75" customFormat="1" ht="15" customHeight="1" thickBot="1">
      <c r="B172" s="72"/>
      <c r="C172" s="74"/>
      <c r="D172" s="74"/>
      <c r="E172" s="74"/>
      <c r="F172" s="74"/>
      <c r="G172" s="73"/>
      <c r="H172" s="73"/>
      <c r="I172" s="74"/>
    </row>
    <row r="173" spans="2:16" s="75" customFormat="1" ht="22.5" customHeight="1" thickBot="1">
      <c r="B173" s="93" t="s">
        <v>44</v>
      </c>
      <c r="C173" s="94" t="s">
        <v>45</v>
      </c>
      <c r="D173" s="95" t="s">
        <v>16</v>
      </c>
      <c r="E173" s="96" t="s">
        <v>17</v>
      </c>
      <c r="F173" s="74"/>
      <c r="G173" s="97" t="s">
        <v>46</v>
      </c>
      <c r="H173" s="94" t="s">
        <v>47</v>
      </c>
      <c r="I173" s="94" t="s">
        <v>132</v>
      </c>
    </row>
    <row r="174" spans="2:16" ht="15" customHeight="1">
      <c r="B174" s="23"/>
      <c r="C174" s="23"/>
      <c r="D174" s="23"/>
      <c r="E174" s="23"/>
      <c r="G174" s="24"/>
      <c r="K174" s="23" t="s">
        <v>331</v>
      </c>
      <c r="L174" s="23" t="s">
        <v>332</v>
      </c>
      <c r="M174" s="23" t="s">
        <v>335</v>
      </c>
      <c r="N174" s="23" t="s">
        <v>333</v>
      </c>
      <c r="O174" s="23" t="s">
        <v>334</v>
      </c>
      <c r="P174" s="23" t="s">
        <v>335</v>
      </c>
    </row>
    <row r="175" spans="2:16" ht="22.5" customHeight="1">
      <c r="B175" s="32" t="s">
        <v>133</v>
      </c>
      <c r="C175" s="29">
        <v>4</v>
      </c>
      <c r="D175" s="30">
        <v>0</v>
      </c>
      <c r="E175" s="149">
        <f ca="1">MAX(M175,P175)</f>
        <v>6</v>
      </c>
      <c r="F175" s="103"/>
      <c r="G175" s="33" t="s">
        <v>87</v>
      </c>
      <c r="H175" s="33">
        <v>3</v>
      </c>
      <c r="I175" s="33" t="s">
        <v>134</v>
      </c>
      <c r="J175" s="31" t="str" cm="1">
        <f t="array" aca="1" ref="J175" ca="1">SUBSTITUTE(CELL("adres",OFFSET(INDIRECT(G175),,IF(LEFT(G175)="V",-1,1)*H175,1,1)),"$","")</f>
        <v>S8</v>
      </c>
      <c r="K175" s="23" cm="1">
        <f t="array" aca="1" ref="K175" ca="1">ROW(INDIRECT(J175))</f>
        <v>8</v>
      </c>
      <c r="L175" s="23" cm="1">
        <f t="array" aca="1" ref="L175" ca="1">ROW(INDIRECT(I175))</f>
        <v>2</v>
      </c>
      <c r="M175" s="23">
        <f ca="1">ABS(L175-K175)</f>
        <v>6</v>
      </c>
      <c r="N175" s="23" cm="1">
        <f t="array" aca="1" ref="N175" ca="1">COLUMN(INDIRECT(J175))</f>
        <v>19</v>
      </c>
      <c r="O175" s="23" cm="1">
        <f t="array" aca="1" ref="O175" ca="1">COLUMN(INDIRECT(I175))</f>
        <v>18</v>
      </c>
      <c r="P175" s="23">
        <f ca="1">ABS(O175-N175)</f>
        <v>1</v>
      </c>
    </row>
    <row r="177" spans="2:19" ht="22.5" customHeight="1">
      <c r="B177" s="32">
        <v>61</v>
      </c>
      <c r="C177" s="32">
        <v>4</v>
      </c>
      <c r="D177" s="30">
        <v>7</v>
      </c>
      <c r="E177" s="149">
        <f ca="1">MAX(M177,P177)</f>
        <v>3</v>
      </c>
      <c r="F177" s="103"/>
      <c r="G177" s="33" t="s">
        <v>55</v>
      </c>
      <c r="H177" s="33">
        <v>3</v>
      </c>
      <c r="I177" s="33" t="s">
        <v>135</v>
      </c>
      <c r="J177" s="31" t="s">
        <v>336</v>
      </c>
      <c r="K177" s="23" cm="1">
        <f t="array" aca="1" ref="K177" ca="1">ROW(INDIRECT(J177))</f>
        <v>26</v>
      </c>
      <c r="L177" s="23" cm="1">
        <f t="array" aca="1" ref="L177" ca="1">ROW(INDIRECT(I177))</f>
        <v>23</v>
      </c>
      <c r="M177" s="23">
        <f ca="1">ABS(L177-K177)</f>
        <v>3</v>
      </c>
      <c r="N177" s="23" cm="1">
        <f t="array" aca="1" ref="N177" ca="1">COLUMN(INDIRECT(J177))</f>
        <v>4</v>
      </c>
      <c r="O177" s="23" cm="1">
        <f t="array" aca="1" ref="O177" ca="1">COLUMN(INDIRECT(I177))</f>
        <v>3</v>
      </c>
      <c r="P177" s="23">
        <f ca="1">ABS(O177-N177)</f>
        <v>1</v>
      </c>
    </row>
    <row r="178" spans="2:19" ht="22.5" customHeight="1">
      <c r="B178" s="32">
        <f>B177+1</f>
        <v>62</v>
      </c>
      <c r="C178" s="32">
        <v>4</v>
      </c>
      <c r="D178" s="30">
        <v>7</v>
      </c>
      <c r="E178" s="149">
        <f t="shared" ref="E178:E196" ca="1" si="3">MAX(M178,P178)</f>
        <v>6</v>
      </c>
      <c r="F178" s="103"/>
      <c r="G178" s="33" t="s">
        <v>50</v>
      </c>
      <c r="H178" s="33">
        <v>10</v>
      </c>
      <c r="I178" s="33" t="s">
        <v>136</v>
      </c>
      <c r="J178" s="31" t="s">
        <v>337</v>
      </c>
      <c r="K178" s="23" cm="1">
        <f t="array" aca="1" ref="K178" ca="1">ROW(INDIRECT(J178))</f>
        <v>13</v>
      </c>
      <c r="L178" s="23" cm="1">
        <f t="array" aca="1" ref="L178" ca="1">ROW(INDIRECT(I178))</f>
        <v>19</v>
      </c>
      <c r="M178" s="23">
        <f t="shared" ref="M178:M196" ca="1" si="4">ABS(L178-K178)</f>
        <v>6</v>
      </c>
      <c r="N178" s="23" cm="1">
        <f t="array" aca="1" ref="N178" ca="1">COLUMN(INDIRECT(J178))</f>
        <v>11</v>
      </c>
      <c r="O178" s="23" cm="1">
        <f t="array" aca="1" ref="O178" ca="1">COLUMN(INDIRECT(I178))</f>
        <v>14</v>
      </c>
      <c r="P178" s="23">
        <f t="shared" ref="P178:P196" ca="1" si="5">ABS(O178-N178)</f>
        <v>3</v>
      </c>
      <c r="S178" s="23" t="b" cm="1">
        <f t="array" ref="S178:S197">J177:J196=I177:I196</f>
        <v>0</v>
      </c>
    </row>
    <row r="179" spans="2:19" ht="22.5" customHeight="1">
      <c r="B179" s="32">
        <f>B178+1</f>
        <v>63</v>
      </c>
      <c r="C179" s="32">
        <v>4</v>
      </c>
      <c r="D179" s="30">
        <v>7</v>
      </c>
      <c r="E179" s="149">
        <f t="shared" ca="1" si="3"/>
        <v>15</v>
      </c>
      <c r="F179" s="103"/>
      <c r="G179" s="33" t="s">
        <v>137</v>
      </c>
      <c r="H179" s="33">
        <v>5</v>
      </c>
      <c r="I179" s="33" t="s">
        <v>138</v>
      </c>
      <c r="J179" s="31" t="s">
        <v>338</v>
      </c>
      <c r="K179" s="23" cm="1">
        <f t="array" aca="1" ref="K179" ca="1">ROW(INDIRECT(J179))</f>
        <v>4</v>
      </c>
      <c r="L179" s="23" cm="1">
        <f t="array" aca="1" ref="L179" ca="1">ROW(INDIRECT(I179))</f>
        <v>2</v>
      </c>
      <c r="M179" s="23">
        <f t="shared" ca="1" si="4"/>
        <v>2</v>
      </c>
      <c r="N179" s="23" cm="1">
        <f t="array" aca="1" ref="N179" ca="1">COLUMN(INDIRECT(J179))</f>
        <v>17</v>
      </c>
      <c r="O179" s="23" cm="1">
        <f t="array" aca="1" ref="O179" ca="1">COLUMN(INDIRECT(I179))</f>
        <v>2</v>
      </c>
      <c r="P179" s="23">
        <f t="shared" ca="1" si="5"/>
        <v>15</v>
      </c>
      <c r="S179" s="23" t="b">
        <v>0</v>
      </c>
    </row>
    <row r="180" spans="2:19" ht="22.5" customHeight="1">
      <c r="B180" s="32">
        <f t="shared" ref="B180:B196" si="6">B179+1</f>
        <v>64</v>
      </c>
      <c r="C180" s="32">
        <v>4</v>
      </c>
      <c r="D180" s="30">
        <v>7</v>
      </c>
      <c r="E180" s="149">
        <f t="shared" ca="1" si="3"/>
        <v>4</v>
      </c>
      <c r="F180" s="103"/>
      <c r="G180" s="33" t="s">
        <v>55</v>
      </c>
      <c r="H180" s="33">
        <v>19</v>
      </c>
      <c r="I180" s="33" t="s">
        <v>139</v>
      </c>
      <c r="J180" s="31" t="s">
        <v>339</v>
      </c>
      <c r="K180" s="23" cm="1">
        <f t="array" aca="1" ref="K180" ca="1">ROW(INDIRECT(J180))</f>
        <v>26</v>
      </c>
      <c r="L180" s="23" cm="1">
        <f t="array" aca="1" ref="L180" ca="1">ROW(INDIRECT(I180))</f>
        <v>22</v>
      </c>
      <c r="M180" s="23">
        <f t="shared" ca="1" si="4"/>
        <v>4</v>
      </c>
      <c r="N180" s="23" cm="1">
        <f t="array" aca="1" ref="N180" ca="1">COLUMN(INDIRECT(J180))</f>
        <v>20</v>
      </c>
      <c r="O180" s="23" cm="1">
        <f t="array" aca="1" ref="O180" ca="1">COLUMN(INDIRECT(I180))</f>
        <v>21</v>
      </c>
      <c r="P180" s="23">
        <f t="shared" ca="1" si="5"/>
        <v>1</v>
      </c>
      <c r="S180" s="23" t="b">
        <v>0</v>
      </c>
    </row>
    <row r="181" spans="2:19" ht="22.5" customHeight="1">
      <c r="B181" s="32">
        <f t="shared" si="6"/>
        <v>65</v>
      </c>
      <c r="C181" s="32">
        <v>4</v>
      </c>
      <c r="D181" s="30">
        <v>7</v>
      </c>
      <c r="E181" s="149">
        <f t="shared" ca="1" si="3"/>
        <v>6</v>
      </c>
      <c r="F181" s="103"/>
      <c r="G181" s="33" t="s">
        <v>84</v>
      </c>
      <c r="H181" s="33">
        <v>12</v>
      </c>
      <c r="I181" s="33" t="s">
        <v>140</v>
      </c>
      <c r="J181" s="31" t="s">
        <v>340</v>
      </c>
      <c r="K181" s="23" cm="1">
        <f t="array" aca="1" ref="K181" ca="1">ROW(INDIRECT(J181))</f>
        <v>26</v>
      </c>
      <c r="L181" s="23" cm="1">
        <f t="array" aca="1" ref="L181" ca="1">ROW(INDIRECT(I181))</f>
        <v>20</v>
      </c>
      <c r="M181" s="23">
        <f t="shared" ca="1" si="4"/>
        <v>6</v>
      </c>
      <c r="N181" s="23" cm="1">
        <f t="array" aca="1" ref="N181" ca="1">COLUMN(INDIRECT(J181))</f>
        <v>10</v>
      </c>
      <c r="O181" s="23" cm="1">
        <f t="array" aca="1" ref="O181" ca="1">COLUMN(INDIRECT(I181))</f>
        <v>12</v>
      </c>
      <c r="P181" s="23">
        <f t="shared" ca="1" si="5"/>
        <v>2</v>
      </c>
      <c r="S181" s="23" t="b">
        <v>0</v>
      </c>
    </row>
    <row r="182" spans="2:19" ht="22.5" customHeight="1">
      <c r="B182" s="32">
        <f t="shared" si="6"/>
        <v>66</v>
      </c>
      <c r="C182" s="32">
        <v>4</v>
      </c>
      <c r="D182" s="30">
        <v>7</v>
      </c>
      <c r="E182" s="149">
        <f t="shared" ca="1" si="3"/>
        <v>3</v>
      </c>
      <c r="F182" s="103"/>
      <c r="G182" s="33" t="s">
        <v>63</v>
      </c>
      <c r="H182" s="33">
        <v>18</v>
      </c>
      <c r="I182" s="33" t="s">
        <v>141</v>
      </c>
      <c r="J182" s="31" t="s">
        <v>341</v>
      </c>
      <c r="K182" s="23" cm="1">
        <f t="array" aca="1" ref="K182" ca="1">ROW(INDIRECT(J182))</f>
        <v>22</v>
      </c>
      <c r="L182" s="23" cm="1">
        <f t="array" aca="1" ref="L182" ca="1">ROW(INDIRECT(I182))</f>
        <v>19</v>
      </c>
      <c r="M182" s="23">
        <f t="shared" ca="1" si="4"/>
        <v>3</v>
      </c>
      <c r="N182" s="23" cm="1">
        <f t="array" aca="1" ref="N182" ca="1">COLUMN(INDIRECT(J182))</f>
        <v>19</v>
      </c>
      <c r="O182" s="23" cm="1">
        <f t="array" aca="1" ref="O182" ca="1">COLUMN(INDIRECT(I182))</f>
        <v>21</v>
      </c>
      <c r="P182" s="23">
        <f t="shared" ca="1" si="5"/>
        <v>2</v>
      </c>
      <c r="S182" s="23" t="b">
        <v>0</v>
      </c>
    </row>
    <row r="183" spans="2:19" ht="22.5" customHeight="1">
      <c r="B183" s="32">
        <f t="shared" si="6"/>
        <v>67</v>
      </c>
      <c r="C183" s="32">
        <v>4</v>
      </c>
      <c r="D183" s="30">
        <v>7</v>
      </c>
      <c r="E183" s="149">
        <f t="shared" ca="1" si="3"/>
        <v>5</v>
      </c>
      <c r="F183" s="103"/>
      <c r="G183" s="33" t="s">
        <v>81</v>
      </c>
      <c r="H183" s="33">
        <v>9</v>
      </c>
      <c r="I183" s="33" t="s">
        <v>142</v>
      </c>
      <c r="J183" s="31" t="s">
        <v>188</v>
      </c>
      <c r="K183" s="23" cm="1">
        <f t="array" aca="1" ref="K183" ca="1">ROW(INDIRECT(J183))</f>
        <v>12</v>
      </c>
      <c r="L183" s="23" cm="1">
        <f t="array" aca="1" ref="L183" ca="1">ROW(INDIRECT(I183))</f>
        <v>7</v>
      </c>
      <c r="M183" s="23">
        <f t="shared" ca="1" si="4"/>
        <v>5</v>
      </c>
      <c r="N183" s="23" cm="1">
        <f t="array" aca="1" ref="N183" ca="1">COLUMN(INDIRECT(J183))</f>
        <v>13</v>
      </c>
      <c r="O183" s="23" cm="1">
        <f t="array" aca="1" ref="O183" ca="1">COLUMN(INDIRECT(I183))</f>
        <v>16</v>
      </c>
      <c r="P183" s="23">
        <f t="shared" ca="1" si="5"/>
        <v>3</v>
      </c>
      <c r="S183" s="23" t="b">
        <v>0</v>
      </c>
    </row>
    <row r="184" spans="2:19" ht="22.5" customHeight="1">
      <c r="B184" s="32">
        <f t="shared" si="6"/>
        <v>68</v>
      </c>
      <c r="C184" s="32">
        <v>4</v>
      </c>
      <c r="D184" s="30">
        <v>7</v>
      </c>
      <c r="E184" s="149">
        <f t="shared" ca="1" si="3"/>
        <v>3</v>
      </c>
      <c r="F184" s="103"/>
      <c r="G184" s="33" t="s">
        <v>85</v>
      </c>
      <c r="H184" s="33">
        <v>3</v>
      </c>
      <c r="I184" s="33" t="s">
        <v>143</v>
      </c>
      <c r="J184" s="31" t="s">
        <v>329</v>
      </c>
      <c r="K184" s="23" cm="1">
        <f t="array" aca="1" ref="K184" ca="1">ROW(INDIRECT(J184))</f>
        <v>25</v>
      </c>
      <c r="L184" s="23" cm="1">
        <f t="array" aca="1" ref="L184" ca="1">ROW(INDIRECT(I184))</f>
        <v>22</v>
      </c>
      <c r="M184" s="23">
        <f t="shared" ca="1" si="4"/>
        <v>3</v>
      </c>
      <c r="N184" s="23" cm="1">
        <f t="array" aca="1" ref="N184" ca="1">COLUMN(INDIRECT(J184))</f>
        <v>19</v>
      </c>
      <c r="O184" s="23" cm="1">
        <f t="array" aca="1" ref="O184" ca="1">COLUMN(INDIRECT(I184))</f>
        <v>16</v>
      </c>
      <c r="P184" s="23">
        <f t="shared" ca="1" si="5"/>
        <v>3</v>
      </c>
      <c r="S184" s="23" t="b">
        <v>0</v>
      </c>
    </row>
    <row r="185" spans="2:19" ht="22.5" customHeight="1">
      <c r="B185" s="32">
        <f t="shared" si="6"/>
        <v>69</v>
      </c>
      <c r="C185" s="32">
        <v>4</v>
      </c>
      <c r="D185" s="30">
        <v>7</v>
      </c>
      <c r="E185" s="149">
        <f t="shared" ca="1" si="3"/>
        <v>7</v>
      </c>
      <c r="F185" s="103"/>
      <c r="G185" s="33" t="s">
        <v>144</v>
      </c>
      <c r="H185" s="33">
        <v>2</v>
      </c>
      <c r="I185" s="33" t="s">
        <v>145</v>
      </c>
      <c r="J185" s="31" t="s">
        <v>342</v>
      </c>
      <c r="K185" s="23" cm="1">
        <f t="array" aca="1" ref="K185" ca="1">ROW(INDIRECT(J185))</f>
        <v>11</v>
      </c>
      <c r="L185" s="23" cm="1">
        <f t="array" aca="1" ref="L185" ca="1">ROW(INDIRECT(I185))</f>
        <v>9</v>
      </c>
      <c r="M185" s="23">
        <f t="shared" ca="1" si="4"/>
        <v>2</v>
      </c>
      <c r="N185" s="23" cm="1">
        <f t="array" aca="1" ref="N185" ca="1">COLUMN(INDIRECT(J185))</f>
        <v>20</v>
      </c>
      <c r="O185" s="23" cm="1">
        <f t="array" aca="1" ref="O185" ca="1">COLUMN(INDIRECT(I185))</f>
        <v>13</v>
      </c>
      <c r="P185" s="23">
        <f t="shared" ca="1" si="5"/>
        <v>7</v>
      </c>
      <c r="S185" s="23" t="b">
        <v>0</v>
      </c>
    </row>
    <row r="186" spans="2:19" ht="22.5" customHeight="1">
      <c r="B186" s="32">
        <f t="shared" si="6"/>
        <v>70</v>
      </c>
      <c r="C186" s="32">
        <v>4</v>
      </c>
      <c r="D186" s="30">
        <v>7</v>
      </c>
      <c r="E186" s="149">
        <f t="shared" ca="1" si="3"/>
        <v>8</v>
      </c>
      <c r="F186" s="103"/>
      <c r="G186" s="33" t="s">
        <v>111</v>
      </c>
      <c r="H186" s="33">
        <v>3</v>
      </c>
      <c r="I186" s="33" t="s">
        <v>146</v>
      </c>
      <c r="J186" s="31" t="s">
        <v>343</v>
      </c>
      <c r="K186" s="23" cm="1">
        <f t="array" aca="1" ref="K186" ca="1">ROW(INDIRECT(J186))</f>
        <v>18</v>
      </c>
      <c r="L186" s="23" cm="1">
        <f t="array" aca="1" ref="L186" ca="1">ROW(INDIRECT(I186))</f>
        <v>10</v>
      </c>
      <c r="M186" s="23">
        <f t="shared" ca="1" si="4"/>
        <v>8</v>
      </c>
      <c r="N186" s="23" cm="1">
        <f t="array" aca="1" ref="N186" ca="1">COLUMN(INDIRECT(J186))</f>
        <v>19</v>
      </c>
      <c r="O186" s="23" cm="1">
        <f t="array" aca="1" ref="O186" ca="1">COLUMN(INDIRECT(I186))</f>
        <v>19</v>
      </c>
      <c r="P186" s="23">
        <f t="shared" ca="1" si="5"/>
        <v>0</v>
      </c>
      <c r="S186" s="23" t="b">
        <v>0</v>
      </c>
    </row>
    <row r="187" spans="2:19" ht="22.5" customHeight="1">
      <c r="B187" s="32">
        <f t="shared" si="6"/>
        <v>71</v>
      </c>
      <c r="C187" s="32">
        <v>4</v>
      </c>
      <c r="D187" s="30">
        <v>7</v>
      </c>
      <c r="E187" s="149">
        <f t="shared" ca="1" si="3"/>
        <v>1</v>
      </c>
      <c r="F187" s="103"/>
      <c r="G187" s="33" t="s">
        <v>90</v>
      </c>
      <c r="H187" s="33">
        <v>8</v>
      </c>
      <c r="I187" s="33" t="s">
        <v>147</v>
      </c>
      <c r="J187" s="31" t="s">
        <v>344</v>
      </c>
      <c r="K187" s="23" cm="1">
        <f t="array" aca="1" ref="K187" ca="1">ROW(INDIRECT(J187))</f>
        <v>24</v>
      </c>
      <c r="L187" s="23" cm="1">
        <f t="array" aca="1" ref="L187" ca="1">ROW(INDIRECT(I187))</f>
        <v>24</v>
      </c>
      <c r="M187" s="23">
        <f t="shared" ca="1" si="4"/>
        <v>0</v>
      </c>
      <c r="N187" s="23" cm="1">
        <f t="array" aca="1" ref="N187" ca="1">COLUMN(INDIRECT(J187))</f>
        <v>14</v>
      </c>
      <c r="O187" s="23" cm="1">
        <f t="array" aca="1" ref="O187" ca="1">COLUMN(INDIRECT(I187))</f>
        <v>15</v>
      </c>
      <c r="P187" s="23">
        <f t="shared" ca="1" si="5"/>
        <v>1</v>
      </c>
      <c r="S187" s="23" t="b">
        <v>0</v>
      </c>
    </row>
    <row r="188" spans="2:19" ht="22.5" customHeight="1">
      <c r="B188" s="32">
        <f t="shared" si="6"/>
        <v>72</v>
      </c>
      <c r="C188" s="32">
        <v>4</v>
      </c>
      <c r="D188" s="30">
        <v>7</v>
      </c>
      <c r="E188" s="149">
        <f t="shared" ca="1" si="3"/>
        <v>7</v>
      </c>
      <c r="F188" s="103"/>
      <c r="G188" s="33" t="s">
        <v>83</v>
      </c>
      <c r="H188" s="33">
        <v>13</v>
      </c>
      <c r="I188" s="33" t="s">
        <v>148</v>
      </c>
      <c r="J188" s="31" t="s">
        <v>330</v>
      </c>
      <c r="K188" s="23" cm="1">
        <f t="array" aca="1" ref="K188" ca="1">ROW(INDIRECT(J188))</f>
        <v>21</v>
      </c>
      <c r="L188" s="23" cm="1">
        <f t="array" aca="1" ref="L188" ca="1">ROW(INDIRECT(I188))</f>
        <v>14</v>
      </c>
      <c r="M188" s="23">
        <f t="shared" ca="1" si="4"/>
        <v>7</v>
      </c>
      <c r="N188" s="23" cm="1">
        <f t="array" aca="1" ref="N188" ca="1">COLUMN(INDIRECT(J188))</f>
        <v>9</v>
      </c>
      <c r="O188" s="23" cm="1">
        <f t="array" aca="1" ref="O188" ca="1">COLUMN(INDIRECT(I188))</f>
        <v>2</v>
      </c>
      <c r="P188" s="23">
        <f t="shared" ca="1" si="5"/>
        <v>7</v>
      </c>
      <c r="S188" s="23" t="b">
        <v>0</v>
      </c>
    </row>
    <row r="189" spans="2:19" ht="22.5" customHeight="1">
      <c r="B189" s="32">
        <f t="shared" si="6"/>
        <v>73</v>
      </c>
      <c r="C189" s="32">
        <v>4</v>
      </c>
      <c r="D189" s="30">
        <v>7</v>
      </c>
      <c r="E189" s="149">
        <f t="shared" ca="1" si="3"/>
        <v>6</v>
      </c>
      <c r="F189" s="103"/>
      <c r="G189" s="33" t="s">
        <v>63</v>
      </c>
      <c r="H189" s="33">
        <v>4</v>
      </c>
      <c r="I189" s="33" t="s">
        <v>149</v>
      </c>
      <c r="J189" s="31" t="s">
        <v>345</v>
      </c>
      <c r="K189" s="23" cm="1">
        <f t="array" aca="1" ref="K189" ca="1">ROW(INDIRECT(J189))</f>
        <v>22</v>
      </c>
      <c r="L189" s="23" cm="1">
        <f t="array" aca="1" ref="L189" ca="1">ROW(INDIRECT(I189))</f>
        <v>17</v>
      </c>
      <c r="M189" s="23">
        <f t="shared" ca="1" si="4"/>
        <v>5</v>
      </c>
      <c r="N189" s="23" cm="1">
        <f t="array" aca="1" ref="N189" ca="1">COLUMN(INDIRECT(J189))</f>
        <v>5</v>
      </c>
      <c r="O189" s="23" cm="1">
        <f t="array" aca="1" ref="O189" ca="1">COLUMN(INDIRECT(I189))</f>
        <v>11</v>
      </c>
      <c r="P189" s="23">
        <f t="shared" ca="1" si="5"/>
        <v>6</v>
      </c>
      <c r="S189" s="23" t="b">
        <v>0</v>
      </c>
    </row>
    <row r="190" spans="2:19" ht="22.5" customHeight="1">
      <c r="B190" s="32">
        <f t="shared" si="6"/>
        <v>74</v>
      </c>
      <c r="C190" s="32">
        <v>4</v>
      </c>
      <c r="D190" s="30">
        <v>7</v>
      </c>
      <c r="E190" s="149">
        <f t="shared" ca="1" si="3"/>
        <v>7</v>
      </c>
      <c r="F190" s="103"/>
      <c r="G190" s="33" t="s">
        <v>61</v>
      </c>
      <c r="H190" s="33">
        <v>16</v>
      </c>
      <c r="I190" s="33" t="s">
        <v>150</v>
      </c>
      <c r="J190" s="31" t="s">
        <v>346</v>
      </c>
      <c r="K190" s="23" cm="1">
        <f t="array" aca="1" ref="K190" ca="1">ROW(INDIRECT(J190))</f>
        <v>8</v>
      </c>
      <c r="L190" s="23" cm="1">
        <f t="array" aca="1" ref="L190" ca="1">ROW(INDIRECT(I190))</f>
        <v>15</v>
      </c>
      <c r="M190" s="23">
        <f t="shared" ca="1" si="4"/>
        <v>7</v>
      </c>
      <c r="N190" s="23" cm="1">
        <f t="array" aca="1" ref="N190" ca="1">COLUMN(INDIRECT(J190))</f>
        <v>17</v>
      </c>
      <c r="O190" s="23" cm="1">
        <f t="array" aca="1" ref="O190" ca="1">COLUMN(INDIRECT(I190))</f>
        <v>19</v>
      </c>
      <c r="P190" s="23">
        <f t="shared" ca="1" si="5"/>
        <v>2</v>
      </c>
      <c r="S190" s="23" t="b">
        <v>0</v>
      </c>
    </row>
    <row r="191" spans="2:19" ht="22.5" customHeight="1">
      <c r="B191" s="32">
        <f t="shared" si="6"/>
        <v>75</v>
      </c>
      <c r="C191" s="32">
        <v>4</v>
      </c>
      <c r="D191" s="30">
        <v>7</v>
      </c>
      <c r="E191" s="149">
        <f t="shared" ca="1" si="3"/>
        <v>5</v>
      </c>
      <c r="F191" s="103"/>
      <c r="G191" s="33" t="s">
        <v>53</v>
      </c>
      <c r="H191" s="33">
        <v>8</v>
      </c>
      <c r="I191" s="33" t="s">
        <v>151</v>
      </c>
      <c r="J191" s="31" t="s">
        <v>152</v>
      </c>
      <c r="K191" s="23" cm="1">
        <f t="array" aca="1" ref="K191" ca="1">ROW(INDIRECT(J191))</f>
        <v>4</v>
      </c>
      <c r="L191" s="23" cm="1">
        <f t="array" aca="1" ref="L191" ca="1">ROW(INDIRECT(I191))</f>
        <v>9</v>
      </c>
      <c r="M191" s="23">
        <f t="shared" ca="1" si="4"/>
        <v>5</v>
      </c>
      <c r="N191" s="23" cm="1">
        <f t="array" aca="1" ref="N191" ca="1">COLUMN(INDIRECT(J191))</f>
        <v>9</v>
      </c>
      <c r="O191" s="23" cm="1">
        <f t="array" aca="1" ref="O191" ca="1">COLUMN(INDIRECT(I191))</f>
        <v>10</v>
      </c>
      <c r="P191" s="23">
        <f t="shared" ca="1" si="5"/>
        <v>1</v>
      </c>
      <c r="S191" s="23" t="b">
        <v>0</v>
      </c>
    </row>
    <row r="192" spans="2:19" ht="22.5" customHeight="1">
      <c r="B192" s="32">
        <f t="shared" si="6"/>
        <v>76</v>
      </c>
      <c r="C192" s="32">
        <v>4</v>
      </c>
      <c r="D192" s="30">
        <v>7</v>
      </c>
      <c r="E192" s="149">
        <f t="shared" ca="1" si="3"/>
        <v>13</v>
      </c>
      <c r="F192" s="103"/>
      <c r="G192" s="33" t="s">
        <v>57</v>
      </c>
      <c r="H192" s="33">
        <v>8</v>
      </c>
      <c r="I192" s="33" t="s">
        <v>152</v>
      </c>
      <c r="J192" s="31" t="s">
        <v>347</v>
      </c>
      <c r="K192" s="23" cm="1">
        <f t="array" aca="1" ref="K192" ca="1">ROW(INDIRECT(J192))</f>
        <v>17</v>
      </c>
      <c r="L192" s="23" cm="1">
        <f t="array" aca="1" ref="L192" ca="1">ROW(INDIRECT(I192))</f>
        <v>4</v>
      </c>
      <c r="M192" s="23">
        <f t="shared" ca="1" si="4"/>
        <v>13</v>
      </c>
      <c r="N192" s="23" cm="1">
        <f t="array" aca="1" ref="N192" ca="1">COLUMN(INDIRECT(J192))</f>
        <v>9</v>
      </c>
      <c r="O192" s="23" cm="1">
        <f t="array" aca="1" ref="O192" ca="1">COLUMN(INDIRECT(I192))</f>
        <v>9</v>
      </c>
      <c r="P192" s="23">
        <f t="shared" ca="1" si="5"/>
        <v>0</v>
      </c>
      <c r="S192" s="23" t="b">
        <v>0</v>
      </c>
    </row>
    <row r="193" spans="2:19" ht="22.5" customHeight="1">
      <c r="B193" s="32">
        <f t="shared" si="6"/>
        <v>77</v>
      </c>
      <c r="C193" s="32">
        <v>4</v>
      </c>
      <c r="D193" s="30">
        <v>7</v>
      </c>
      <c r="E193" s="149">
        <f t="shared" ca="1" si="3"/>
        <v>6</v>
      </c>
      <c r="F193" s="103"/>
      <c r="G193" s="33" t="s">
        <v>86</v>
      </c>
      <c r="H193" s="33">
        <v>9</v>
      </c>
      <c r="I193" s="33" t="s">
        <v>153</v>
      </c>
      <c r="J193" s="31" t="s">
        <v>348</v>
      </c>
      <c r="K193" s="23" cm="1">
        <f t="array" aca="1" ref="K193" ca="1">ROW(INDIRECT(J193))</f>
        <v>17</v>
      </c>
      <c r="L193" s="23" cm="1">
        <f t="array" aca="1" ref="L193" ca="1">ROW(INDIRECT(I193))</f>
        <v>11</v>
      </c>
      <c r="M193" s="23">
        <f t="shared" ca="1" si="4"/>
        <v>6</v>
      </c>
      <c r="N193" s="23" cm="1">
        <f t="array" aca="1" ref="N193" ca="1">COLUMN(INDIRECT(J193))</f>
        <v>13</v>
      </c>
      <c r="O193" s="23" cm="1">
        <f t="array" aca="1" ref="O193" ca="1">COLUMN(INDIRECT(I193))</f>
        <v>17</v>
      </c>
      <c r="P193" s="23">
        <f t="shared" ca="1" si="5"/>
        <v>4</v>
      </c>
      <c r="S193" s="23" t="b">
        <v>0</v>
      </c>
    </row>
    <row r="194" spans="2:19" ht="22.5" customHeight="1">
      <c r="B194" s="32">
        <f t="shared" si="6"/>
        <v>78</v>
      </c>
      <c r="C194" s="32">
        <v>4</v>
      </c>
      <c r="D194" s="30">
        <v>7</v>
      </c>
      <c r="E194" s="149">
        <f t="shared" ca="1" si="3"/>
        <v>6</v>
      </c>
      <c r="F194" s="103"/>
      <c r="G194" s="33" t="s">
        <v>113</v>
      </c>
      <c r="H194" s="33">
        <v>5</v>
      </c>
      <c r="I194" s="33" t="s">
        <v>108</v>
      </c>
      <c r="J194" s="31" t="s">
        <v>303</v>
      </c>
      <c r="K194" s="23" cm="1">
        <f t="array" aca="1" ref="K194" ca="1">ROW(INDIRECT(J194))</f>
        <v>14</v>
      </c>
      <c r="L194" s="23" cm="1">
        <f t="array" aca="1" ref="L194" ca="1">ROW(INDIRECT(I194))</f>
        <v>8</v>
      </c>
      <c r="M194" s="23">
        <f t="shared" ca="1" si="4"/>
        <v>6</v>
      </c>
      <c r="N194" s="23" cm="1">
        <f t="array" aca="1" ref="N194" ca="1">COLUMN(INDIRECT(J194))</f>
        <v>6</v>
      </c>
      <c r="O194" s="23" cm="1">
        <f t="array" aca="1" ref="O194" ca="1">COLUMN(INDIRECT(I194))</f>
        <v>8</v>
      </c>
      <c r="P194" s="23">
        <f t="shared" ca="1" si="5"/>
        <v>2</v>
      </c>
      <c r="S194" s="23" t="b">
        <v>0</v>
      </c>
    </row>
    <row r="195" spans="2:19" ht="22.5" customHeight="1">
      <c r="B195" s="32">
        <f t="shared" si="6"/>
        <v>79</v>
      </c>
      <c r="C195" s="32">
        <v>4</v>
      </c>
      <c r="D195" s="30">
        <v>7</v>
      </c>
      <c r="E195" s="149">
        <f t="shared" ca="1" si="3"/>
        <v>7</v>
      </c>
      <c r="F195" s="103"/>
      <c r="G195" s="33" t="s">
        <v>84</v>
      </c>
      <c r="H195" s="33">
        <v>14</v>
      </c>
      <c r="I195" s="33" t="s">
        <v>154</v>
      </c>
      <c r="J195" s="31" t="s">
        <v>349</v>
      </c>
      <c r="K195" s="23" cm="1">
        <f t="array" aca="1" ref="K195" ca="1">ROW(INDIRECT(J195))</f>
        <v>26</v>
      </c>
      <c r="L195" s="23" cm="1">
        <f t="array" aca="1" ref="L195" ca="1">ROW(INDIRECT(I195))</f>
        <v>23</v>
      </c>
      <c r="M195" s="23">
        <f t="shared" ca="1" si="4"/>
        <v>3</v>
      </c>
      <c r="N195" s="23" cm="1">
        <f t="array" aca="1" ref="N195" ca="1">COLUMN(INDIRECT(J195))</f>
        <v>8</v>
      </c>
      <c r="O195" s="23" cm="1">
        <f t="array" aca="1" ref="O195" ca="1">COLUMN(INDIRECT(I195))</f>
        <v>15</v>
      </c>
      <c r="P195" s="23">
        <f t="shared" ca="1" si="5"/>
        <v>7</v>
      </c>
      <c r="S195" s="23" t="b">
        <v>0</v>
      </c>
    </row>
    <row r="196" spans="2:19" ht="22.5" customHeight="1">
      <c r="B196" s="32">
        <f t="shared" si="6"/>
        <v>80</v>
      </c>
      <c r="C196" s="32">
        <v>4</v>
      </c>
      <c r="D196" s="30">
        <v>7</v>
      </c>
      <c r="E196" s="149">
        <f t="shared" ca="1" si="3"/>
        <v>8</v>
      </c>
      <c r="F196" s="103"/>
      <c r="G196" s="33" t="s">
        <v>155</v>
      </c>
      <c r="H196" s="33">
        <v>4</v>
      </c>
      <c r="I196" s="33" t="s">
        <v>156</v>
      </c>
      <c r="J196" s="31" t="s">
        <v>350</v>
      </c>
      <c r="K196" s="23" cm="1">
        <f t="array" aca="1" ref="K196" ca="1">ROW(INDIRECT(J196))</f>
        <v>20</v>
      </c>
      <c r="L196" s="23" cm="1">
        <f t="array" aca="1" ref="L196" ca="1">ROW(INDIRECT(I196))</f>
        <v>12</v>
      </c>
      <c r="M196" s="23">
        <f t="shared" ca="1" si="4"/>
        <v>8</v>
      </c>
      <c r="N196" s="23" cm="1">
        <f t="array" aca="1" ref="N196" ca="1">COLUMN(INDIRECT(J196))</f>
        <v>18</v>
      </c>
      <c r="O196" s="23" cm="1">
        <f t="array" aca="1" ref="O196" ca="1">COLUMN(INDIRECT(I196))</f>
        <v>19</v>
      </c>
      <c r="P196" s="23">
        <f t="shared" ca="1" si="5"/>
        <v>1</v>
      </c>
      <c r="S196" s="23" t="b">
        <v>0</v>
      </c>
    </row>
    <row r="197" spans="2:19" ht="15" customHeight="1" thickBot="1">
      <c r="S197" s="23" t="b">
        <v>0</v>
      </c>
    </row>
    <row r="198" spans="2:19" ht="22.5" customHeight="1" thickBot="1">
      <c r="B198" s="102" t="s">
        <v>157</v>
      </c>
      <c r="C198" s="39" t="s">
        <v>158</v>
      </c>
      <c r="D198" s="83" t="s">
        <v>159</v>
      </c>
    </row>
    <row r="199" spans="2:19" s="75" customFormat="1" ht="15" customHeight="1">
      <c r="B199" s="74"/>
      <c r="C199" s="74"/>
      <c r="D199" s="74"/>
      <c r="E199" s="74"/>
      <c r="F199" s="74"/>
      <c r="G199" s="74"/>
      <c r="H199" s="74"/>
      <c r="I199" s="74"/>
    </row>
    <row r="200" spans="2:19" s="75" customFormat="1" ht="15" customHeight="1">
      <c r="B200" s="72" t="s">
        <v>160</v>
      </c>
      <c r="C200" s="74"/>
      <c r="D200" s="74"/>
      <c r="E200" s="74"/>
      <c r="F200" s="74"/>
      <c r="G200" s="74"/>
      <c r="H200" s="74"/>
      <c r="I200" s="74"/>
    </row>
    <row r="201" spans="2:19" s="75" customFormat="1" ht="15" customHeight="1">
      <c r="B201" s="75" t="s">
        <v>161</v>
      </c>
      <c r="C201" s="74"/>
      <c r="D201" s="74"/>
      <c r="E201" s="74"/>
      <c r="F201" s="74"/>
      <c r="G201" s="74"/>
      <c r="H201" s="74"/>
      <c r="I201" s="74"/>
    </row>
    <row r="202" spans="2:19" s="75" customFormat="1" ht="15" customHeight="1">
      <c r="B202" s="76" t="s">
        <v>162</v>
      </c>
      <c r="C202" s="76"/>
      <c r="D202" s="74"/>
      <c r="E202" s="74"/>
      <c r="F202" s="74"/>
      <c r="G202" s="73"/>
      <c r="H202" s="73"/>
      <c r="I202" s="73"/>
    </row>
    <row r="203" spans="2:19" s="75" customFormat="1" ht="15" customHeight="1">
      <c r="B203" s="74"/>
      <c r="C203" s="74"/>
      <c r="D203" s="74"/>
      <c r="E203" s="74"/>
      <c r="F203" s="74"/>
      <c r="G203" s="73"/>
      <c r="H203" s="73"/>
      <c r="I203" s="73"/>
    </row>
    <row r="204" spans="2:19" s="75" customFormat="1" ht="15" customHeight="1">
      <c r="B204" s="72" t="s">
        <v>163</v>
      </c>
      <c r="C204" s="74"/>
      <c r="D204" s="74"/>
      <c r="E204" s="74"/>
      <c r="F204" s="74"/>
      <c r="G204" s="73"/>
      <c r="H204" s="73"/>
      <c r="I204" s="73"/>
    </row>
    <row r="205" spans="2:19" s="75" customFormat="1" ht="15" customHeight="1">
      <c r="B205" s="77" t="s">
        <v>164</v>
      </c>
      <c r="C205" s="74"/>
      <c r="D205" s="74"/>
      <c r="E205" s="74"/>
      <c r="F205" s="74"/>
      <c r="G205" s="73"/>
      <c r="H205" s="73"/>
      <c r="I205" s="73"/>
    </row>
    <row r="206" spans="2:19" s="75" customFormat="1" ht="15" customHeight="1">
      <c r="B206" s="77" t="s">
        <v>165</v>
      </c>
      <c r="C206" s="74"/>
      <c r="D206" s="74"/>
      <c r="E206" s="74"/>
      <c r="F206" s="74"/>
      <c r="G206" s="73"/>
      <c r="H206" s="73"/>
      <c r="I206" s="73"/>
    </row>
    <row r="207" spans="2:19" s="75" customFormat="1" ht="15" customHeight="1">
      <c r="B207" s="77" t="s">
        <v>166</v>
      </c>
      <c r="C207" s="74"/>
      <c r="D207" s="74"/>
      <c r="E207" s="74"/>
      <c r="F207" s="74"/>
      <c r="G207" s="73"/>
      <c r="H207" s="73"/>
      <c r="I207" s="73"/>
    </row>
    <row r="208" spans="2:19" s="75" customFormat="1" ht="15" customHeight="1">
      <c r="B208" s="77" t="s">
        <v>167</v>
      </c>
      <c r="C208" s="74"/>
      <c r="D208" s="74"/>
      <c r="E208" s="74"/>
      <c r="F208" s="74"/>
      <c r="G208" s="73"/>
      <c r="H208" s="73"/>
      <c r="I208" s="73"/>
    </row>
    <row r="210" spans="2:40" s="75" customFormat="1" ht="15" customHeight="1">
      <c r="B210" s="79" t="s">
        <v>128</v>
      </c>
      <c r="C210" s="74"/>
      <c r="D210" s="74"/>
      <c r="E210" s="74"/>
      <c r="F210" s="74"/>
      <c r="G210" s="73"/>
      <c r="H210" s="73"/>
      <c r="I210" s="73"/>
      <c r="J210" s="73"/>
      <c r="K210" s="73"/>
      <c r="L210" s="73"/>
      <c r="M210" s="73"/>
    </row>
    <row r="211" spans="2:40" s="75" customFormat="1" ht="15" customHeight="1">
      <c r="B211" s="77" t="s">
        <v>168</v>
      </c>
      <c r="C211" s="77"/>
      <c r="D211" s="74"/>
      <c r="E211" s="74"/>
      <c r="F211" s="74"/>
      <c r="G211" s="73"/>
      <c r="H211" s="73"/>
      <c r="I211" s="73"/>
      <c r="J211" s="73"/>
      <c r="K211" s="73"/>
      <c r="L211" s="73"/>
      <c r="M211" s="73"/>
    </row>
    <row r="212" spans="2:40" s="75" customFormat="1" ht="15" customHeight="1">
      <c r="B212" s="77" t="s">
        <v>169</v>
      </c>
      <c r="C212" s="77"/>
      <c r="D212" s="74"/>
      <c r="E212" s="74"/>
      <c r="F212" s="74"/>
      <c r="G212" s="73"/>
      <c r="H212" s="73"/>
      <c r="I212" s="73"/>
      <c r="J212" s="73"/>
      <c r="K212" s="73"/>
      <c r="L212" s="73"/>
      <c r="M212" s="73"/>
    </row>
    <row r="213" spans="2:40" s="75" customFormat="1" ht="15" customHeight="1">
      <c r="B213" s="77" t="s">
        <v>170</v>
      </c>
      <c r="C213" s="77"/>
      <c r="D213" s="74"/>
      <c r="E213" s="74"/>
      <c r="F213" s="74"/>
      <c r="G213" s="73"/>
      <c r="H213" s="73"/>
      <c r="I213" s="73"/>
      <c r="J213" s="73"/>
      <c r="K213" s="73"/>
      <c r="L213" s="73"/>
      <c r="M213" s="73"/>
    </row>
    <row r="214" spans="2:40" s="75" customFormat="1" ht="15" customHeight="1" thickBot="1">
      <c r="B214" s="72"/>
      <c r="C214" s="74"/>
      <c r="D214" s="74"/>
      <c r="E214" s="74"/>
      <c r="F214" s="74"/>
      <c r="G214" s="73"/>
      <c r="H214" s="73"/>
      <c r="I214" s="74"/>
      <c r="J214" s="74"/>
      <c r="K214" s="74"/>
      <c r="L214" s="74"/>
      <c r="M214" s="74"/>
    </row>
    <row r="215" spans="2:40" s="75" customFormat="1" ht="22.5" customHeight="1" thickBot="1">
      <c r="B215" s="93" t="s">
        <v>44</v>
      </c>
      <c r="C215" s="94" t="s">
        <v>45</v>
      </c>
      <c r="D215" s="95" t="s">
        <v>16</v>
      </c>
      <c r="E215" s="96" t="s">
        <v>17</v>
      </c>
      <c r="F215" s="74"/>
      <c r="G215" s="94" t="s">
        <v>47</v>
      </c>
      <c r="H215" s="94" t="s">
        <v>132</v>
      </c>
      <c r="I215" s="94" t="s">
        <v>171</v>
      </c>
      <c r="J215" s="94" t="s">
        <v>172</v>
      </c>
      <c r="K215" s="94" t="s">
        <v>173</v>
      </c>
      <c r="L215" s="94" t="s">
        <v>174</v>
      </c>
      <c r="M215" s="94" t="s">
        <v>175</v>
      </c>
      <c r="T215" s="150">
        <v>1</v>
      </c>
      <c r="U215" s="150"/>
      <c r="V215" s="150"/>
      <c r="W215" s="150"/>
      <c r="X215" s="150"/>
      <c r="Y215" s="150"/>
    </row>
    <row r="216" spans="2:40" ht="15" customHeight="1">
      <c r="B216" s="23"/>
      <c r="C216" s="23"/>
      <c r="D216" s="23"/>
      <c r="E216" s="23"/>
      <c r="I216" s="24"/>
      <c r="J216" s="24"/>
      <c r="K216" s="24"/>
      <c r="L216" s="24"/>
      <c r="M216" s="24"/>
      <c r="T216" s="23" t="s">
        <v>331</v>
      </c>
      <c r="U216" s="23" t="s">
        <v>332</v>
      </c>
      <c r="V216" s="23" t="s">
        <v>335</v>
      </c>
      <c r="W216" s="23" t="s">
        <v>333</v>
      </c>
      <c r="X216" s="23" t="s">
        <v>334</v>
      </c>
      <c r="Y216" s="23" t="s">
        <v>335</v>
      </c>
      <c r="AC216" s="23">
        <v>1</v>
      </c>
      <c r="AD216" s="23">
        <v>2</v>
      </c>
      <c r="AE216" s="23">
        <v>3</v>
      </c>
      <c r="AF216" s="23">
        <v>4</v>
      </c>
      <c r="AG216" s="23">
        <v>5</v>
      </c>
    </row>
    <row r="217" spans="2:40" ht="22.5" customHeight="1">
      <c r="B217" s="32" t="s">
        <v>176</v>
      </c>
      <c r="C217" s="29">
        <v>5</v>
      </c>
      <c r="D217" s="30">
        <v>0</v>
      </c>
      <c r="E217" s="34">
        <f>MIN(AC217:AG217)</f>
        <v>3</v>
      </c>
      <c r="F217" s="103"/>
      <c r="G217" s="33">
        <v>16</v>
      </c>
      <c r="H217" s="33" t="s">
        <v>177</v>
      </c>
      <c r="I217" s="33" t="s">
        <v>85</v>
      </c>
      <c r="J217" s="33" t="s">
        <v>90</v>
      </c>
      <c r="K217" s="33" t="s">
        <v>178</v>
      </c>
      <c r="L217" s="33" t="s">
        <v>58</v>
      </c>
      <c r="M217" s="33" t="s">
        <v>82</v>
      </c>
      <c r="O217" s="31" t="str" cm="1">
        <f t="array" aca="1" ref="O217" ca="1">SUBSTITUTE(CELL("adres",OFFSET(INDIRECT(I217),,IF(LEFT(I217)="V",-1,1)*$G217,1,1)),"$","")</f>
        <v>F25</v>
      </c>
      <c r="P217" s="31" t="str" cm="1">
        <f t="array" aca="1" ref="P217" ca="1">SUBSTITUTE(CELL("adres",OFFSET(INDIRECT(J217),,IF(LEFT(J217)="V",-1,1)*$G217,1,1)),"$","")</f>
        <v>F24</v>
      </c>
      <c r="Q217" s="31" t="str" cm="1">
        <f t="array" aca="1" ref="Q217" ca="1">SUBSTITUTE(CELL("adres",OFFSET(INDIRECT(K217),,IF(LEFT(K217)="V",-1,1)*$G217,1,1)),"$","")</f>
        <v>Q15</v>
      </c>
      <c r="R217" s="31" t="str" cm="1">
        <f t="array" aca="1" ref="R217" ca="1">SUBSTITUTE(CELL("adres",OFFSET(INDIRECT(L217),,IF(LEFT(L217)="V",-1,1)*$G217,1,1)),"$","")</f>
        <v>Q16</v>
      </c>
      <c r="S217" s="31" t="str" cm="1">
        <f t="array" aca="1" ref="S217" ca="1">SUBSTITUTE(CELL("adres",OFFSET(INDIRECT(M217),,IF(LEFT(M217)="V",-1,1)*$G217,1,1)),"$","")</f>
        <v>F16</v>
      </c>
      <c r="T217" s="23" cm="1">
        <f t="array" aca="1" ref="T217" ca="1">ROW(INDIRECT(O217))</f>
        <v>25</v>
      </c>
      <c r="U217" s="23" cm="1">
        <f t="array" aca="1" ref="U217" ca="1">ROW(INDIRECT(H217))</f>
        <v>21</v>
      </c>
      <c r="V217" s="23">
        <f ca="1">ABS(U217-T217)</f>
        <v>4</v>
      </c>
      <c r="W217" s="23" cm="1">
        <f t="array" aca="1" ref="W217" ca="1">COLUMN(INDIRECT(O217))</f>
        <v>6</v>
      </c>
      <c r="X217" s="23" cm="1">
        <f t="array" aca="1" ref="X217" ca="1">COLUMN(INDIRECT(H217))</f>
        <v>7</v>
      </c>
      <c r="Y217" s="23">
        <f ca="1">ABS(X217-W217)</f>
        <v>1</v>
      </c>
      <c r="AA217" s="23">
        <f ca="1">MAX(V217,Y217)</f>
        <v>4</v>
      </c>
      <c r="AC217" s="23">
        <v>4</v>
      </c>
      <c r="AD217" s="23">
        <v>3</v>
      </c>
      <c r="AE217" s="23">
        <v>10</v>
      </c>
      <c r="AF217" s="23">
        <v>10</v>
      </c>
      <c r="AG217" s="23">
        <v>5</v>
      </c>
    </row>
    <row r="218" spans="2:40" ht="15" customHeight="1">
      <c r="B218" s="23"/>
      <c r="C218" s="23"/>
      <c r="D218" s="23"/>
      <c r="E218" s="23"/>
      <c r="J218" s="25"/>
      <c r="K218" s="25"/>
      <c r="L218" s="25"/>
      <c r="M218" s="25"/>
    </row>
    <row r="219" spans="2:40" ht="22.5" customHeight="1">
      <c r="B219" s="32">
        <v>81</v>
      </c>
      <c r="C219" s="32">
        <v>5</v>
      </c>
      <c r="D219" s="30">
        <v>8</v>
      </c>
      <c r="E219" s="34">
        <f>MIN(AC219:AG219)</f>
        <v>2</v>
      </c>
      <c r="F219" s="103"/>
      <c r="G219" s="33">
        <v>8</v>
      </c>
      <c r="H219" s="33" t="s">
        <v>140</v>
      </c>
      <c r="I219" s="33" t="s">
        <v>155</v>
      </c>
      <c r="J219" s="33" t="s">
        <v>92</v>
      </c>
      <c r="K219" s="33" t="s">
        <v>57</v>
      </c>
      <c r="L219" s="33" t="s">
        <v>179</v>
      </c>
      <c r="M219" s="33" t="s">
        <v>91</v>
      </c>
      <c r="O219" s="31" t="str" cm="1">
        <f t="array" aca="1" ref="O219" ca="1">SUBSTITUTE(CELL("adres",OFFSET(INDIRECT(I219),,IF(LEFT(I219)="V",-1,1)*$G219,1,1)),"$","")</f>
        <v>N20</v>
      </c>
      <c r="P219" s="31" t="str" cm="1">
        <f t="array" aca="1" ref="P219" ca="1">SUBSTITUTE(CELL("adres",OFFSET(INDIRECT(J219),,IF(LEFT(J219)="V",-1,1)*$G219,1,1)),"$","")</f>
        <v>N5</v>
      </c>
      <c r="Q219" s="31" t="str" cm="1">
        <f t="array" aca="1" ref="Q219" ca="1">SUBSTITUTE(CELL("adres",OFFSET(INDIRECT(K219),,IF(LEFT(K219)="V",-1,1)*$G219,1,1)),"$","")</f>
        <v>I17</v>
      </c>
      <c r="R219" s="31" t="str" cm="1">
        <f t="array" aca="1" ref="R219" ca="1">SUBSTITUTE(CELL("adres",OFFSET(INDIRECT(L219),,IF(LEFT(L219)="V",-1,1)*$G219,1,1)),"$","")</f>
        <v>N23</v>
      </c>
      <c r="S219" s="31" t="str" cm="1">
        <f t="array" aca="1" ref="S219" ca="1">SUBSTITUTE(CELL("adres",OFFSET(INDIRECT(M219),,IF(LEFT(M219)="V",-1,1)*$G219,1,1)),"$","")</f>
        <v>N3</v>
      </c>
      <c r="T219" s="23" cm="1">
        <f t="array" aca="1" ref="T219" ca="1">ROW(INDIRECT(O219))</f>
        <v>20</v>
      </c>
      <c r="U219" s="23" cm="1">
        <f t="array" aca="1" ref="U219" ca="1">ROW(INDIRECT(H219))</f>
        <v>20</v>
      </c>
      <c r="V219" s="23">
        <f ca="1">ABS(U219-T219)</f>
        <v>0</v>
      </c>
      <c r="W219" s="23" cm="1">
        <f t="array" aca="1" ref="W219" ca="1">COLUMN(INDIRECT(O219))</f>
        <v>14</v>
      </c>
      <c r="X219" s="23" cm="1">
        <f t="array" aca="1" ref="X219" ca="1">COLUMN(INDIRECT(H219))</f>
        <v>12</v>
      </c>
      <c r="Y219" s="23">
        <f ca="1">ABS(X219-W219)</f>
        <v>2</v>
      </c>
      <c r="AA219" s="23">
        <f ca="1">MAX(V219,Y219)</f>
        <v>2</v>
      </c>
      <c r="AC219" s="23">
        <v>2</v>
      </c>
      <c r="AD219" s="23">
        <v>15</v>
      </c>
      <c r="AE219" s="23">
        <v>3</v>
      </c>
      <c r="AF219" s="23">
        <v>3</v>
      </c>
      <c r="AG219" s="23">
        <v>17</v>
      </c>
      <c r="AJ219" s="23" t="b" cm="1">
        <f t="array" aca="1" ref="AJ219:AN238" ca="1">O219:S238=H219:H238</f>
        <v>0</v>
      </c>
      <c r="AK219" s="23" t="b">
        <f ca="1"/>
        <v>0</v>
      </c>
      <c r="AL219" s="23" t="b">
        <f ca="1"/>
        <v>0</v>
      </c>
      <c r="AM219" s="23" t="b">
        <f ca="1"/>
        <v>0</v>
      </c>
      <c r="AN219" s="23" t="b">
        <f ca="1"/>
        <v>0</v>
      </c>
    </row>
    <row r="220" spans="2:40" ht="22.5" customHeight="1">
      <c r="B220" s="32">
        <f>B219+1</f>
        <v>82</v>
      </c>
      <c r="C220" s="32">
        <v>5</v>
      </c>
      <c r="D220" s="30">
        <v>8</v>
      </c>
      <c r="E220" s="34">
        <f t="shared" ref="E220:E238" si="7">MIN(AC220:AG220)</f>
        <v>9</v>
      </c>
      <c r="F220" s="103"/>
      <c r="G220" s="33">
        <v>10</v>
      </c>
      <c r="H220" s="33" t="s">
        <v>138</v>
      </c>
      <c r="I220" s="33" t="s">
        <v>66</v>
      </c>
      <c r="J220" s="33" t="s">
        <v>88</v>
      </c>
      <c r="K220" s="33" t="s">
        <v>112</v>
      </c>
      <c r="L220" s="33" t="s">
        <v>81</v>
      </c>
      <c r="M220" s="33" t="s">
        <v>53</v>
      </c>
      <c r="O220" s="31" t="str" cm="1">
        <f t="array" aca="1" ref="O220" ca="1">SUBSTITUTE(CELL("adres",OFFSET(INDIRECT(I220),,IF(LEFT(I220)="V",-1,1)*$G220,1,1)),"$","")</f>
        <v>K20</v>
      </c>
      <c r="P220" s="31" t="str" cm="1">
        <f t="array" aca="1" ref="P220" ca="1">SUBSTITUTE(CELL("adres",OFFSET(INDIRECT(J220),,IF(LEFT(J220)="V",-1,1)*$G220,1,1)),"$","")</f>
        <v>L9</v>
      </c>
      <c r="Q220" s="31" t="str" cm="1">
        <f t="array" aca="1" ref="Q220" ca="1">SUBSTITUTE(CELL("adres",OFFSET(INDIRECT(K220),,IF(LEFT(K220)="V",-1,1)*$G220,1,1)),"$","")</f>
        <v>L2</v>
      </c>
      <c r="R220" s="31" t="str" cm="1">
        <f t="array" aca="1" ref="R220" ca="1">SUBSTITUTE(CELL("adres",OFFSET(INDIRECT(L220),,IF(LEFT(L220)="V",-1,1)*$G220,1,1)),"$","")</f>
        <v>L12</v>
      </c>
      <c r="S220" s="31" t="str" cm="1">
        <f t="array" aca="1" ref="S220" ca="1">SUBSTITUTE(CELL("adres",OFFSET(INDIRECT(M220),,IF(LEFT(M220)="V",-1,1)*$G220,1,1)),"$","")</f>
        <v>K4</v>
      </c>
      <c r="T220" s="23" cm="1">
        <f t="array" aca="1" ref="T220" ca="1">ROW(INDIRECT(O220))</f>
        <v>20</v>
      </c>
      <c r="U220" s="23" cm="1">
        <f t="array" aca="1" ref="U220" ca="1">ROW(INDIRECT(H220))</f>
        <v>2</v>
      </c>
      <c r="V220" s="23">
        <f t="shared" ref="V220:V238" ca="1" si="8">ABS(U220-T220)</f>
        <v>18</v>
      </c>
      <c r="W220" s="23" cm="1">
        <f t="array" aca="1" ref="W220" ca="1">COLUMN(INDIRECT(O220))</f>
        <v>11</v>
      </c>
      <c r="X220" s="23" cm="1">
        <f t="array" aca="1" ref="X220" ca="1">COLUMN(INDIRECT(H220))</f>
        <v>2</v>
      </c>
      <c r="Y220" s="23">
        <f t="shared" ref="Y220:Y238" ca="1" si="9">ABS(X220-W220)</f>
        <v>9</v>
      </c>
      <c r="AA220" s="23">
        <f t="shared" ref="AA220:AA238" ca="1" si="10">MAX(V220,Y220)</f>
        <v>18</v>
      </c>
      <c r="AC220" s="23">
        <v>18</v>
      </c>
      <c r="AD220" s="23">
        <v>10</v>
      </c>
      <c r="AE220" s="23">
        <v>10</v>
      </c>
      <c r="AF220" s="23">
        <v>10</v>
      </c>
      <c r="AG220" s="23">
        <v>9</v>
      </c>
      <c r="AJ220" s="23" t="b">
        <f ca="1"/>
        <v>0</v>
      </c>
      <c r="AK220" s="23" t="b">
        <f ca="1"/>
        <v>0</v>
      </c>
      <c r="AL220" s="23" t="b">
        <f ca="1"/>
        <v>0</v>
      </c>
      <c r="AM220" s="23" t="b">
        <f ca="1"/>
        <v>0</v>
      </c>
      <c r="AN220" s="23" t="b">
        <f ca="1"/>
        <v>0</v>
      </c>
    </row>
    <row r="221" spans="2:40" ht="22.5" customHeight="1">
      <c r="B221" s="32">
        <f>B220+1</f>
        <v>83</v>
      </c>
      <c r="C221" s="32">
        <v>5</v>
      </c>
      <c r="D221" s="30">
        <v>8</v>
      </c>
      <c r="E221" s="34">
        <f t="shared" si="7"/>
        <v>11</v>
      </c>
      <c r="F221" s="103"/>
      <c r="G221" s="33">
        <v>1</v>
      </c>
      <c r="H221" s="33" t="s">
        <v>180</v>
      </c>
      <c r="I221" s="33" t="s">
        <v>62</v>
      </c>
      <c r="J221" s="33" t="s">
        <v>82</v>
      </c>
      <c r="K221" s="33" t="s">
        <v>85</v>
      </c>
      <c r="L221" s="33" t="s">
        <v>114</v>
      </c>
      <c r="M221" s="33" t="s">
        <v>181</v>
      </c>
      <c r="O221" s="31" t="str" cm="1">
        <f t="array" aca="1" ref="O221" ca="1">SUBSTITUTE(CELL("adres",OFFSET(INDIRECT(I221),,IF(LEFT(I221)="V",-1,1)*$G221,1,1)),"$","")</f>
        <v>B6</v>
      </c>
      <c r="P221" s="31" t="str" cm="1">
        <f t="array" aca="1" ref="P221" ca="1">SUBSTITUTE(CELL("adres",OFFSET(INDIRECT(J221),,IF(LEFT(J221)="V",-1,1)*$G221,1,1)),"$","")</f>
        <v>U16</v>
      </c>
      <c r="Q221" s="31" t="str" cm="1">
        <f t="array" aca="1" ref="Q221" ca="1">SUBSTITUTE(CELL("adres",OFFSET(INDIRECT(K221),,IF(LEFT(K221)="V",-1,1)*$G221,1,1)),"$","")</f>
        <v>U25</v>
      </c>
      <c r="R221" s="31" t="str" cm="1">
        <f t="array" aca="1" ref="R221" ca="1">SUBSTITUTE(CELL("adres",OFFSET(INDIRECT(L221),,IF(LEFT(L221)="V",-1,1)*$G221,1,1)),"$","")</f>
        <v>U13</v>
      </c>
      <c r="S221" s="31" t="str" cm="1">
        <f t="array" aca="1" ref="S221" ca="1">SUBSTITUTE(CELL("adres",OFFSET(INDIRECT(M221),,IF(LEFT(M221)="V",-1,1)*$G221,1,1)),"$","")</f>
        <v>U14</v>
      </c>
      <c r="T221" s="23" cm="1">
        <f t="array" aca="1" ref="T221" ca="1">ROW(INDIRECT(O221))</f>
        <v>6</v>
      </c>
      <c r="U221" s="23" cm="1">
        <f t="array" aca="1" ref="U221" ca="1">ROW(INDIRECT(H221))</f>
        <v>17</v>
      </c>
      <c r="V221" s="23">
        <f t="shared" ca="1" si="8"/>
        <v>11</v>
      </c>
      <c r="W221" s="23" cm="1">
        <f t="array" aca="1" ref="W221" ca="1">COLUMN(INDIRECT(O221))</f>
        <v>2</v>
      </c>
      <c r="X221" s="23" cm="1">
        <f t="array" aca="1" ref="X221" ca="1">COLUMN(INDIRECT(H221))</f>
        <v>2</v>
      </c>
      <c r="Y221" s="23">
        <f t="shared" ca="1" si="9"/>
        <v>0</v>
      </c>
      <c r="AA221" s="23">
        <f t="shared" ca="1" si="10"/>
        <v>11</v>
      </c>
      <c r="AC221" s="23">
        <v>11</v>
      </c>
      <c r="AD221" s="23">
        <v>19</v>
      </c>
      <c r="AE221" s="23">
        <v>19</v>
      </c>
      <c r="AF221" s="23">
        <v>19</v>
      </c>
      <c r="AG221" s="23">
        <v>19</v>
      </c>
      <c r="AJ221" s="23" t="b">
        <f ca="1"/>
        <v>0</v>
      </c>
      <c r="AK221" s="23" t="b">
        <f ca="1"/>
        <v>0</v>
      </c>
      <c r="AL221" s="23" t="b">
        <f ca="1"/>
        <v>0</v>
      </c>
      <c r="AM221" s="23" t="b">
        <f ca="1"/>
        <v>0</v>
      </c>
      <c r="AN221" s="23" t="b">
        <f ca="1"/>
        <v>0</v>
      </c>
    </row>
    <row r="222" spans="2:40" ht="22.5" customHeight="1">
      <c r="B222" s="32">
        <f t="shared" ref="B222:B238" si="11">B221+1</f>
        <v>84</v>
      </c>
      <c r="C222" s="32">
        <v>5</v>
      </c>
      <c r="D222" s="30">
        <v>8</v>
      </c>
      <c r="E222" s="34">
        <f t="shared" si="7"/>
        <v>3</v>
      </c>
      <c r="F222" s="103"/>
      <c r="G222" s="33">
        <v>20</v>
      </c>
      <c r="H222" s="33" t="s">
        <v>182</v>
      </c>
      <c r="I222" s="33" t="s">
        <v>90</v>
      </c>
      <c r="J222" s="33" t="s">
        <v>54</v>
      </c>
      <c r="K222" s="33" t="s">
        <v>179</v>
      </c>
      <c r="L222" s="33" t="s">
        <v>62</v>
      </c>
      <c r="M222" s="33" t="s">
        <v>52</v>
      </c>
      <c r="O222" s="31" t="str" cm="1">
        <f t="array" aca="1" ref="O222" ca="1">SUBSTITUTE(CELL("adres",OFFSET(INDIRECT(I222),,IF(LEFT(I222)="V",-1,1)*$G222,1,1)),"$","")</f>
        <v>B24</v>
      </c>
      <c r="P222" s="31" t="str" cm="1">
        <f t="array" aca="1" ref="P222" ca="1">SUBSTITUTE(CELL("adres",OFFSET(INDIRECT(J222),,IF(LEFT(J222)="V",-1,1)*$G222,1,1)),"$","")</f>
        <v>U19</v>
      </c>
      <c r="Q222" s="31" t="str" cm="1">
        <f t="array" aca="1" ref="Q222" ca="1">SUBSTITUTE(CELL("adres",OFFSET(INDIRECT(K222),,IF(LEFT(K222)="V",-1,1)*$G222,1,1)),"$","")</f>
        <v>B23</v>
      </c>
      <c r="R222" s="31" t="str" cm="1">
        <f t="array" aca="1" ref="R222" ca="1">SUBSTITUTE(CELL("adres",OFFSET(INDIRECT(L222),,IF(LEFT(L222)="V",-1,1)*$G222,1,1)),"$","")</f>
        <v>U6</v>
      </c>
      <c r="S222" s="31" t="str" cm="1">
        <f t="array" aca="1" ref="S222" ca="1">SUBSTITUTE(CELL("adres",OFFSET(INDIRECT(M222),,IF(LEFT(M222)="V",-1,1)*$G222,1,1)),"$","")</f>
        <v>U25</v>
      </c>
      <c r="T222" s="23" cm="1">
        <f t="array" aca="1" ref="T222" ca="1">ROW(INDIRECT(O222))</f>
        <v>24</v>
      </c>
      <c r="U222" s="23" cm="1">
        <f t="array" aca="1" ref="U222" ca="1">ROW(INDIRECT(H222))</f>
        <v>25</v>
      </c>
      <c r="V222" s="23">
        <f t="shared" ca="1" si="8"/>
        <v>1</v>
      </c>
      <c r="W222" s="23" cm="1">
        <f t="array" aca="1" ref="W222" ca="1">COLUMN(INDIRECT(O222))</f>
        <v>2</v>
      </c>
      <c r="X222" s="23" cm="1">
        <f t="array" aca="1" ref="X222" ca="1">COLUMN(INDIRECT(H222))</f>
        <v>18</v>
      </c>
      <c r="Y222" s="23">
        <f t="shared" ca="1" si="9"/>
        <v>16</v>
      </c>
      <c r="AA222" s="23">
        <f t="shared" ca="1" si="10"/>
        <v>16</v>
      </c>
      <c r="AC222" s="23">
        <v>16</v>
      </c>
      <c r="AD222" s="23">
        <v>6</v>
      </c>
      <c r="AE222" s="23">
        <v>16</v>
      </c>
      <c r="AF222" s="23">
        <v>19</v>
      </c>
      <c r="AG222" s="23">
        <v>3</v>
      </c>
      <c r="AJ222" s="23" t="b">
        <f ca="1"/>
        <v>0</v>
      </c>
      <c r="AK222" s="23" t="b">
        <f ca="1"/>
        <v>0</v>
      </c>
      <c r="AL222" s="23" t="b">
        <f ca="1"/>
        <v>0</v>
      </c>
      <c r="AM222" s="23" t="b">
        <f ca="1"/>
        <v>0</v>
      </c>
      <c r="AN222" s="23" t="b">
        <f ca="1"/>
        <v>0</v>
      </c>
    </row>
    <row r="223" spans="2:40" ht="22.5" customHeight="1">
      <c r="B223" s="32">
        <f t="shared" si="11"/>
        <v>85</v>
      </c>
      <c r="C223" s="32">
        <v>5</v>
      </c>
      <c r="D223" s="30">
        <v>8</v>
      </c>
      <c r="E223" s="34">
        <f t="shared" si="7"/>
        <v>4</v>
      </c>
      <c r="F223" s="103"/>
      <c r="G223" s="33">
        <v>6</v>
      </c>
      <c r="H223" s="33" t="s">
        <v>183</v>
      </c>
      <c r="I223" s="33" t="s">
        <v>55</v>
      </c>
      <c r="J223" s="33" t="s">
        <v>184</v>
      </c>
      <c r="K223" s="33" t="s">
        <v>91</v>
      </c>
      <c r="L223" s="33" t="s">
        <v>61</v>
      </c>
      <c r="M223" s="33" t="s">
        <v>144</v>
      </c>
      <c r="O223" s="31" t="str" cm="1">
        <f t="array" aca="1" ref="O223" ca="1">SUBSTITUTE(CELL("adres",OFFSET(INDIRECT(I223),,IF(LEFT(I223)="V",-1,1)*$G223,1,1)),"$","")</f>
        <v>G26</v>
      </c>
      <c r="P223" s="31" t="str" cm="1">
        <f t="array" aca="1" ref="P223" ca="1">SUBSTITUTE(CELL("adres",OFFSET(INDIRECT(J223),,IF(LEFT(J223)="V",-1,1)*$G223,1,1)),"$","")</f>
        <v>P19</v>
      </c>
      <c r="Q223" s="31" t="str" cm="1">
        <f t="array" aca="1" ref="Q223" ca="1">SUBSTITUTE(CELL("adres",OFFSET(INDIRECT(K223),,IF(LEFT(K223)="V",-1,1)*$G223,1,1)),"$","")</f>
        <v>P3</v>
      </c>
      <c r="R223" s="31" t="str" cm="1">
        <f t="array" aca="1" ref="R223" ca="1">SUBSTITUTE(CELL("adres",OFFSET(INDIRECT(L223),,IF(LEFT(L223)="V",-1,1)*$G223,1,1)),"$","")</f>
        <v>G8</v>
      </c>
      <c r="S223" s="31" t="str" cm="1">
        <f t="array" aca="1" ref="S223" ca="1">SUBSTITUTE(CELL("adres",OFFSET(INDIRECT(M223),,IF(LEFT(M223)="V",-1,1)*$G223,1,1)),"$","")</f>
        <v>P11</v>
      </c>
      <c r="T223" s="23" cm="1">
        <f t="array" aca="1" ref="T223" ca="1">ROW(INDIRECT(O223))</f>
        <v>26</v>
      </c>
      <c r="U223" s="23" cm="1">
        <f t="array" aca="1" ref="U223" ca="1">ROW(INDIRECT(H223))</f>
        <v>10</v>
      </c>
      <c r="V223" s="23">
        <f t="shared" ca="1" si="8"/>
        <v>16</v>
      </c>
      <c r="W223" s="23" cm="1">
        <f t="array" aca="1" ref="W223" ca="1">COLUMN(INDIRECT(O223))</f>
        <v>7</v>
      </c>
      <c r="X223" s="23" cm="1">
        <f t="array" aca="1" ref="X223" ca="1">COLUMN(INDIRECT(H223))</f>
        <v>12</v>
      </c>
      <c r="Y223" s="23">
        <f t="shared" ca="1" si="9"/>
        <v>5</v>
      </c>
      <c r="AA223" s="23">
        <f t="shared" ca="1" si="10"/>
        <v>16</v>
      </c>
      <c r="AC223" s="23">
        <v>16</v>
      </c>
      <c r="AD223" s="23">
        <v>9</v>
      </c>
      <c r="AE223" s="23">
        <v>7</v>
      </c>
      <c r="AF223" s="23">
        <v>5</v>
      </c>
      <c r="AG223" s="23">
        <v>4</v>
      </c>
      <c r="AJ223" s="23" t="b">
        <f ca="1"/>
        <v>0</v>
      </c>
      <c r="AK223" s="23" t="b">
        <f ca="1"/>
        <v>0</v>
      </c>
      <c r="AL223" s="23" t="b">
        <f ca="1"/>
        <v>0</v>
      </c>
      <c r="AM223" s="23" t="b">
        <f ca="1"/>
        <v>0</v>
      </c>
      <c r="AN223" s="23" t="b">
        <f ca="1"/>
        <v>0</v>
      </c>
    </row>
    <row r="224" spans="2:40" ht="22.5" customHeight="1">
      <c r="B224" s="32">
        <f t="shared" si="11"/>
        <v>86</v>
      </c>
      <c r="C224" s="32">
        <v>5</v>
      </c>
      <c r="D224" s="30">
        <v>8</v>
      </c>
      <c r="E224" s="34">
        <f t="shared" si="7"/>
        <v>3</v>
      </c>
      <c r="F224" s="103"/>
      <c r="G224" s="33">
        <v>17</v>
      </c>
      <c r="H224" s="33" t="s">
        <v>185</v>
      </c>
      <c r="I224" s="33" t="s">
        <v>84</v>
      </c>
      <c r="J224" s="33" t="s">
        <v>92</v>
      </c>
      <c r="K224" s="33" t="s">
        <v>87</v>
      </c>
      <c r="L224" s="33" t="s">
        <v>186</v>
      </c>
      <c r="M224" s="33" t="s">
        <v>65</v>
      </c>
      <c r="O224" s="31" t="str" cm="1">
        <f t="array" aca="1" ref="O224" ca="1">SUBSTITUTE(CELL("adres",OFFSET(INDIRECT(I224),,IF(LEFT(I224)="V",-1,1)*$G224,1,1)),"$","")</f>
        <v>E26</v>
      </c>
      <c r="P224" s="31" t="str" cm="1">
        <f t="array" aca="1" ref="P224" ca="1">SUBSTITUTE(CELL("adres",OFFSET(INDIRECT(J224),,IF(LEFT(J224)="V",-1,1)*$G224,1,1)),"$","")</f>
        <v>E5</v>
      </c>
      <c r="Q224" s="31" t="str" cm="1">
        <f t="array" aca="1" ref="Q224" ca="1">SUBSTITUTE(CELL("adres",OFFSET(INDIRECT(K224),,IF(LEFT(K224)="V",-1,1)*$G224,1,1)),"$","")</f>
        <v>E8</v>
      </c>
      <c r="R224" s="31" t="str" cm="1">
        <f t="array" aca="1" ref="R224" ca="1">SUBSTITUTE(CELL("adres",OFFSET(INDIRECT(L224),,IF(LEFT(L224)="V",-1,1)*$G224,1,1)),"$","")</f>
        <v>E15</v>
      </c>
      <c r="S224" s="31" t="str" cm="1">
        <f t="array" aca="1" ref="S224" ca="1">SUBSTITUTE(CELL("adres",OFFSET(INDIRECT(M224),,IF(LEFT(M224)="V",-1,1)*$G224,1,1)),"$","")</f>
        <v>R12</v>
      </c>
      <c r="T224" s="23" cm="1">
        <f t="array" aca="1" ref="T224" ca="1">ROW(INDIRECT(O224))</f>
        <v>26</v>
      </c>
      <c r="U224" s="23" cm="1">
        <f t="array" aca="1" ref="U224" ca="1">ROW(INDIRECT(H224))</f>
        <v>11</v>
      </c>
      <c r="V224" s="23">
        <f t="shared" ca="1" si="8"/>
        <v>15</v>
      </c>
      <c r="W224" s="23" cm="1">
        <f t="array" aca="1" ref="W224" ca="1">COLUMN(INDIRECT(O224))</f>
        <v>5</v>
      </c>
      <c r="X224" s="23" cm="1">
        <f t="array" aca="1" ref="X224" ca="1">COLUMN(INDIRECT(H224))</f>
        <v>7</v>
      </c>
      <c r="Y224" s="23">
        <f t="shared" ca="1" si="9"/>
        <v>2</v>
      </c>
      <c r="AA224" s="23">
        <f t="shared" ca="1" si="10"/>
        <v>15</v>
      </c>
      <c r="AC224" s="23">
        <v>15</v>
      </c>
      <c r="AD224" s="23">
        <v>6</v>
      </c>
      <c r="AE224" s="23">
        <v>3</v>
      </c>
      <c r="AF224" s="23">
        <v>4</v>
      </c>
      <c r="AG224" s="23">
        <v>11</v>
      </c>
      <c r="AJ224" s="23" t="b">
        <f ca="1"/>
        <v>0</v>
      </c>
      <c r="AK224" s="23" t="b">
        <f ca="1"/>
        <v>0</v>
      </c>
      <c r="AL224" s="23" t="b">
        <f ca="1"/>
        <v>0</v>
      </c>
      <c r="AM224" s="23" t="b">
        <f ca="1"/>
        <v>0</v>
      </c>
      <c r="AN224" s="23" t="b">
        <f ca="1"/>
        <v>0</v>
      </c>
    </row>
    <row r="225" spans="2:40" ht="22.5" customHeight="1">
      <c r="B225" s="32">
        <f t="shared" si="11"/>
        <v>87</v>
      </c>
      <c r="C225" s="32">
        <v>5</v>
      </c>
      <c r="D225" s="30">
        <v>8</v>
      </c>
      <c r="E225" s="34">
        <f t="shared" si="7"/>
        <v>9</v>
      </c>
      <c r="F225" s="103"/>
      <c r="G225" s="33">
        <v>6</v>
      </c>
      <c r="H225" s="33" t="s">
        <v>187</v>
      </c>
      <c r="I225" s="33" t="s">
        <v>58</v>
      </c>
      <c r="J225" s="33" t="s">
        <v>114</v>
      </c>
      <c r="K225" s="33" t="s">
        <v>181</v>
      </c>
      <c r="L225" s="33" t="s">
        <v>86</v>
      </c>
      <c r="M225" s="33" t="s">
        <v>186</v>
      </c>
      <c r="O225" s="31" t="str" cm="1">
        <f t="array" aca="1" ref="O225" ca="1">SUBSTITUTE(CELL("adres",OFFSET(INDIRECT(I225),,IF(LEFT(I225)="V",-1,1)*$G225,1,1)),"$","")</f>
        <v>G16</v>
      </c>
      <c r="P225" s="31" t="str" cm="1">
        <f t="array" aca="1" ref="P225" ca="1">SUBSTITUTE(CELL("adres",OFFSET(INDIRECT(J225),,IF(LEFT(J225)="V",-1,1)*$G225,1,1)),"$","")</f>
        <v>P13</v>
      </c>
      <c r="Q225" s="31" t="str" cm="1">
        <f t="array" aca="1" ref="Q225" ca="1">SUBSTITUTE(CELL("adres",OFFSET(INDIRECT(K225),,IF(LEFT(K225)="V",-1,1)*$G225,1,1)),"$","")</f>
        <v>P14</v>
      </c>
      <c r="R225" s="31" t="str" cm="1">
        <f t="array" aca="1" ref="R225" ca="1">SUBSTITUTE(CELL("adres",OFFSET(INDIRECT(L225),,IF(LEFT(L225)="V",-1,1)*$G225,1,1)),"$","")</f>
        <v>P17</v>
      </c>
      <c r="S225" s="31" t="str" cm="1">
        <f t="array" aca="1" ref="S225" ca="1">SUBSTITUTE(CELL("adres",OFFSET(INDIRECT(M225),,IF(LEFT(M225)="V",-1,1)*$G225,1,1)),"$","")</f>
        <v>P15</v>
      </c>
      <c r="T225" s="23" cm="1">
        <f t="array" aca="1" ref="T225" ca="1">ROW(INDIRECT(O225))</f>
        <v>16</v>
      </c>
      <c r="U225" s="23" cm="1">
        <f t="array" aca="1" ref="U225" ca="1">ROW(INDIRECT(H225))</f>
        <v>7</v>
      </c>
      <c r="V225" s="23">
        <f t="shared" ca="1" si="8"/>
        <v>9</v>
      </c>
      <c r="W225" s="23" cm="1">
        <f t="array" aca="1" ref="W225" ca="1">COLUMN(INDIRECT(O225))</f>
        <v>7</v>
      </c>
      <c r="X225" s="23" cm="1">
        <f t="array" aca="1" ref="X225" ca="1">COLUMN(INDIRECT(H225))</f>
        <v>7</v>
      </c>
      <c r="Y225" s="23">
        <f t="shared" ca="1" si="9"/>
        <v>0</v>
      </c>
      <c r="AA225" s="23">
        <f t="shared" ca="1" si="10"/>
        <v>9</v>
      </c>
      <c r="AC225" s="23">
        <v>9</v>
      </c>
      <c r="AD225" s="23">
        <v>9</v>
      </c>
      <c r="AE225" s="23">
        <v>9</v>
      </c>
      <c r="AF225" s="23">
        <v>10</v>
      </c>
      <c r="AG225" s="23">
        <v>9</v>
      </c>
      <c r="AJ225" s="23" t="b">
        <f ca="1"/>
        <v>0</v>
      </c>
      <c r="AK225" s="23" t="b">
        <f ca="1"/>
        <v>0</v>
      </c>
      <c r="AL225" s="23" t="b">
        <f ca="1"/>
        <v>0</v>
      </c>
      <c r="AM225" s="23" t="b">
        <f ca="1"/>
        <v>0</v>
      </c>
      <c r="AN225" s="23" t="b">
        <f ca="1"/>
        <v>0</v>
      </c>
    </row>
    <row r="226" spans="2:40" ht="22.5" customHeight="1">
      <c r="B226" s="32">
        <f t="shared" si="11"/>
        <v>88</v>
      </c>
      <c r="C226" s="32">
        <v>5</v>
      </c>
      <c r="D226" s="30">
        <v>8</v>
      </c>
      <c r="E226" s="34">
        <f t="shared" si="7"/>
        <v>3</v>
      </c>
      <c r="F226" s="103"/>
      <c r="G226" s="33">
        <v>9</v>
      </c>
      <c r="H226" s="33" t="s">
        <v>188</v>
      </c>
      <c r="I226" s="33" t="s">
        <v>186</v>
      </c>
      <c r="J226" s="33" t="s">
        <v>86</v>
      </c>
      <c r="K226" s="33" t="s">
        <v>115</v>
      </c>
      <c r="L226" s="33" t="s">
        <v>88</v>
      </c>
      <c r="M226" s="33" t="s">
        <v>80</v>
      </c>
      <c r="O226" s="31" t="str" cm="1">
        <f t="array" aca="1" ref="O226" ca="1">SUBSTITUTE(CELL("adres",OFFSET(INDIRECT(I226),,IF(LEFT(I226)="V",-1,1)*$G226,1,1)),"$","")</f>
        <v>M15</v>
      </c>
      <c r="P226" s="31" t="str" cm="1">
        <f t="array" aca="1" ref="P226" ca="1">SUBSTITUTE(CELL("adres",OFFSET(INDIRECT(J226),,IF(LEFT(J226)="V",-1,1)*$G226,1,1)),"$","")</f>
        <v>M17</v>
      </c>
      <c r="Q226" s="31" t="str" cm="1">
        <f t="array" aca="1" ref="Q226" ca="1">SUBSTITUTE(CELL("adres",OFFSET(INDIRECT(K226),,IF(LEFT(K226)="V",-1,1)*$G226,1,1)),"$","")</f>
        <v>J2</v>
      </c>
      <c r="R226" s="31" t="str" cm="1">
        <f t="array" aca="1" ref="R226" ca="1">SUBSTITUTE(CELL("adres",OFFSET(INDIRECT(L226),,IF(LEFT(L226)="V",-1,1)*$G226,1,1)),"$","")</f>
        <v>M9</v>
      </c>
      <c r="S226" s="31" t="str" cm="1">
        <f t="array" aca="1" ref="S226" ca="1">SUBSTITUTE(CELL("adres",OFFSET(INDIRECT(M226),,IF(LEFT(M226)="V",-1,1)*$G226,1,1)),"$","")</f>
        <v>M6</v>
      </c>
      <c r="T226" s="23" cm="1">
        <f t="array" aca="1" ref="T226" ca="1">ROW(INDIRECT(O226))</f>
        <v>15</v>
      </c>
      <c r="U226" s="23" cm="1">
        <f t="array" aca="1" ref="U226" ca="1">ROW(INDIRECT(H226))</f>
        <v>12</v>
      </c>
      <c r="V226" s="23">
        <f t="shared" ca="1" si="8"/>
        <v>3</v>
      </c>
      <c r="W226" s="23" cm="1">
        <f t="array" aca="1" ref="W226" ca="1">COLUMN(INDIRECT(O226))</f>
        <v>13</v>
      </c>
      <c r="X226" s="23" cm="1">
        <f t="array" aca="1" ref="X226" ca="1">COLUMN(INDIRECT(H226))</f>
        <v>13</v>
      </c>
      <c r="Y226" s="23">
        <f t="shared" ca="1" si="9"/>
        <v>0</v>
      </c>
      <c r="AA226" s="23">
        <f t="shared" ca="1" si="10"/>
        <v>3</v>
      </c>
      <c r="AC226" s="23">
        <v>3</v>
      </c>
      <c r="AD226" s="23">
        <v>5</v>
      </c>
      <c r="AE226" s="23">
        <v>10</v>
      </c>
      <c r="AF226" s="23">
        <v>3</v>
      </c>
      <c r="AG226" s="23">
        <v>6</v>
      </c>
      <c r="AJ226" s="23" t="b">
        <f ca="1"/>
        <v>0</v>
      </c>
      <c r="AK226" s="23" t="b">
        <f ca="1"/>
        <v>0</v>
      </c>
      <c r="AL226" s="23" t="b">
        <f ca="1"/>
        <v>0</v>
      </c>
      <c r="AM226" s="23" t="b">
        <f ca="1"/>
        <v>0</v>
      </c>
      <c r="AN226" s="23" t="b">
        <f ca="1"/>
        <v>0</v>
      </c>
    </row>
    <row r="227" spans="2:40" ht="22.5" customHeight="1">
      <c r="B227" s="32">
        <f t="shared" si="11"/>
        <v>89</v>
      </c>
      <c r="C227" s="32">
        <v>5</v>
      </c>
      <c r="D227" s="30">
        <v>8</v>
      </c>
      <c r="E227" s="34">
        <f t="shared" si="7"/>
        <v>6</v>
      </c>
      <c r="F227" s="103"/>
      <c r="G227" s="33">
        <v>2</v>
      </c>
      <c r="H227" s="33" t="s">
        <v>189</v>
      </c>
      <c r="I227" s="33" t="s">
        <v>61</v>
      </c>
      <c r="J227" s="33" t="s">
        <v>190</v>
      </c>
      <c r="K227" s="33" t="s">
        <v>186</v>
      </c>
      <c r="L227" s="33" t="s">
        <v>191</v>
      </c>
      <c r="M227" s="33" t="s">
        <v>192</v>
      </c>
      <c r="O227" s="31" t="str" cm="1">
        <f t="array" aca="1" ref="O227" ca="1">SUBSTITUTE(CELL("adres",OFFSET(INDIRECT(I227),,IF(LEFT(I227)="V",-1,1)*$G227,1,1)),"$","")</f>
        <v>C8</v>
      </c>
      <c r="P227" s="31" t="str" cm="1">
        <f t="array" aca="1" ref="P227" ca="1">SUBSTITUTE(CELL("adres",OFFSET(INDIRECT(J227),,IF(LEFT(J227)="V",-1,1)*$G227,1,1)),"$","")</f>
        <v>C24</v>
      </c>
      <c r="Q227" s="31" t="str" cm="1">
        <f t="array" aca="1" ref="Q227" ca="1">SUBSTITUTE(CELL("adres",OFFSET(INDIRECT(K227),,IF(LEFT(K227)="V",-1,1)*$G227,1,1)),"$","")</f>
        <v>T15</v>
      </c>
      <c r="R227" s="31" t="str" cm="1">
        <f t="array" aca="1" ref="R227" ca="1">SUBSTITUTE(CELL("adres",OFFSET(INDIRECT(L227),,IF(LEFT(L227)="V",-1,1)*$G227,1,1)),"$","")</f>
        <v>T7</v>
      </c>
      <c r="S227" s="31" t="str" cm="1">
        <f t="array" aca="1" ref="S227" ca="1">SUBSTITUTE(CELL("adres",OFFSET(INDIRECT(M227),,IF(LEFT(M227)="V",-1,1)*$G227,1,1)),"$","")</f>
        <v>C23</v>
      </c>
      <c r="T227" s="23" cm="1">
        <f t="array" aca="1" ref="T227" ca="1">ROW(INDIRECT(O227))</f>
        <v>8</v>
      </c>
      <c r="U227" s="23" cm="1">
        <f t="array" aca="1" ref="U227" ca="1">ROW(INDIRECT(H227))</f>
        <v>7</v>
      </c>
      <c r="V227" s="23">
        <f t="shared" ca="1" si="8"/>
        <v>1</v>
      </c>
      <c r="W227" s="23" cm="1">
        <f t="array" aca="1" ref="W227" ca="1">COLUMN(INDIRECT(O227))</f>
        <v>3</v>
      </c>
      <c r="X227" s="23" cm="1">
        <f t="array" aca="1" ref="X227" ca="1">COLUMN(INDIRECT(H227))</f>
        <v>14</v>
      </c>
      <c r="Y227" s="23">
        <f t="shared" ca="1" si="9"/>
        <v>11</v>
      </c>
      <c r="AA227" s="23">
        <f t="shared" ca="1" si="10"/>
        <v>11</v>
      </c>
      <c r="AC227" s="23">
        <v>11</v>
      </c>
      <c r="AD227" s="23">
        <v>17</v>
      </c>
      <c r="AE227" s="23">
        <v>8</v>
      </c>
      <c r="AF227" s="23">
        <v>6</v>
      </c>
      <c r="AG227" s="23">
        <v>16</v>
      </c>
      <c r="AJ227" s="23" t="b">
        <f ca="1"/>
        <v>0</v>
      </c>
      <c r="AK227" s="23" t="b">
        <f ca="1"/>
        <v>0</v>
      </c>
      <c r="AL227" s="23" t="b">
        <f ca="1"/>
        <v>0</v>
      </c>
      <c r="AM227" s="23" t="b">
        <f ca="1"/>
        <v>0</v>
      </c>
      <c r="AN227" s="23" t="b">
        <f ca="1"/>
        <v>0</v>
      </c>
    </row>
    <row r="228" spans="2:40" ht="22.5" customHeight="1">
      <c r="B228" s="32">
        <f t="shared" si="11"/>
        <v>90</v>
      </c>
      <c r="C228" s="32">
        <v>5</v>
      </c>
      <c r="D228" s="30">
        <v>8</v>
      </c>
      <c r="E228" s="34">
        <f t="shared" si="7"/>
        <v>6</v>
      </c>
      <c r="F228" s="103"/>
      <c r="G228" s="33">
        <v>9</v>
      </c>
      <c r="H228" s="33" t="s">
        <v>193</v>
      </c>
      <c r="I228" s="33" t="s">
        <v>64</v>
      </c>
      <c r="J228" s="33" t="s">
        <v>65</v>
      </c>
      <c r="K228" s="33" t="s">
        <v>52</v>
      </c>
      <c r="L228" s="33" t="s">
        <v>80</v>
      </c>
      <c r="M228" s="33" t="s">
        <v>58</v>
      </c>
      <c r="O228" s="31" t="str" cm="1">
        <f t="array" aca="1" ref="O228" ca="1">SUBSTITUTE(CELL("adres",OFFSET(INDIRECT(I228),,IF(LEFT(I228)="V",-1,1)*$G228,1,1)),"$","")</f>
        <v>J9</v>
      </c>
      <c r="P228" s="31" t="str" cm="1">
        <f t="array" aca="1" ref="P228" ca="1">SUBSTITUTE(CELL("adres",OFFSET(INDIRECT(J228),,IF(LEFT(J228)="V",-1,1)*$G228,1,1)),"$","")</f>
        <v>J12</v>
      </c>
      <c r="Q228" s="31" t="str" cm="1">
        <f t="array" aca="1" ref="Q228" ca="1">SUBSTITUTE(CELL("adres",OFFSET(INDIRECT(K228),,IF(LEFT(K228)="V",-1,1)*$G228,1,1)),"$","")</f>
        <v>J25</v>
      </c>
      <c r="R228" s="31" t="str" cm="1">
        <f t="array" aca="1" ref="R228" ca="1">SUBSTITUTE(CELL("adres",OFFSET(INDIRECT(L228),,IF(LEFT(L228)="V",-1,1)*$G228,1,1)),"$","")</f>
        <v>M6</v>
      </c>
      <c r="S228" s="31" t="str" cm="1">
        <f t="array" aca="1" ref="S228" ca="1">SUBSTITUTE(CELL("adres",OFFSET(INDIRECT(M228),,IF(LEFT(M228)="V",-1,1)*$G228,1,1)),"$","")</f>
        <v>J16</v>
      </c>
      <c r="T228" s="23" cm="1">
        <f t="array" aca="1" ref="T228" ca="1">ROW(INDIRECT(O228))</f>
        <v>9</v>
      </c>
      <c r="U228" s="23" cm="1">
        <f t="array" aca="1" ref="U228" ca="1">ROW(INDIRECT(H228))</f>
        <v>13</v>
      </c>
      <c r="V228" s="23">
        <f t="shared" ca="1" si="8"/>
        <v>4</v>
      </c>
      <c r="W228" s="23" cm="1">
        <f t="array" aca="1" ref="W228" ca="1">COLUMN(INDIRECT(O228))</f>
        <v>10</v>
      </c>
      <c r="X228" s="23" cm="1">
        <f t="array" aca="1" ref="X228" ca="1">COLUMN(INDIRECT(H228))</f>
        <v>16</v>
      </c>
      <c r="Y228" s="23">
        <f t="shared" ca="1" si="9"/>
        <v>6</v>
      </c>
      <c r="AA228" s="23">
        <f t="shared" ca="1" si="10"/>
        <v>6</v>
      </c>
      <c r="AC228" s="23">
        <v>6</v>
      </c>
      <c r="AD228" s="23">
        <v>6</v>
      </c>
      <c r="AE228" s="23">
        <v>12</v>
      </c>
      <c r="AF228" s="23">
        <v>7</v>
      </c>
      <c r="AG228" s="23">
        <v>6</v>
      </c>
      <c r="AJ228" s="23" t="b">
        <f ca="1"/>
        <v>0</v>
      </c>
      <c r="AK228" s="23" t="b">
        <f ca="1"/>
        <v>0</v>
      </c>
      <c r="AL228" s="23" t="b">
        <f ca="1"/>
        <v>0</v>
      </c>
      <c r="AM228" s="23" t="b">
        <f ca="1"/>
        <v>0</v>
      </c>
      <c r="AN228" s="23" t="b">
        <f ca="1"/>
        <v>0</v>
      </c>
    </row>
    <row r="229" spans="2:40" ht="22.5" customHeight="1">
      <c r="B229" s="32">
        <f t="shared" si="11"/>
        <v>91</v>
      </c>
      <c r="C229" s="32">
        <v>5</v>
      </c>
      <c r="D229" s="30">
        <v>8</v>
      </c>
      <c r="E229" s="34">
        <f t="shared" si="7"/>
        <v>1</v>
      </c>
      <c r="F229" s="103"/>
      <c r="G229" s="33">
        <v>2</v>
      </c>
      <c r="H229" s="33" t="s">
        <v>194</v>
      </c>
      <c r="I229" s="33" t="s">
        <v>84</v>
      </c>
      <c r="J229" s="33" t="s">
        <v>51</v>
      </c>
      <c r="K229" s="33" t="s">
        <v>178</v>
      </c>
      <c r="L229" s="33" t="s">
        <v>114</v>
      </c>
      <c r="M229" s="33" t="s">
        <v>85</v>
      </c>
      <c r="O229" s="31" t="str" cm="1">
        <f t="array" aca="1" ref="O229" ca="1">SUBSTITUTE(CELL("adres",OFFSET(INDIRECT(I229),,IF(LEFT(I229)="V",-1,1)*$G229,1,1)),"$","")</f>
        <v>T26</v>
      </c>
      <c r="P229" s="31" t="str" cm="1">
        <f t="array" aca="1" ref="P229" ca="1">SUBSTITUTE(CELL("adres",OFFSET(INDIRECT(J229),,IF(LEFT(J229)="V",-1,1)*$G229,1,1)),"$","")</f>
        <v>C10</v>
      </c>
      <c r="Q229" s="31" t="str" cm="1">
        <f t="array" aca="1" ref="Q229" ca="1">SUBSTITUTE(CELL("adres",OFFSET(INDIRECT(K229),,IF(LEFT(K229)="V",-1,1)*$G229,1,1)),"$","")</f>
        <v>C15</v>
      </c>
      <c r="R229" s="31" t="str" cm="1">
        <f t="array" aca="1" ref="R229" ca="1">SUBSTITUTE(CELL("adres",OFFSET(INDIRECT(L229),,IF(LEFT(L229)="V",-1,1)*$G229,1,1)),"$","")</f>
        <v>T13</v>
      </c>
      <c r="S229" s="31" t="str" cm="1">
        <f t="array" aca="1" ref="S229" ca="1">SUBSTITUTE(CELL("adres",OFFSET(INDIRECT(M229),,IF(LEFT(M229)="V",-1,1)*$G229,1,1)),"$","")</f>
        <v>T25</v>
      </c>
      <c r="T229" s="23" cm="1">
        <f t="array" aca="1" ref="T229" ca="1">ROW(INDIRECT(O229))</f>
        <v>26</v>
      </c>
      <c r="U229" s="23" cm="1">
        <f t="array" aca="1" ref="U229" ca="1">ROW(INDIRECT(H229))</f>
        <v>13</v>
      </c>
      <c r="V229" s="23">
        <f t="shared" ca="1" si="8"/>
        <v>13</v>
      </c>
      <c r="W229" s="23" cm="1">
        <f t="array" aca="1" ref="W229" ca="1">COLUMN(INDIRECT(O229))</f>
        <v>20</v>
      </c>
      <c r="X229" s="23" cm="1">
        <f t="array" aca="1" ref="X229" ca="1">COLUMN(INDIRECT(H229))</f>
        <v>21</v>
      </c>
      <c r="Y229" s="23">
        <f t="shared" ca="1" si="9"/>
        <v>1</v>
      </c>
      <c r="AA229" s="23">
        <f t="shared" ca="1" si="10"/>
        <v>13</v>
      </c>
      <c r="AC229" s="23">
        <v>13</v>
      </c>
      <c r="AD229" s="23">
        <v>18</v>
      </c>
      <c r="AE229" s="23">
        <v>18</v>
      </c>
      <c r="AF229" s="23">
        <v>1</v>
      </c>
      <c r="AG229" s="23">
        <v>12</v>
      </c>
      <c r="AJ229" s="23" t="b">
        <f ca="1"/>
        <v>0</v>
      </c>
      <c r="AK229" s="23" t="b">
        <f ca="1"/>
        <v>0</v>
      </c>
      <c r="AL229" s="23" t="b">
        <f ca="1"/>
        <v>0</v>
      </c>
      <c r="AM229" s="23" t="b">
        <f ca="1"/>
        <v>0</v>
      </c>
      <c r="AN229" s="23" t="b">
        <f ca="1"/>
        <v>0</v>
      </c>
    </row>
    <row r="230" spans="2:40" ht="22.5" customHeight="1">
      <c r="B230" s="32">
        <f t="shared" si="11"/>
        <v>92</v>
      </c>
      <c r="C230" s="32">
        <v>5</v>
      </c>
      <c r="D230" s="30">
        <v>8</v>
      </c>
      <c r="E230" s="34">
        <f t="shared" si="7"/>
        <v>3</v>
      </c>
      <c r="F230" s="103"/>
      <c r="G230" s="33">
        <v>19</v>
      </c>
      <c r="H230" s="33" t="s">
        <v>195</v>
      </c>
      <c r="I230" s="33" t="s">
        <v>181</v>
      </c>
      <c r="J230" s="33" t="s">
        <v>80</v>
      </c>
      <c r="K230" s="33" t="s">
        <v>59</v>
      </c>
      <c r="L230" s="33" t="s">
        <v>52</v>
      </c>
      <c r="M230" s="33" t="s">
        <v>111</v>
      </c>
      <c r="O230" s="31" t="str" cm="1">
        <f t="array" aca="1" ref="O230" ca="1">SUBSTITUTE(CELL("adres",OFFSET(INDIRECT(I230),,IF(LEFT(I230)="V",-1,1)*$G230,1,1)),"$","")</f>
        <v>C14</v>
      </c>
      <c r="P230" s="31" t="str" cm="1">
        <f t="array" aca="1" ref="P230" ca="1">SUBSTITUTE(CELL("adres",OFFSET(INDIRECT(J230),,IF(LEFT(J230)="V",-1,1)*$G230,1,1)),"$","")</f>
        <v>C6</v>
      </c>
      <c r="Q230" s="31" t="str" cm="1">
        <f t="array" aca="1" ref="Q230" ca="1">SUBSTITUTE(CELL("adres",OFFSET(INDIRECT(K230),,IF(LEFT(K230)="V",-1,1)*$G230,1,1)),"$","")</f>
        <v>T7</v>
      </c>
      <c r="R230" s="31" t="str" cm="1">
        <f t="array" aca="1" ref="R230" ca="1">SUBSTITUTE(CELL("adres",OFFSET(INDIRECT(L230),,IF(LEFT(L230)="V",-1,1)*$G230,1,1)),"$","")</f>
        <v>T25</v>
      </c>
      <c r="S230" s="31" t="str" cm="1">
        <f t="array" aca="1" ref="S230" ca="1">SUBSTITUTE(CELL("adres",OFFSET(INDIRECT(M230),,IF(LEFT(M230)="V",-1,1)*$G230,1,1)),"$","")</f>
        <v>C18</v>
      </c>
      <c r="T230" s="23" cm="1">
        <f t="array" aca="1" ref="T230" ca="1">ROW(INDIRECT(O230))</f>
        <v>14</v>
      </c>
      <c r="U230" s="23" cm="1">
        <f t="array" aca="1" ref="U230" ca="1">ROW(INDIRECT(H230))</f>
        <v>21</v>
      </c>
      <c r="V230" s="23">
        <f t="shared" ca="1" si="8"/>
        <v>7</v>
      </c>
      <c r="W230" s="23" cm="1">
        <f t="array" aca="1" ref="W230" ca="1">COLUMN(INDIRECT(O230))</f>
        <v>3</v>
      </c>
      <c r="X230" s="23" cm="1">
        <f t="array" aca="1" ref="X230" ca="1">COLUMN(INDIRECT(H230))</f>
        <v>3</v>
      </c>
      <c r="Y230" s="23">
        <f t="shared" ca="1" si="9"/>
        <v>0</v>
      </c>
      <c r="AA230" s="23">
        <f t="shared" ca="1" si="10"/>
        <v>7</v>
      </c>
      <c r="AC230" s="23">
        <v>7</v>
      </c>
      <c r="AD230" s="23">
        <v>15</v>
      </c>
      <c r="AE230" s="23">
        <v>17</v>
      </c>
      <c r="AF230" s="23">
        <v>17</v>
      </c>
      <c r="AG230" s="23">
        <v>3</v>
      </c>
      <c r="AJ230" s="23" t="b">
        <f ca="1"/>
        <v>0</v>
      </c>
      <c r="AK230" s="23" t="b">
        <f ca="1"/>
        <v>0</v>
      </c>
      <c r="AL230" s="23" t="b">
        <f ca="1"/>
        <v>0</v>
      </c>
      <c r="AM230" s="23" t="b">
        <f ca="1"/>
        <v>0</v>
      </c>
      <c r="AN230" s="23" t="b">
        <f ca="1"/>
        <v>0</v>
      </c>
    </row>
    <row r="231" spans="2:40" ht="22.5" customHeight="1">
      <c r="B231" s="32">
        <f t="shared" si="11"/>
        <v>93</v>
      </c>
      <c r="C231" s="32">
        <v>5</v>
      </c>
      <c r="D231" s="30">
        <v>8</v>
      </c>
      <c r="E231" s="34">
        <f t="shared" si="7"/>
        <v>6</v>
      </c>
      <c r="F231" s="103"/>
      <c r="G231" s="33">
        <v>17</v>
      </c>
      <c r="H231" s="33" t="s">
        <v>196</v>
      </c>
      <c r="I231" s="33" t="s">
        <v>80</v>
      </c>
      <c r="J231" s="33" t="s">
        <v>81</v>
      </c>
      <c r="K231" s="33" t="s">
        <v>52</v>
      </c>
      <c r="L231" s="33" t="s">
        <v>53</v>
      </c>
      <c r="M231" s="33" t="s">
        <v>84</v>
      </c>
      <c r="O231" s="31" t="str" cm="1">
        <f t="array" aca="1" ref="O231" ca="1">SUBSTITUTE(CELL("adres",OFFSET(INDIRECT(I231),,IF(LEFT(I231)="V",-1,1)*$G231,1,1)),"$","")</f>
        <v>E6</v>
      </c>
      <c r="P231" s="31" t="str" cm="1">
        <f t="array" aca="1" ref="P231" ca="1">SUBSTITUTE(CELL("adres",OFFSET(INDIRECT(J231),,IF(LEFT(J231)="V",-1,1)*$G231,1,1)),"$","")</f>
        <v>E12</v>
      </c>
      <c r="Q231" s="31" t="str" cm="1">
        <f t="array" aca="1" ref="Q231" ca="1">SUBSTITUTE(CELL("adres",OFFSET(INDIRECT(K231),,IF(LEFT(K231)="V",-1,1)*$G231,1,1)),"$","")</f>
        <v>R25</v>
      </c>
      <c r="R231" s="31" t="str" cm="1">
        <f t="array" aca="1" ref="R231" ca="1">SUBSTITUTE(CELL("adres",OFFSET(INDIRECT(L231),,IF(LEFT(L231)="V",-1,1)*$G231,1,1)),"$","")</f>
        <v>R4</v>
      </c>
      <c r="S231" s="31" t="str" cm="1">
        <f t="array" aca="1" ref="S231" ca="1">SUBSTITUTE(CELL("adres",OFFSET(INDIRECT(M231),,IF(LEFT(M231)="V",-1,1)*$G231,1,1)),"$","")</f>
        <v>E26</v>
      </c>
      <c r="T231" s="23" cm="1">
        <f t="array" aca="1" ref="T231" ca="1">ROW(INDIRECT(O231))</f>
        <v>6</v>
      </c>
      <c r="U231" s="23" cm="1">
        <f t="array" aca="1" ref="U231" ca="1">ROW(INDIRECT(H231))</f>
        <v>19</v>
      </c>
      <c r="V231" s="23">
        <f t="shared" ca="1" si="8"/>
        <v>13</v>
      </c>
      <c r="W231" s="23" cm="1">
        <f t="array" aca="1" ref="W231" ca="1">COLUMN(INDIRECT(O231))</f>
        <v>5</v>
      </c>
      <c r="X231" s="23" cm="1">
        <f t="array" aca="1" ref="X231" ca="1">COLUMN(INDIRECT(H231))</f>
        <v>16</v>
      </c>
      <c r="Y231" s="23">
        <f t="shared" ca="1" si="9"/>
        <v>11</v>
      </c>
      <c r="AA231" s="23">
        <f t="shared" ca="1" si="10"/>
        <v>13</v>
      </c>
      <c r="AC231" s="23">
        <v>13</v>
      </c>
      <c r="AD231" s="23">
        <v>11</v>
      </c>
      <c r="AE231" s="23">
        <v>6</v>
      </c>
      <c r="AF231" s="23">
        <v>15</v>
      </c>
      <c r="AG231" s="23">
        <v>11</v>
      </c>
      <c r="AJ231" s="23" t="b">
        <f ca="1"/>
        <v>0</v>
      </c>
      <c r="AK231" s="23" t="b">
        <f ca="1"/>
        <v>0</v>
      </c>
      <c r="AL231" s="23" t="b">
        <f ca="1"/>
        <v>0</v>
      </c>
      <c r="AM231" s="23" t="b">
        <f ca="1"/>
        <v>0</v>
      </c>
      <c r="AN231" s="23" t="b">
        <f ca="1"/>
        <v>0</v>
      </c>
    </row>
    <row r="232" spans="2:40" ht="22.5" customHeight="1">
      <c r="B232" s="32">
        <f t="shared" si="11"/>
        <v>94</v>
      </c>
      <c r="C232" s="32">
        <v>5</v>
      </c>
      <c r="D232" s="30">
        <v>8</v>
      </c>
      <c r="E232" s="34">
        <f t="shared" si="7"/>
        <v>3</v>
      </c>
      <c r="F232" s="103"/>
      <c r="G232" s="33">
        <v>5</v>
      </c>
      <c r="H232" s="33" t="s">
        <v>197</v>
      </c>
      <c r="I232" s="33" t="s">
        <v>54</v>
      </c>
      <c r="J232" s="33" t="s">
        <v>137</v>
      </c>
      <c r="K232" s="33" t="s">
        <v>83</v>
      </c>
      <c r="L232" s="33" t="s">
        <v>61</v>
      </c>
      <c r="M232" s="33" t="s">
        <v>59</v>
      </c>
      <c r="O232" s="31" t="str" cm="1">
        <f t="array" aca="1" ref="O232" ca="1">SUBSTITUTE(CELL("adres",OFFSET(INDIRECT(I232),,IF(LEFT(I232)="V",-1,1)*$G232,1,1)),"$","")</f>
        <v>F19</v>
      </c>
      <c r="P232" s="31" t="str" cm="1">
        <f t="array" aca="1" ref="P232" ca="1">SUBSTITUTE(CELL("adres",OFFSET(INDIRECT(J232),,IF(LEFT(J232)="V",-1,1)*$G232,1,1)),"$","")</f>
        <v>Q4</v>
      </c>
      <c r="Q232" s="31" t="str" cm="1">
        <f t="array" aca="1" ref="Q232" ca="1">SUBSTITUTE(CELL("adres",OFFSET(INDIRECT(K232),,IF(LEFT(K232)="V",-1,1)*$G232,1,1)),"$","")</f>
        <v>Q21</v>
      </c>
      <c r="R232" s="31" t="str" cm="1">
        <f t="array" aca="1" ref="R232" ca="1">SUBSTITUTE(CELL("adres",OFFSET(INDIRECT(L232),,IF(LEFT(L232)="V",-1,1)*$G232,1,1)),"$","")</f>
        <v>F8</v>
      </c>
      <c r="S232" s="31" t="str" cm="1">
        <f t="array" aca="1" ref="S232" ca="1">SUBSTITUTE(CELL("adres",OFFSET(INDIRECT(M232),,IF(LEFT(M232)="V",-1,1)*$G232,1,1)),"$","")</f>
        <v>F7</v>
      </c>
      <c r="T232" s="23" cm="1">
        <f t="array" aca="1" ref="T232" ca="1">ROW(INDIRECT(O232))</f>
        <v>19</v>
      </c>
      <c r="U232" s="23" cm="1">
        <f t="array" aca="1" ref="U232" ca="1">ROW(INDIRECT(H232))</f>
        <v>18</v>
      </c>
      <c r="V232" s="23">
        <f t="shared" ca="1" si="8"/>
        <v>1</v>
      </c>
      <c r="W232" s="23" cm="1">
        <f t="array" aca="1" ref="W232" ca="1">COLUMN(INDIRECT(O232))</f>
        <v>6</v>
      </c>
      <c r="X232" s="23" cm="1">
        <f t="array" aca="1" ref="X232" ca="1">COLUMN(INDIRECT(H232))</f>
        <v>14</v>
      </c>
      <c r="Y232" s="23">
        <f t="shared" ca="1" si="9"/>
        <v>8</v>
      </c>
      <c r="AA232" s="23">
        <f t="shared" ca="1" si="10"/>
        <v>8</v>
      </c>
      <c r="AC232" s="23">
        <v>8</v>
      </c>
      <c r="AD232" s="23">
        <v>14</v>
      </c>
      <c r="AE232" s="23">
        <v>3</v>
      </c>
      <c r="AF232" s="23">
        <v>10</v>
      </c>
      <c r="AG232" s="23">
        <v>11</v>
      </c>
      <c r="AJ232" s="23" t="b">
        <f ca="1"/>
        <v>0</v>
      </c>
      <c r="AK232" s="23" t="b">
        <f ca="1"/>
        <v>0</v>
      </c>
      <c r="AL232" s="23" t="b">
        <f ca="1"/>
        <v>0</v>
      </c>
      <c r="AM232" s="23" t="b">
        <f ca="1"/>
        <v>0</v>
      </c>
      <c r="AN232" s="23" t="b">
        <f ca="1"/>
        <v>0</v>
      </c>
    </row>
    <row r="233" spans="2:40" ht="22.5" customHeight="1">
      <c r="B233" s="32">
        <f t="shared" si="11"/>
        <v>95</v>
      </c>
      <c r="C233" s="32">
        <v>5</v>
      </c>
      <c r="D233" s="30">
        <v>8</v>
      </c>
      <c r="E233" s="34">
        <f t="shared" si="7"/>
        <v>2</v>
      </c>
      <c r="F233" s="103"/>
      <c r="G233" s="33">
        <v>15</v>
      </c>
      <c r="H233" s="33" t="s">
        <v>198</v>
      </c>
      <c r="I233" s="33" t="s">
        <v>155</v>
      </c>
      <c r="J233" s="33" t="s">
        <v>60</v>
      </c>
      <c r="K233" s="33" t="s">
        <v>137</v>
      </c>
      <c r="L233" s="33" t="s">
        <v>87</v>
      </c>
      <c r="M233" s="33" t="s">
        <v>89</v>
      </c>
      <c r="O233" s="31" t="str" cm="1">
        <f t="array" aca="1" ref="O233" ca="1">SUBSTITUTE(CELL("adres",OFFSET(INDIRECT(I233),,IF(LEFT(I233)="V",-1,1)*$G233,1,1)),"$","")</f>
        <v>G20</v>
      </c>
      <c r="P233" s="31" t="str" cm="1">
        <f t="array" aca="1" ref="P233" ca="1">SUBSTITUTE(CELL("adres",OFFSET(INDIRECT(J233),,IF(LEFT(J233)="V",-1,1)*$G233,1,1)),"$","")</f>
        <v>P21</v>
      </c>
      <c r="Q233" s="31" t="str" cm="1">
        <f t="array" aca="1" ref="Q233" ca="1">SUBSTITUTE(CELL("adres",OFFSET(INDIRECT(K233),,IF(LEFT(K233)="V",-1,1)*$G233,1,1)),"$","")</f>
        <v>G4</v>
      </c>
      <c r="R233" s="31" t="str" cm="1">
        <f t="array" aca="1" ref="R233" ca="1">SUBSTITUTE(CELL("adres",OFFSET(INDIRECT(L233),,IF(LEFT(L233)="V",-1,1)*$G233,1,1)),"$","")</f>
        <v>G8</v>
      </c>
      <c r="S233" s="31" t="str" cm="1">
        <f t="array" aca="1" ref="S233" ca="1">SUBSTITUTE(CELL("adres",OFFSET(INDIRECT(M233),,IF(LEFT(M233)="V",-1,1)*$G233,1,1)),"$","")</f>
        <v>G22</v>
      </c>
      <c r="T233" s="23" cm="1">
        <f t="array" aca="1" ref="T233" ca="1">ROW(INDIRECT(O233))</f>
        <v>20</v>
      </c>
      <c r="U233" s="23" cm="1">
        <f t="array" aca="1" ref="U233" ca="1">ROW(INDIRECT(H233))</f>
        <v>22</v>
      </c>
      <c r="V233" s="23">
        <f t="shared" ca="1" si="8"/>
        <v>2</v>
      </c>
      <c r="W233" s="23" cm="1">
        <f t="array" aca="1" ref="W233" ca="1">COLUMN(INDIRECT(O233))</f>
        <v>7</v>
      </c>
      <c r="X233" s="23" cm="1">
        <f t="array" aca="1" ref="X233" ca="1">COLUMN(INDIRECT(H233))</f>
        <v>9</v>
      </c>
      <c r="Y233" s="23">
        <f t="shared" ca="1" si="9"/>
        <v>2</v>
      </c>
      <c r="AA233" s="23">
        <f t="shared" ca="1" si="10"/>
        <v>2</v>
      </c>
      <c r="AC233" s="23">
        <v>2</v>
      </c>
      <c r="AD233" s="23">
        <v>7</v>
      </c>
      <c r="AE233" s="23">
        <v>18</v>
      </c>
      <c r="AF233" s="23">
        <v>14</v>
      </c>
      <c r="AG233" s="23">
        <v>2</v>
      </c>
      <c r="AJ233" s="23" t="b">
        <f ca="1"/>
        <v>0</v>
      </c>
      <c r="AK233" s="23" t="b">
        <f ca="1"/>
        <v>0</v>
      </c>
      <c r="AL233" s="23" t="b">
        <f ca="1"/>
        <v>0</v>
      </c>
      <c r="AM233" s="23" t="b">
        <f ca="1"/>
        <v>0</v>
      </c>
      <c r="AN233" s="23" t="b">
        <f ca="1"/>
        <v>0</v>
      </c>
    </row>
    <row r="234" spans="2:40" ht="22.5" customHeight="1">
      <c r="B234" s="32">
        <f t="shared" si="11"/>
        <v>96</v>
      </c>
      <c r="C234" s="32">
        <v>5</v>
      </c>
      <c r="D234" s="30">
        <v>8</v>
      </c>
      <c r="E234" s="34">
        <f t="shared" si="7"/>
        <v>5</v>
      </c>
      <c r="F234" s="103"/>
      <c r="G234" s="33">
        <v>13</v>
      </c>
      <c r="H234" s="33" t="s">
        <v>199</v>
      </c>
      <c r="I234" s="33" t="s">
        <v>178</v>
      </c>
      <c r="J234" s="33" t="s">
        <v>137</v>
      </c>
      <c r="K234" s="33" t="s">
        <v>155</v>
      </c>
      <c r="L234" s="33" t="s">
        <v>110</v>
      </c>
      <c r="M234" s="33" t="s">
        <v>200</v>
      </c>
      <c r="O234" s="31" t="str" cm="1">
        <f t="array" aca="1" ref="O234" ca="1">SUBSTITUTE(CELL("adres",OFFSET(INDIRECT(I234),,IF(LEFT(I234)="V",-1,1)*$G234,1,1)),"$","")</f>
        <v>N15</v>
      </c>
      <c r="P234" s="31" t="str" cm="1">
        <f t="array" aca="1" ref="P234" ca="1">SUBSTITUTE(CELL("adres",OFFSET(INDIRECT(J234),,IF(LEFT(J234)="V",-1,1)*$G234,1,1)),"$","")</f>
        <v>I4</v>
      </c>
      <c r="Q234" s="31" t="str" cm="1">
        <f t="array" aca="1" ref="Q234" ca="1">SUBSTITUTE(CELL("adres",OFFSET(INDIRECT(K234),,IF(LEFT(K234)="V",-1,1)*$G234,1,1)),"$","")</f>
        <v>I20</v>
      </c>
      <c r="R234" s="31" t="str" cm="1">
        <f t="array" aca="1" ref="R234" ca="1">SUBSTITUTE(CELL("adres",OFFSET(INDIRECT(L234),,IF(LEFT(L234)="V",-1,1)*$G234,1,1)),"$","")</f>
        <v>N11</v>
      </c>
      <c r="S234" s="31" t="str" cm="1">
        <f t="array" aca="1" ref="S234" ca="1">SUBSTITUTE(CELL("adres",OFFSET(INDIRECT(M234),,IF(LEFT(M234)="V",-1,1)*$G234,1,1)),"$","")</f>
        <v>N18</v>
      </c>
      <c r="T234" s="23" cm="1">
        <f t="array" aca="1" ref="T234" ca="1">ROW(INDIRECT(O234))</f>
        <v>15</v>
      </c>
      <c r="U234" s="23" cm="1">
        <f t="array" aca="1" ref="U234" ca="1">ROW(INDIRECT(H234))</f>
        <v>6</v>
      </c>
      <c r="V234" s="23">
        <f t="shared" ca="1" si="8"/>
        <v>9</v>
      </c>
      <c r="W234" s="23" cm="1">
        <f t="array" aca="1" ref="W234" ca="1">COLUMN(INDIRECT(O234))</f>
        <v>14</v>
      </c>
      <c r="X234" s="23" cm="1">
        <f t="array" aca="1" ref="X234" ca="1">COLUMN(INDIRECT(H234))</f>
        <v>18</v>
      </c>
      <c r="Y234" s="23">
        <f t="shared" ca="1" si="9"/>
        <v>4</v>
      </c>
      <c r="AA234" s="23">
        <f t="shared" ca="1" si="10"/>
        <v>9</v>
      </c>
      <c r="AC234" s="23">
        <v>9</v>
      </c>
      <c r="AD234" s="23">
        <v>9</v>
      </c>
      <c r="AE234" s="23">
        <v>14</v>
      </c>
      <c r="AF234" s="23">
        <v>5</v>
      </c>
      <c r="AG234" s="23">
        <v>12</v>
      </c>
      <c r="AJ234" s="23" t="b">
        <f ca="1"/>
        <v>0</v>
      </c>
      <c r="AK234" s="23" t="b">
        <f ca="1"/>
        <v>0</v>
      </c>
      <c r="AL234" s="23" t="b">
        <f ca="1"/>
        <v>0</v>
      </c>
      <c r="AM234" s="23" t="b">
        <f ca="1"/>
        <v>0</v>
      </c>
      <c r="AN234" s="23" t="b">
        <f ca="1"/>
        <v>0</v>
      </c>
    </row>
    <row r="235" spans="2:40" ht="22.5" customHeight="1">
      <c r="B235" s="32">
        <f t="shared" si="11"/>
        <v>97</v>
      </c>
      <c r="C235" s="32">
        <v>5</v>
      </c>
      <c r="D235" s="30">
        <v>8</v>
      </c>
      <c r="E235" s="34">
        <f t="shared" si="7"/>
        <v>2</v>
      </c>
      <c r="F235" s="103"/>
      <c r="G235" s="33">
        <v>13</v>
      </c>
      <c r="H235" s="33" t="s">
        <v>201</v>
      </c>
      <c r="I235" s="33" t="s">
        <v>200</v>
      </c>
      <c r="J235" s="33" t="s">
        <v>192</v>
      </c>
      <c r="K235" s="33" t="s">
        <v>81</v>
      </c>
      <c r="L235" s="33" t="s">
        <v>83</v>
      </c>
      <c r="M235" s="33" t="s">
        <v>54</v>
      </c>
      <c r="O235" s="31" t="str" cm="1">
        <f t="array" aca="1" ref="O235" ca="1">SUBSTITUTE(CELL("adres",OFFSET(INDIRECT(I235),,IF(LEFT(I235)="V",-1,1)*$G235,1,1)),"$","")</f>
        <v>N18</v>
      </c>
      <c r="P235" s="31" t="str" cm="1">
        <f t="array" aca="1" ref="P235" ca="1">SUBSTITUTE(CELL("adres",OFFSET(INDIRECT(J235),,IF(LEFT(J235)="V",-1,1)*$G235,1,1)),"$","")</f>
        <v>N23</v>
      </c>
      <c r="Q235" s="31" t="str" cm="1">
        <f t="array" aca="1" ref="Q235" ca="1">SUBSTITUTE(CELL("adres",OFFSET(INDIRECT(K235),,IF(LEFT(K235)="V",-1,1)*$G235,1,1)),"$","")</f>
        <v>I12</v>
      </c>
      <c r="R235" s="31" t="str" cm="1">
        <f t="array" aca="1" ref="R235" ca="1">SUBSTITUTE(CELL("adres",OFFSET(INDIRECT(L235),,IF(LEFT(L235)="V",-1,1)*$G235,1,1)),"$","")</f>
        <v>I21</v>
      </c>
      <c r="S235" s="31" t="str" cm="1">
        <f t="array" aca="1" ref="S235" ca="1">SUBSTITUTE(CELL("adres",OFFSET(INDIRECT(M235),,IF(LEFT(M235)="V",-1,1)*$G235,1,1)),"$","")</f>
        <v>N19</v>
      </c>
      <c r="T235" s="23" cm="1">
        <f t="array" aca="1" ref="T235" ca="1">ROW(INDIRECT(O235))</f>
        <v>18</v>
      </c>
      <c r="U235" s="23" cm="1">
        <f t="array" aca="1" ref="U235" ca="1">ROW(INDIRECT(H235))</f>
        <v>25</v>
      </c>
      <c r="V235" s="23">
        <f t="shared" ca="1" si="8"/>
        <v>7</v>
      </c>
      <c r="W235" s="23" cm="1">
        <f t="array" aca="1" ref="W235" ca="1">COLUMN(INDIRECT(O235))</f>
        <v>14</v>
      </c>
      <c r="X235" s="23" cm="1">
        <f t="array" aca="1" ref="X235" ca="1">COLUMN(INDIRECT(H235))</f>
        <v>13</v>
      </c>
      <c r="Y235" s="23">
        <f t="shared" ca="1" si="9"/>
        <v>1</v>
      </c>
      <c r="AA235" s="23">
        <f t="shared" ca="1" si="10"/>
        <v>7</v>
      </c>
      <c r="AC235" s="23">
        <v>7</v>
      </c>
      <c r="AD235" s="23">
        <v>2</v>
      </c>
      <c r="AE235" s="23">
        <v>13</v>
      </c>
      <c r="AF235" s="23">
        <v>4</v>
      </c>
      <c r="AG235" s="23">
        <v>6</v>
      </c>
      <c r="AJ235" s="23" t="b">
        <f ca="1"/>
        <v>0</v>
      </c>
      <c r="AK235" s="23" t="b">
        <f ca="1"/>
        <v>0</v>
      </c>
      <c r="AL235" s="23" t="b">
        <f ca="1"/>
        <v>0</v>
      </c>
      <c r="AM235" s="23" t="b">
        <f ca="1"/>
        <v>0</v>
      </c>
      <c r="AN235" s="23" t="b">
        <f ca="1"/>
        <v>0</v>
      </c>
    </row>
    <row r="236" spans="2:40" ht="22.5" customHeight="1">
      <c r="B236" s="32">
        <f t="shared" si="11"/>
        <v>98</v>
      </c>
      <c r="C236" s="32">
        <v>5</v>
      </c>
      <c r="D236" s="30">
        <v>8</v>
      </c>
      <c r="E236" s="34">
        <f t="shared" si="7"/>
        <v>4</v>
      </c>
      <c r="F236" s="103"/>
      <c r="G236" s="33">
        <v>15</v>
      </c>
      <c r="H236" s="33" t="s">
        <v>149</v>
      </c>
      <c r="I236" s="33" t="s">
        <v>109</v>
      </c>
      <c r="J236" s="33" t="s">
        <v>83</v>
      </c>
      <c r="K236" s="33" t="s">
        <v>155</v>
      </c>
      <c r="L236" s="33" t="s">
        <v>53</v>
      </c>
      <c r="M236" s="33" t="s">
        <v>186</v>
      </c>
      <c r="O236" s="31" t="str" cm="1">
        <f t="array" aca="1" ref="O236" ca="1">SUBSTITUTE(CELL("adres",OFFSET(INDIRECT(I236),,IF(LEFT(I236)="V",-1,1)*$G236,1,1)),"$","")</f>
        <v>P5</v>
      </c>
      <c r="P236" s="31" t="str" cm="1">
        <f t="array" aca="1" ref="P236" ca="1">SUBSTITUTE(CELL("adres",OFFSET(INDIRECT(J236),,IF(LEFT(J236)="V",-1,1)*$G236,1,1)),"$","")</f>
        <v>G21</v>
      </c>
      <c r="Q236" s="31" t="str" cm="1">
        <f t="array" aca="1" ref="Q236" ca="1">SUBSTITUTE(CELL("adres",OFFSET(INDIRECT(K236),,IF(LEFT(K236)="V",-1,1)*$G236,1,1)),"$","")</f>
        <v>G20</v>
      </c>
      <c r="R236" s="31" t="str" cm="1">
        <f t="array" aca="1" ref="R236" ca="1">SUBSTITUTE(CELL("adres",OFFSET(INDIRECT(L236),,IF(LEFT(L236)="V",-1,1)*$G236,1,1)),"$","")</f>
        <v>P4</v>
      </c>
      <c r="S236" s="31" t="str" cm="1">
        <f t="array" aca="1" ref="S236" ca="1">SUBSTITUTE(CELL("adres",OFFSET(INDIRECT(M236),,IF(LEFT(M236)="V",-1,1)*$G236,1,1)),"$","")</f>
        <v>G15</v>
      </c>
      <c r="T236" s="23" cm="1">
        <f t="array" aca="1" ref="T236" ca="1">ROW(INDIRECT(O236))</f>
        <v>5</v>
      </c>
      <c r="U236" s="23" cm="1">
        <f t="array" aca="1" ref="U236" ca="1">ROW(INDIRECT(H236))</f>
        <v>17</v>
      </c>
      <c r="V236" s="23">
        <f t="shared" ca="1" si="8"/>
        <v>12</v>
      </c>
      <c r="W236" s="23" cm="1">
        <f t="array" aca="1" ref="W236" ca="1">COLUMN(INDIRECT(O236))</f>
        <v>16</v>
      </c>
      <c r="X236" s="23" cm="1">
        <f t="array" aca="1" ref="X236" ca="1">COLUMN(INDIRECT(H236))</f>
        <v>11</v>
      </c>
      <c r="Y236" s="23">
        <f t="shared" ca="1" si="9"/>
        <v>5</v>
      </c>
      <c r="AA236" s="23">
        <f t="shared" ca="1" si="10"/>
        <v>12</v>
      </c>
      <c r="AC236" s="23">
        <v>12</v>
      </c>
      <c r="AD236" s="23">
        <v>4</v>
      </c>
      <c r="AE236" s="23">
        <v>4</v>
      </c>
      <c r="AF236" s="23">
        <v>13</v>
      </c>
      <c r="AG236" s="23">
        <v>4</v>
      </c>
      <c r="AJ236" s="23" t="b">
        <f ca="1"/>
        <v>0</v>
      </c>
      <c r="AK236" s="23" t="b">
        <f ca="1"/>
        <v>0</v>
      </c>
      <c r="AL236" s="23" t="b">
        <f ca="1"/>
        <v>0</v>
      </c>
      <c r="AM236" s="23" t="b">
        <f ca="1"/>
        <v>0</v>
      </c>
      <c r="AN236" s="23" t="b">
        <f ca="1"/>
        <v>0</v>
      </c>
    </row>
    <row r="237" spans="2:40" ht="22.5" customHeight="1">
      <c r="B237" s="32">
        <f t="shared" si="11"/>
        <v>99</v>
      </c>
      <c r="C237" s="32">
        <v>5</v>
      </c>
      <c r="D237" s="30">
        <v>8</v>
      </c>
      <c r="E237" s="34">
        <f t="shared" si="7"/>
        <v>2</v>
      </c>
      <c r="F237" s="103"/>
      <c r="G237" s="33">
        <v>5</v>
      </c>
      <c r="H237" s="33" t="s">
        <v>202</v>
      </c>
      <c r="I237" s="33" t="s">
        <v>109</v>
      </c>
      <c r="J237" s="33" t="s">
        <v>51</v>
      </c>
      <c r="K237" s="33" t="s">
        <v>186</v>
      </c>
      <c r="L237" s="33" t="s">
        <v>89</v>
      </c>
      <c r="M237" s="33" t="s">
        <v>83</v>
      </c>
      <c r="O237" s="31" t="str" cm="1">
        <f t="array" aca="1" ref="O237" ca="1">SUBSTITUTE(CELL("adres",OFFSET(INDIRECT(I237),,IF(LEFT(I237)="V",-1,1)*$G237,1,1)),"$","")</f>
        <v>F5</v>
      </c>
      <c r="P237" s="31" t="str" cm="1">
        <f t="array" aca="1" ref="P237" ca="1">SUBSTITUTE(CELL("adres",OFFSET(INDIRECT(J237),,IF(LEFT(J237)="V",-1,1)*$G237,1,1)),"$","")</f>
        <v>F10</v>
      </c>
      <c r="Q237" s="31" t="str" cm="1">
        <f t="array" aca="1" ref="Q237" ca="1">SUBSTITUTE(CELL("adres",OFFSET(INDIRECT(K237),,IF(LEFT(K237)="V",-1,1)*$G237,1,1)),"$","")</f>
        <v>Q15</v>
      </c>
      <c r="R237" s="31" t="str" cm="1">
        <f t="array" aca="1" ref="R237" ca="1">SUBSTITUTE(CELL("adres",OFFSET(INDIRECT(L237),,IF(LEFT(L237)="V",-1,1)*$G237,1,1)),"$","")</f>
        <v>Q22</v>
      </c>
      <c r="S237" s="31" t="str" cm="1">
        <f t="array" aca="1" ref="S237" ca="1">SUBSTITUTE(CELL("adres",OFFSET(INDIRECT(M237),,IF(LEFT(M237)="V",-1,1)*$G237,1,1)),"$","")</f>
        <v>Q21</v>
      </c>
      <c r="T237" s="23" cm="1">
        <f t="array" aca="1" ref="T237" ca="1">ROW(INDIRECT(O237))</f>
        <v>5</v>
      </c>
      <c r="U237" s="23" cm="1">
        <f t="array" aca="1" ref="U237" ca="1">ROW(INDIRECT(H237))</f>
        <v>12</v>
      </c>
      <c r="V237" s="23">
        <f t="shared" ca="1" si="8"/>
        <v>7</v>
      </c>
      <c r="W237" s="23" cm="1">
        <f t="array" aca="1" ref="W237" ca="1">COLUMN(INDIRECT(O237))</f>
        <v>6</v>
      </c>
      <c r="X237" s="23" cm="1">
        <f t="array" aca="1" ref="X237" ca="1">COLUMN(INDIRECT(H237))</f>
        <v>7</v>
      </c>
      <c r="Y237" s="23">
        <f t="shared" ca="1" si="9"/>
        <v>1</v>
      </c>
      <c r="AA237" s="23">
        <f t="shared" ca="1" si="10"/>
        <v>7</v>
      </c>
      <c r="AC237" s="23">
        <v>7</v>
      </c>
      <c r="AD237" s="23">
        <v>2</v>
      </c>
      <c r="AE237" s="23">
        <v>10</v>
      </c>
      <c r="AF237" s="23">
        <v>10</v>
      </c>
      <c r="AG237" s="23">
        <v>10</v>
      </c>
      <c r="AJ237" s="23" t="b">
        <f ca="1"/>
        <v>0</v>
      </c>
      <c r="AK237" s="23" t="b">
        <f ca="1"/>
        <v>0</v>
      </c>
      <c r="AL237" s="23" t="b">
        <f ca="1"/>
        <v>0</v>
      </c>
      <c r="AM237" s="23" t="b">
        <f ca="1"/>
        <v>0</v>
      </c>
      <c r="AN237" s="23" t="b">
        <f ca="1"/>
        <v>0</v>
      </c>
    </row>
    <row r="238" spans="2:40" ht="22.5" customHeight="1">
      <c r="B238" s="32">
        <f t="shared" si="11"/>
        <v>100</v>
      </c>
      <c r="C238" s="32">
        <v>5</v>
      </c>
      <c r="D238" s="30">
        <v>8</v>
      </c>
      <c r="E238" s="34">
        <f t="shared" si="7"/>
        <v>5</v>
      </c>
      <c r="F238" s="103"/>
      <c r="G238" s="33">
        <v>12</v>
      </c>
      <c r="H238" s="33" t="s">
        <v>203</v>
      </c>
      <c r="I238" s="33" t="s">
        <v>111</v>
      </c>
      <c r="J238" s="33" t="s">
        <v>60</v>
      </c>
      <c r="K238" s="33" t="s">
        <v>109</v>
      </c>
      <c r="L238" s="33" t="s">
        <v>190</v>
      </c>
      <c r="M238" s="33" t="s">
        <v>137</v>
      </c>
      <c r="O238" s="31" t="str" cm="1">
        <f t="array" aca="1" ref="O238" ca="1">SUBSTITUTE(CELL("adres",OFFSET(INDIRECT(I238),,IF(LEFT(I238)="V",-1,1)*$G238,1,1)),"$","")</f>
        <v>J18</v>
      </c>
      <c r="P238" s="31" t="str" cm="1">
        <f t="array" aca="1" ref="P238" ca="1">SUBSTITUTE(CELL("adres",OFFSET(INDIRECT(J238),,IF(LEFT(J238)="V",-1,1)*$G238,1,1)),"$","")</f>
        <v>M21</v>
      </c>
      <c r="Q238" s="31" t="str" cm="1">
        <f t="array" aca="1" ref="Q238" ca="1">SUBSTITUTE(CELL("adres",OFFSET(INDIRECT(K238),,IF(LEFT(K238)="V",-1,1)*$G238,1,1)),"$","")</f>
        <v>M5</v>
      </c>
      <c r="R238" s="31" t="str" cm="1">
        <f t="array" aca="1" ref="R238" ca="1">SUBSTITUTE(CELL("adres",OFFSET(INDIRECT(L238),,IF(LEFT(L238)="V",-1,1)*$G238,1,1)),"$","")</f>
        <v>M24</v>
      </c>
      <c r="S238" s="31" t="str" cm="1">
        <f t="array" aca="1" ref="S238" ca="1">SUBSTITUTE(CELL("adres",OFFSET(INDIRECT(M238),,IF(LEFT(M238)="V",-1,1)*$G238,1,1)),"$","")</f>
        <v>J4</v>
      </c>
      <c r="T238" s="23" cm="1">
        <f t="array" aca="1" ref="T238" ca="1">ROW(INDIRECT(O238))</f>
        <v>18</v>
      </c>
      <c r="U238" s="23" cm="1">
        <f t="array" aca="1" ref="U238" ca="1">ROW(INDIRECT(H238))</f>
        <v>21</v>
      </c>
      <c r="V238" s="23">
        <f t="shared" ca="1" si="8"/>
        <v>3</v>
      </c>
      <c r="W238" s="23" cm="1">
        <f t="array" aca="1" ref="W238" ca="1">COLUMN(INDIRECT(O238))</f>
        <v>10</v>
      </c>
      <c r="X238" s="23" cm="1">
        <f t="array" aca="1" ref="X238" ca="1">COLUMN(INDIRECT(H238))</f>
        <v>18</v>
      </c>
      <c r="Y238" s="23">
        <f t="shared" ca="1" si="9"/>
        <v>8</v>
      </c>
      <c r="AA238" s="23">
        <f t="shared" ca="1" si="10"/>
        <v>8</v>
      </c>
      <c r="AC238" s="23">
        <v>8</v>
      </c>
      <c r="AD238" s="23">
        <v>5</v>
      </c>
      <c r="AE238" s="23">
        <v>16</v>
      </c>
      <c r="AF238" s="23">
        <v>5</v>
      </c>
      <c r="AG238" s="23">
        <v>17</v>
      </c>
      <c r="AJ238" s="23" t="b">
        <f ca="1"/>
        <v>0</v>
      </c>
      <c r="AK238" s="23" t="b">
        <f ca="1"/>
        <v>0</v>
      </c>
      <c r="AL238" s="23" t="b">
        <f ca="1"/>
        <v>0</v>
      </c>
      <c r="AM238" s="23" t="b">
        <f ca="1"/>
        <v>0</v>
      </c>
      <c r="AN238" s="23" t="b">
        <f ca="1"/>
        <v>0</v>
      </c>
    </row>
    <row r="239" spans="2:40" ht="15" customHeight="1" thickBot="1">
      <c r="G239" s="23"/>
    </row>
    <row r="240" spans="2:40" ht="22.5" customHeight="1" thickBot="1">
      <c r="B240" s="102" t="s">
        <v>204</v>
      </c>
      <c r="C240" s="40" t="s">
        <v>205</v>
      </c>
      <c r="D240" s="83" t="s">
        <v>206</v>
      </c>
      <c r="J240" s="25"/>
      <c r="K240" s="25"/>
      <c r="L240" s="25"/>
      <c r="M240" s="25"/>
    </row>
    <row r="242" spans="2:295" s="75" customFormat="1" ht="15" customHeight="1">
      <c r="B242" s="76" t="s">
        <v>207</v>
      </c>
    </row>
    <row r="243" spans="2:295" s="75" customFormat="1" ht="15" customHeight="1">
      <c r="B243" s="76" t="s">
        <v>208</v>
      </c>
    </row>
    <row r="244" spans="2:295" s="75" customFormat="1" ht="15" customHeight="1">
      <c r="B244" s="84" t="s">
        <v>209</v>
      </c>
    </row>
    <row r="245" spans="2:295" s="75" customFormat="1" ht="15" customHeight="1">
      <c r="B245" s="72" t="s">
        <v>210</v>
      </c>
    </row>
    <row r="246" spans="2:295" s="75" customFormat="1" ht="15" customHeight="1">
      <c r="B246" s="75" t="s">
        <v>161</v>
      </c>
      <c r="BK246" s="75">
        <f ca="1">SUM(_xlfn.ANCHORARRAY(BL246))</f>
        <v>21</v>
      </c>
      <c r="BL246" s="75" cm="1">
        <f t="array" aca="1" ref="BL246:KI246" ca="1">COUNTIF(_xlfn.ANCHORARRAY(Scene!C40),_xlfn.ANCHORARRAY(Case!BL247))</f>
        <v>0</v>
      </c>
      <c r="BM246" s="75">
        <f ca="1"/>
        <v>0</v>
      </c>
      <c r="BN246" s="75">
        <f ca="1"/>
        <v>0</v>
      </c>
      <c r="BO246" s="75">
        <f ca="1"/>
        <v>0</v>
      </c>
      <c r="BP246" s="75">
        <f ca="1"/>
        <v>1</v>
      </c>
      <c r="BQ246" s="75">
        <f ca="1"/>
        <v>1</v>
      </c>
      <c r="BR246" s="75">
        <f ca="1"/>
        <v>0</v>
      </c>
      <c r="BS246" s="75">
        <f ca="1"/>
        <v>0</v>
      </c>
      <c r="BT246" s="75">
        <f ca="1"/>
        <v>0</v>
      </c>
      <c r="BU246" s="75">
        <f ca="1"/>
        <v>0</v>
      </c>
      <c r="BV246" s="75">
        <f ca="1"/>
        <v>0</v>
      </c>
      <c r="BW246" s="75">
        <f ca="1"/>
        <v>0</v>
      </c>
      <c r="BX246" s="75">
        <f ca="1"/>
        <v>0</v>
      </c>
      <c r="BY246" s="75">
        <f ca="1"/>
        <v>0</v>
      </c>
      <c r="BZ246" s="75">
        <f ca="1"/>
        <v>0</v>
      </c>
      <c r="CA246" s="75">
        <f ca="1"/>
        <v>1</v>
      </c>
      <c r="CB246" s="75">
        <f ca="1"/>
        <v>0</v>
      </c>
      <c r="CC246" s="75">
        <f ca="1"/>
        <v>0</v>
      </c>
      <c r="CD246" s="75">
        <f ca="1"/>
        <v>0</v>
      </c>
      <c r="CE246" s="75">
        <f ca="1"/>
        <v>0</v>
      </c>
      <c r="CF246" s="75">
        <f ca="1"/>
        <v>0</v>
      </c>
      <c r="CG246" s="75">
        <f ca="1"/>
        <v>0</v>
      </c>
      <c r="CH246" s="75">
        <f ca="1"/>
        <v>0</v>
      </c>
      <c r="CI246" s="75">
        <f ca="1"/>
        <v>0</v>
      </c>
      <c r="CJ246" s="75">
        <f ca="1"/>
        <v>0</v>
      </c>
      <c r="CK246" s="75">
        <f ca="1"/>
        <v>0</v>
      </c>
      <c r="CL246" s="75">
        <f ca="1"/>
        <v>0</v>
      </c>
      <c r="CM246" s="75">
        <f ca="1"/>
        <v>0</v>
      </c>
      <c r="CN246" s="75">
        <f ca="1"/>
        <v>0</v>
      </c>
      <c r="CO246" s="75">
        <f ca="1"/>
        <v>1</v>
      </c>
      <c r="CP246" s="75">
        <f ca="1"/>
        <v>0</v>
      </c>
      <c r="CQ246" s="75">
        <f ca="1"/>
        <v>0</v>
      </c>
      <c r="CR246" s="75">
        <f ca="1"/>
        <v>1</v>
      </c>
      <c r="CS246" s="75">
        <f ca="1"/>
        <v>0</v>
      </c>
      <c r="CT246" s="75">
        <f ca="1"/>
        <v>0</v>
      </c>
      <c r="CU246" s="75">
        <f ca="1"/>
        <v>0</v>
      </c>
      <c r="CV246" s="75">
        <f ca="1"/>
        <v>0</v>
      </c>
      <c r="CW246" s="75">
        <f ca="1"/>
        <v>0</v>
      </c>
      <c r="CX246" s="75">
        <f ca="1"/>
        <v>0</v>
      </c>
      <c r="CY246" s="75">
        <f ca="1"/>
        <v>0</v>
      </c>
      <c r="CZ246" s="75">
        <f ca="1"/>
        <v>0</v>
      </c>
      <c r="DA246" s="75">
        <f ca="1"/>
        <v>0</v>
      </c>
      <c r="DB246" s="75">
        <f ca="1"/>
        <v>0</v>
      </c>
      <c r="DC246" s="75">
        <f ca="1"/>
        <v>0</v>
      </c>
      <c r="DD246" s="75">
        <f ca="1"/>
        <v>0</v>
      </c>
      <c r="DE246" s="75">
        <f ca="1"/>
        <v>0</v>
      </c>
      <c r="DF246" s="75">
        <f ca="1"/>
        <v>0</v>
      </c>
      <c r="DG246" s="75">
        <f ca="1"/>
        <v>0</v>
      </c>
      <c r="DH246" s="75">
        <f ca="1"/>
        <v>0</v>
      </c>
      <c r="DI246" s="75">
        <f ca="1"/>
        <v>0</v>
      </c>
      <c r="DJ246" s="75">
        <f ca="1"/>
        <v>0</v>
      </c>
      <c r="DK246" s="75">
        <f ca="1"/>
        <v>0</v>
      </c>
      <c r="DL246" s="75">
        <f ca="1"/>
        <v>1</v>
      </c>
      <c r="DM246" s="75">
        <f ca="1"/>
        <v>0</v>
      </c>
      <c r="DN246" s="75">
        <f ca="1"/>
        <v>0</v>
      </c>
      <c r="DO246" s="75">
        <f ca="1"/>
        <v>0</v>
      </c>
      <c r="DP246" s="75">
        <f ca="1"/>
        <v>0</v>
      </c>
      <c r="DQ246" s="75">
        <f ca="1"/>
        <v>0</v>
      </c>
      <c r="DR246" s="75">
        <f ca="1"/>
        <v>0</v>
      </c>
      <c r="DS246" s="75">
        <f ca="1"/>
        <v>0</v>
      </c>
      <c r="DT246" s="75">
        <f ca="1"/>
        <v>0</v>
      </c>
      <c r="DU246" s="75">
        <f ca="1"/>
        <v>1</v>
      </c>
      <c r="DV246" s="75">
        <f ca="1"/>
        <v>0</v>
      </c>
      <c r="DW246" s="75">
        <f ca="1"/>
        <v>0</v>
      </c>
      <c r="DX246" s="75">
        <f ca="1"/>
        <v>0</v>
      </c>
      <c r="DY246" s="75">
        <f ca="1"/>
        <v>0</v>
      </c>
      <c r="DZ246" s="75">
        <f ca="1"/>
        <v>0</v>
      </c>
      <c r="EA246" s="75">
        <f ca="1"/>
        <v>0</v>
      </c>
      <c r="EB246" s="75">
        <f ca="1"/>
        <v>0</v>
      </c>
      <c r="EC246" s="75">
        <f ca="1"/>
        <v>0</v>
      </c>
      <c r="ED246" s="75">
        <f ca="1"/>
        <v>0</v>
      </c>
      <c r="EE246" s="75">
        <f ca="1"/>
        <v>0</v>
      </c>
      <c r="EF246" s="75">
        <f ca="1"/>
        <v>0</v>
      </c>
      <c r="EG246" s="75">
        <f ca="1"/>
        <v>0</v>
      </c>
      <c r="EH246" s="75">
        <f ca="1"/>
        <v>1</v>
      </c>
      <c r="EI246" s="75">
        <f ca="1"/>
        <v>0</v>
      </c>
      <c r="EJ246" s="75">
        <f ca="1"/>
        <v>0</v>
      </c>
      <c r="EK246" s="75">
        <f ca="1"/>
        <v>0</v>
      </c>
      <c r="EL246" s="75">
        <f ca="1"/>
        <v>0</v>
      </c>
      <c r="EM246" s="75">
        <f ca="1"/>
        <v>0</v>
      </c>
      <c r="EN246" s="75">
        <f ca="1"/>
        <v>0</v>
      </c>
      <c r="EO246" s="75">
        <f ca="1"/>
        <v>0</v>
      </c>
      <c r="EP246" s="75">
        <f ca="1"/>
        <v>0</v>
      </c>
      <c r="EQ246" s="75">
        <f ca="1"/>
        <v>0</v>
      </c>
      <c r="ER246" s="75">
        <f ca="1"/>
        <v>0</v>
      </c>
      <c r="ES246" s="75">
        <f ca="1"/>
        <v>0</v>
      </c>
      <c r="ET246" s="75">
        <f ca="1"/>
        <v>0</v>
      </c>
      <c r="EU246" s="75">
        <f ca="1"/>
        <v>0</v>
      </c>
      <c r="EV246" s="75">
        <f ca="1"/>
        <v>0</v>
      </c>
      <c r="EW246" s="75">
        <f ca="1"/>
        <v>1</v>
      </c>
      <c r="EX246" s="75">
        <f ca="1"/>
        <v>0</v>
      </c>
      <c r="EY246" s="75">
        <f ca="1"/>
        <v>0</v>
      </c>
      <c r="EZ246" s="75">
        <f ca="1"/>
        <v>0</v>
      </c>
      <c r="FA246" s="75">
        <f ca="1"/>
        <v>0</v>
      </c>
      <c r="FB246" s="75">
        <f ca="1"/>
        <v>0</v>
      </c>
      <c r="FC246" s="75">
        <f ca="1"/>
        <v>0</v>
      </c>
      <c r="FD246" s="75">
        <f ca="1"/>
        <v>0</v>
      </c>
      <c r="FE246" s="75">
        <f ca="1"/>
        <v>0</v>
      </c>
      <c r="FF246" s="75">
        <f ca="1"/>
        <v>0</v>
      </c>
      <c r="FG246" s="75">
        <f ca="1"/>
        <v>1</v>
      </c>
      <c r="FH246" s="75">
        <f ca="1"/>
        <v>0</v>
      </c>
      <c r="FI246" s="75">
        <f ca="1"/>
        <v>0</v>
      </c>
      <c r="FJ246" s="75">
        <f ca="1"/>
        <v>0</v>
      </c>
      <c r="FK246" s="75">
        <f ca="1"/>
        <v>0</v>
      </c>
      <c r="FL246" s="75">
        <f ca="1"/>
        <v>1</v>
      </c>
      <c r="FM246" s="75">
        <f ca="1"/>
        <v>1</v>
      </c>
      <c r="FN246" s="75">
        <f ca="1"/>
        <v>0</v>
      </c>
      <c r="FO246" s="75">
        <f ca="1"/>
        <v>0</v>
      </c>
      <c r="FP246" s="75">
        <f ca="1"/>
        <v>0</v>
      </c>
      <c r="FQ246" s="75">
        <f ca="1"/>
        <v>0</v>
      </c>
      <c r="FR246" s="75">
        <f ca="1"/>
        <v>0</v>
      </c>
      <c r="FS246" s="75">
        <f ca="1"/>
        <v>0</v>
      </c>
      <c r="FT246" s="75">
        <f ca="1"/>
        <v>0</v>
      </c>
      <c r="FU246" s="75">
        <f ca="1"/>
        <v>0</v>
      </c>
      <c r="FV246" s="75">
        <f ca="1"/>
        <v>0</v>
      </c>
      <c r="FW246" s="75">
        <f ca="1"/>
        <v>0</v>
      </c>
      <c r="FX246" s="75">
        <f ca="1"/>
        <v>0</v>
      </c>
      <c r="FY246" s="75">
        <f ca="1"/>
        <v>0</v>
      </c>
      <c r="FZ246" s="75">
        <f ca="1"/>
        <v>0</v>
      </c>
      <c r="GA246" s="75">
        <f ca="1"/>
        <v>0</v>
      </c>
      <c r="GB246" s="75">
        <f ca="1"/>
        <v>1</v>
      </c>
      <c r="GC246" s="75">
        <f ca="1"/>
        <v>0</v>
      </c>
      <c r="GD246" s="75">
        <f ca="1"/>
        <v>1</v>
      </c>
      <c r="GE246" s="75">
        <f ca="1"/>
        <v>0</v>
      </c>
      <c r="GF246" s="75">
        <f ca="1"/>
        <v>0</v>
      </c>
      <c r="GG246" s="75">
        <f ca="1"/>
        <v>0</v>
      </c>
      <c r="GH246" s="75">
        <f ca="1"/>
        <v>0</v>
      </c>
      <c r="GI246" s="75">
        <f ca="1"/>
        <v>0</v>
      </c>
      <c r="GJ246" s="75">
        <f ca="1"/>
        <v>1</v>
      </c>
      <c r="GK246" s="75">
        <f ca="1"/>
        <v>0</v>
      </c>
      <c r="GL246" s="75">
        <f ca="1"/>
        <v>1</v>
      </c>
      <c r="GM246" s="75">
        <f ca="1"/>
        <v>0</v>
      </c>
      <c r="GN246" s="75">
        <f ca="1"/>
        <v>0</v>
      </c>
      <c r="GO246" s="75">
        <f ca="1"/>
        <v>0</v>
      </c>
      <c r="GP246" s="75">
        <f ca="1"/>
        <v>0</v>
      </c>
      <c r="GQ246" s="75">
        <f ca="1"/>
        <v>0</v>
      </c>
      <c r="GR246" s="75">
        <f ca="1"/>
        <v>0</v>
      </c>
      <c r="GS246" s="75">
        <f ca="1"/>
        <v>0</v>
      </c>
      <c r="GT246" s="75">
        <f ca="1"/>
        <v>0</v>
      </c>
      <c r="GU246" s="75">
        <f ca="1"/>
        <v>1</v>
      </c>
      <c r="GV246" s="75">
        <f ca="1"/>
        <v>1</v>
      </c>
      <c r="GW246" s="75">
        <f ca="1"/>
        <v>0</v>
      </c>
      <c r="GX246" s="75">
        <f ca="1"/>
        <v>0</v>
      </c>
      <c r="GY246" s="75">
        <f ca="1"/>
        <v>0</v>
      </c>
      <c r="GZ246" s="75">
        <f ca="1"/>
        <v>0</v>
      </c>
      <c r="HA246" s="75">
        <f ca="1"/>
        <v>0</v>
      </c>
      <c r="HB246" s="75">
        <f ca="1"/>
        <v>0</v>
      </c>
      <c r="HC246" s="75">
        <f ca="1"/>
        <v>0</v>
      </c>
      <c r="HD246" s="75">
        <f ca="1"/>
        <v>0</v>
      </c>
      <c r="HE246" s="75">
        <f ca="1"/>
        <v>0</v>
      </c>
      <c r="HF246" s="75">
        <f ca="1"/>
        <v>0</v>
      </c>
      <c r="HG246" s="75">
        <f ca="1"/>
        <v>0</v>
      </c>
      <c r="HH246" s="75">
        <f ca="1"/>
        <v>0</v>
      </c>
      <c r="HI246" s="75">
        <f ca="1"/>
        <v>0</v>
      </c>
      <c r="HJ246" s="75">
        <f ca="1"/>
        <v>0</v>
      </c>
      <c r="HK246" s="75">
        <f ca="1"/>
        <v>0</v>
      </c>
      <c r="HL246" s="75">
        <f ca="1"/>
        <v>0</v>
      </c>
      <c r="HM246" s="75">
        <f ca="1"/>
        <v>0</v>
      </c>
      <c r="HN246" s="75">
        <f ca="1"/>
        <v>0</v>
      </c>
      <c r="HO246" s="75">
        <f ca="1"/>
        <v>0</v>
      </c>
      <c r="HP246" s="75">
        <f ca="1"/>
        <v>0</v>
      </c>
      <c r="HQ246" s="75">
        <f ca="1"/>
        <v>0</v>
      </c>
      <c r="HR246" s="75">
        <f ca="1"/>
        <v>0</v>
      </c>
      <c r="HS246" s="75">
        <f ca="1"/>
        <v>0</v>
      </c>
      <c r="HT246" s="75">
        <f ca="1"/>
        <v>0</v>
      </c>
      <c r="HU246" s="75">
        <f ca="1"/>
        <v>0</v>
      </c>
      <c r="HV246" s="75">
        <f ca="1"/>
        <v>0</v>
      </c>
      <c r="HW246" s="75">
        <f ca="1"/>
        <v>0</v>
      </c>
      <c r="HX246" s="75">
        <f ca="1"/>
        <v>0</v>
      </c>
      <c r="HY246" s="75">
        <f ca="1"/>
        <v>0</v>
      </c>
      <c r="HZ246" s="75">
        <f ca="1"/>
        <v>0</v>
      </c>
      <c r="IA246" s="75">
        <f ca="1"/>
        <v>0</v>
      </c>
      <c r="IB246" s="75">
        <f ca="1"/>
        <v>0</v>
      </c>
      <c r="IC246" s="75">
        <f ca="1"/>
        <v>0</v>
      </c>
      <c r="ID246" s="75">
        <f ca="1"/>
        <v>0</v>
      </c>
      <c r="IE246" s="75">
        <f ca="1"/>
        <v>0</v>
      </c>
      <c r="IF246" s="75">
        <f ca="1"/>
        <v>0</v>
      </c>
      <c r="IG246" s="75">
        <f ca="1"/>
        <v>0</v>
      </c>
      <c r="IH246" s="75">
        <f ca="1"/>
        <v>0</v>
      </c>
      <c r="II246" s="75">
        <f ca="1"/>
        <v>0</v>
      </c>
      <c r="IJ246" s="75">
        <f ca="1"/>
        <v>0</v>
      </c>
      <c r="IK246" s="75">
        <f ca="1"/>
        <v>0</v>
      </c>
      <c r="IL246" s="75">
        <f ca="1"/>
        <v>0</v>
      </c>
      <c r="IM246" s="75">
        <f ca="1"/>
        <v>0</v>
      </c>
      <c r="IN246" s="75">
        <f ca="1"/>
        <v>0</v>
      </c>
      <c r="IO246" s="75">
        <f ca="1"/>
        <v>0</v>
      </c>
      <c r="IP246" s="75">
        <f ca="1"/>
        <v>0</v>
      </c>
      <c r="IQ246" s="75">
        <f ca="1"/>
        <v>0</v>
      </c>
      <c r="IR246" s="75">
        <f ca="1"/>
        <v>0</v>
      </c>
      <c r="IS246" s="75">
        <f ca="1"/>
        <v>0</v>
      </c>
      <c r="IT246" s="75">
        <f ca="1"/>
        <v>1</v>
      </c>
      <c r="IU246" s="75">
        <f ca="1"/>
        <v>0</v>
      </c>
      <c r="IV246" s="75">
        <f ca="1"/>
        <v>0</v>
      </c>
      <c r="IW246" s="75">
        <f ca="1"/>
        <v>0</v>
      </c>
      <c r="IX246" s="75">
        <f ca="1"/>
        <v>1</v>
      </c>
      <c r="IY246" s="75">
        <f ca="1"/>
        <v>0</v>
      </c>
      <c r="IZ246" s="75">
        <f ca="1"/>
        <v>0</v>
      </c>
      <c r="JA246" s="75">
        <f ca="1"/>
        <v>0</v>
      </c>
      <c r="JB246" s="75">
        <f ca="1"/>
        <v>0</v>
      </c>
      <c r="JC246" s="75">
        <f ca="1"/>
        <v>0</v>
      </c>
      <c r="JD246" s="75">
        <f ca="1"/>
        <v>0</v>
      </c>
      <c r="JE246" s="75">
        <f ca="1"/>
        <v>0</v>
      </c>
      <c r="JF246" s="75">
        <f ca="1"/>
        <v>0</v>
      </c>
      <c r="JG246" s="75">
        <f ca="1"/>
        <v>0</v>
      </c>
      <c r="JH246" s="75">
        <f ca="1"/>
        <v>0</v>
      </c>
      <c r="JI246" s="75">
        <f ca="1"/>
        <v>1</v>
      </c>
      <c r="JJ246" s="75">
        <f ca="1"/>
        <v>0</v>
      </c>
      <c r="JK246" s="75">
        <f ca="1"/>
        <v>0</v>
      </c>
      <c r="JL246" s="75">
        <f ca="1"/>
        <v>0</v>
      </c>
      <c r="JM246" s="75">
        <f ca="1"/>
        <v>0</v>
      </c>
      <c r="JN246" s="75">
        <f ca="1"/>
        <v>0</v>
      </c>
      <c r="JO246" s="75">
        <f ca="1"/>
        <v>0</v>
      </c>
      <c r="JP246" s="75">
        <f ca="1"/>
        <v>0</v>
      </c>
      <c r="JQ246" s="75">
        <f ca="1"/>
        <v>0</v>
      </c>
      <c r="JR246" s="75">
        <f ca="1"/>
        <v>0</v>
      </c>
      <c r="JS246" s="75">
        <f ca="1"/>
        <v>0</v>
      </c>
      <c r="JT246" s="75">
        <f ca="1"/>
        <v>0</v>
      </c>
      <c r="JU246" s="75">
        <f ca="1"/>
        <v>0</v>
      </c>
      <c r="JV246" s="75">
        <f ca="1"/>
        <v>0</v>
      </c>
      <c r="JW246" s="75">
        <f ca="1"/>
        <v>0</v>
      </c>
      <c r="JX246" s="75">
        <f ca="1"/>
        <v>0</v>
      </c>
      <c r="JY246" s="75">
        <f ca="1"/>
        <v>0</v>
      </c>
      <c r="JZ246" s="75">
        <f ca="1"/>
        <v>0</v>
      </c>
      <c r="KA246" s="75">
        <f ca="1"/>
        <v>0</v>
      </c>
      <c r="KB246" s="75">
        <f ca="1"/>
        <v>0</v>
      </c>
      <c r="KC246" s="75">
        <f ca="1"/>
        <v>0</v>
      </c>
      <c r="KD246" s="75">
        <f ca="1"/>
        <v>0</v>
      </c>
      <c r="KE246" s="75">
        <f ca="1"/>
        <v>0</v>
      </c>
      <c r="KF246" s="75">
        <f ca="1"/>
        <v>0</v>
      </c>
      <c r="KG246" s="75">
        <f ca="1"/>
        <v>0</v>
      </c>
      <c r="KH246" s="75">
        <f ca="1"/>
        <v>0</v>
      </c>
      <c r="KI246" s="75">
        <f ca="1"/>
        <v>0</v>
      </c>
    </row>
    <row r="247" spans="2:295" s="75" customFormat="1" ht="15" customHeight="1">
      <c r="B247" s="76" t="s">
        <v>162</v>
      </c>
      <c r="BL247" s="75" t="str" cm="1">
        <f t="array" aca="1" ref="BL247:KI247" ca="1">_xlfn._xlws.FILTER(_xlfn.TOROW(AD264:AW283),_xlfn.TOROW(AD264:AW283)&lt;&gt;"x")</f>
        <v>L18</v>
      </c>
      <c r="BM247" s="75" t="str">
        <f ca="1"/>
        <v>J17</v>
      </c>
      <c r="BN247" s="75" t="str">
        <f ca="1"/>
        <v>N4</v>
      </c>
      <c r="BO247" s="75" t="str">
        <f ca="1"/>
        <v>H6</v>
      </c>
      <c r="BP247" s="75" t="str">
        <f ca="1"/>
        <v>P21</v>
      </c>
      <c r="BQ247" s="75" t="str">
        <f ca="1"/>
        <v>F24</v>
      </c>
      <c r="BR247" s="75" t="str">
        <f ca="1"/>
        <v>R9</v>
      </c>
      <c r="BS247" s="75" t="str">
        <f ca="1"/>
        <v>S5</v>
      </c>
      <c r="BT247" s="75" t="str">
        <f ca="1"/>
        <v>T21</v>
      </c>
      <c r="BU247" s="75" t="str">
        <f ca="1"/>
        <v>U24</v>
      </c>
      <c r="BV247" s="75" t="str">
        <f ca="1"/>
        <v>U11</v>
      </c>
      <c r="BW247" s="75" t="str">
        <f ca="1"/>
        <v>C15</v>
      </c>
      <c r="BX247" s="75" t="str">
        <f ca="1"/>
        <v>S21</v>
      </c>
      <c r="BY247" s="75" t="str">
        <f ca="1"/>
        <v>R22</v>
      </c>
      <c r="BZ247" s="75" t="str">
        <f ca="1"/>
        <v>F5</v>
      </c>
      <c r="CA247" s="75" t="str">
        <f ca="1"/>
        <v>G24</v>
      </c>
      <c r="CB247" s="75" t="str">
        <f ca="1"/>
        <v>I25</v>
      </c>
      <c r="CC247" s="75" t="str">
        <f ca="1"/>
        <v>J19</v>
      </c>
      <c r="CD247" s="75" t="str">
        <f ca="1"/>
        <v>K23</v>
      </c>
      <c r="CE247" s="75" t="str">
        <f ca="1"/>
        <v>K25</v>
      </c>
      <c r="CF247" s="75" t="str">
        <f ca="1"/>
        <v>J7</v>
      </c>
      <c r="CG247" s="75" t="str">
        <f ca="1"/>
        <v>I21</v>
      </c>
      <c r="CH247" s="75" t="str">
        <f ca="1"/>
        <v>H23</v>
      </c>
      <c r="CI247" s="75" t="str">
        <f ca="1"/>
        <v>P12</v>
      </c>
      <c r="CJ247" s="75" t="str">
        <f ca="1"/>
        <v>F6</v>
      </c>
      <c r="CK247" s="75" t="str">
        <f ca="1"/>
        <v>R6</v>
      </c>
      <c r="CL247" s="75" t="str">
        <f ca="1"/>
        <v>D9</v>
      </c>
      <c r="CM247" s="75" t="str">
        <f ca="1"/>
        <v>T11</v>
      </c>
      <c r="CN247" s="75" t="str">
        <f ca="1"/>
        <v>B20</v>
      </c>
      <c r="CO247" s="75" t="str">
        <f ca="1"/>
        <v>D21</v>
      </c>
      <c r="CP247" s="75" t="str">
        <f ca="1"/>
        <v>E19</v>
      </c>
      <c r="CQ247" s="75" t="str">
        <f ca="1"/>
        <v>Q25</v>
      </c>
      <c r="CR247" s="75" t="str">
        <f ca="1"/>
        <v>P23</v>
      </c>
      <c r="CS247" s="75" t="str">
        <f ca="1"/>
        <v>O19</v>
      </c>
      <c r="CT247" s="75" t="str">
        <f ca="1"/>
        <v>N13</v>
      </c>
      <c r="CU247" s="75" t="str">
        <f ca="1"/>
        <v>J23</v>
      </c>
      <c r="CV247" s="75" t="str">
        <f ca="1"/>
        <v>L4</v>
      </c>
      <c r="CW247" s="75" t="str">
        <f ca="1"/>
        <v>L15</v>
      </c>
      <c r="CX247" s="75" t="str">
        <f ca="1"/>
        <v>J22</v>
      </c>
      <c r="CY247" s="75" t="str">
        <f ca="1"/>
        <v>I5</v>
      </c>
      <c r="CZ247" s="75" t="str">
        <f ca="1"/>
        <v>H13</v>
      </c>
      <c r="DA247" s="75" t="str">
        <f ca="1"/>
        <v>P10</v>
      </c>
      <c r="DB247" s="75" t="str">
        <f ca="1"/>
        <v>Q18</v>
      </c>
      <c r="DC247" s="75" t="str">
        <f ca="1"/>
        <v>R15</v>
      </c>
      <c r="DD247" s="75" t="str">
        <f ca="1"/>
        <v>S12</v>
      </c>
      <c r="DE247" s="75" t="str">
        <f ca="1"/>
        <v>T22</v>
      </c>
      <c r="DF247" s="75" t="str">
        <f ca="1"/>
        <v>U2</v>
      </c>
      <c r="DG247" s="75" t="str">
        <f ca="1"/>
        <v>U19</v>
      </c>
      <c r="DH247" s="75" t="str">
        <f ca="1"/>
        <v>T2</v>
      </c>
      <c r="DI247" s="75" t="str">
        <f ca="1"/>
        <v>D20</v>
      </c>
      <c r="DJ247" s="75" t="str">
        <f ca="1"/>
        <v>R13</v>
      </c>
      <c r="DK247" s="75" t="str">
        <f ca="1"/>
        <v>F2</v>
      </c>
      <c r="DL247" s="75" t="str">
        <f ca="1"/>
        <v>P20</v>
      </c>
      <c r="DM247" s="75" t="str">
        <f ca="1"/>
        <v>H17</v>
      </c>
      <c r="DN247" s="75" t="str">
        <f ca="1"/>
        <v>N3</v>
      </c>
      <c r="DO247" s="75" t="str">
        <f ca="1"/>
        <v>M17</v>
      </c>
      <c r="DP247" s="75" t="str">
        <f ca="1"/>
        <v>K17</v>
      </c>
      <c r="DQ247" s="75" t="str">
        <f ca="1"/>
        <v>K22</v>
      </c>
      <c r="DR247" s="75" t="str">
        <f ca="1"/>
        <v>M20</v>
      </c>
      <c r="DS247" s="75" t="str">
        <f ca="1"/>
        <v>I23</v>
      </c>
      <c r="DT247" s="75" t="str">
        <f ca="1"/>
        <v>H22</v>
      </c>
      <c r="DU247" s="75" t="str">
        <f ca="1"/>
        <v>P24</v>
      </c>
      <c r="DV247" s="75" t="str">
        <f ca="1"/>
        <v>U23</v>
      </c>
      <c r="DW247" s="75" t="str">
        <f ca="1"/>
        <v>T10</v>
      </c>
      <c r="DX247" s="75" t="str">
        <f ca="1"/>
        <v>S9</v>
      </c>
      <c r="DY247" s="75" t="str">
        <f ca="1"/>
        <v>R14</v>
      </c>
      <c r="DZ247" s="75" t="str">
        <f ca="1"/>
        <v>F20</v>
      </c>
      <c r="EA247" s="75" t="str">
        <f ca="1"/>
        <v>P15</v>
      </c>
      <c r="EB247" s="75" t="str">
        <f ca="1"/>
        <v>O18</v>
      </c>
      <c r="EC247" s="75" t="str">
        <f ca="1"/>
        <v>N24</v>
      </c>
      <c r="ED247" s="75" t="str">
        <f ca="1"/>
        <v>B13</v>
      </c>
      <c r="EE247" s="75" t="str">
        <f ca="1"/>
        <v>T5</v>
      </c>
      <c r="EF247" s="75" t="str">
        <f ca="1"/>
        <v>S23</v>
      </c>
      <c r="EG247" s="75" t="str">
        <f ca="1"/>
        <v>E10</v>
      </c>
      <c r="EH247" s="75" t="str">
        <f ca="1"/>
        <v>F24</v>
      </c>
      <c r="EI247" s="75" t="str">
        <f ca="1"/>
        <v>P13</v>
      </c>
      <c r="EJ247" s="75" t="str">
        <f ca="1"/>
        <v>O13</v>
      </c>
      <c r="EK247" s="75" t="str">
        <f ca="1"/>
        <v>I18</v>
      </c>
      <c r="EL247" s="75" t="str">
        <f ca="1"/>
        <v>J23</v>
      </c>
      <c r="EM247" s="75" t="str">
        <f ca="1"/>
        <v>K21</v>
      </c>
      <c r="EN247" s="75" t="str">
        <f ca="1"/>
        <v>K26</v>
      </c>
      <c r="EO247" s="75" t="str">
        <f ca="1"/>
        <v>M21</v>
      </c>
      <c r="EP247" s="75" t="str">
        <f ca="1"/>
        <v>N6</v>
      </c>
      <c r="EQ247" s="75" t="str">
        <f ca="1"/>
        <v>O16</v>
      </c>
      <c r="ER247" s="75" t="str">
        <f ca="1"/>
        <v>P6</v>
      </c>
      <c r="ES247" s="75" t="str">
        <f ca="1"/>
        <v>Q17</v>
      </c>
      <c r="ET247" s="75" t="str">
        <f ca="1"/>
        <v>E12</v>
      </c>
      <c r="EU247" s="75" t="str">
        <f ca="1"/>
        <v>B6</v>
      </c>
      <c r="EV247" s="75" t="str">
        <f ca="1"/>
        <v>T3</v>
      </c>
      <c r="EW247" s="75" t="str">
        <f ca="1"/>
        <v>D23</v>
      </c>
      <c r="EX247" s="75" t="str">
        <f ca="1"/>
        <v>R26</v>
      </c>
      <c r="EY247" s="75" t="str">
        <f ca="1"/>
        <v>F17</v>
      </c>
      <c r="EZ247" s="75" t="str">
        <f ca="1"/>
        <v>B13</v>
      </c>
      <c r="FA247" s="75" t="str">
        <f ca="1"/>
        <v>T10</v>
      </c>
      <c r="FB247" s="75" t="str">
        <f ca="1"/>
        <v>S10</v>
      </c>
      <c r="FC247" s="75" t="str">
        <f ca="1"/>
        <v>R18</v>
      </c>
      <c r="FD247" s="75" t="str">
        <f ca="1"/>
        <v>Q4</v>
      </c>
      <c r="FE247" s="75" t="str">
        <f ca="1"/>
        <v>P17</v>
      </c>
      <c r="FF247" s="75" t="str">
        <f ca="1"/>
        <v>H11</v>
      </c>
      <c r="FG247" s="75" t="str">
        <f ca="1"/>
        <v>N22</v>
      </c>
      <c r="FH247" s="75" t="str">
        <f ca="1"/>
        <v>J12</v>
      </c>
      <c r="FI247" s="75" t="str">
        <f ca="1"/>
        <v>K17</v>
      </c>
      <c r="FJ247" s="75" t="str">
        <f ca="1"/>
        <v>K7</v>
      </c>
      <c r="FK247" s="75" t="str">
        <f ca="1"/>
        <v>U6</v>
      </c>
      <c r="FL247" s="75" t="str">
        <f ca="1"/>
        <v>C23</v>
      </c>
      <c r="FM247" s="75" t="str">
        <f ca="1"/>
        <v>D21</v>
      </c>
      <c r="FN247" s="75" t="str">
        <f ca="1"/>
        <v>E6</v>
      </c>
      <c r="FO247" s="75" t="str">
        <f ca="1"/>
        <v>F17</v>
      </c>
      <c r="FP247" s="75" t="str">
        <f ca="1"/>
        <v>P4</v>
      </c>
      <c r="FQ247" s="75" t="str">
        <f ca="1"/>
        <v>H20</v>
      </c>
      <c r="FR247" s="75" t="str">
        <f ca="1"/>
        <v>B13</v>
      </c>
      <c r="FS247" s="75" t="str">
        <f ca="1"/>
        <v>T11</v>
      </c>
      <c r="FT247" s="75" t="str">
        <f ca="1"/>
        <v>D14</v>
      </c>
      <c r="FU247" s="75" t="str">
        <f ca="1"/>
        <v>R13</v>
      </c>
      <c r="FV247" s="75" t="str">
        <f ca="1"/>
        <v>F17</v>
      </c>
      <c r="FW247" s="75" t="str">
        <f ca="1"/>
        <v>G5</v>
      </c>
      <c r="FX247" s="75" t="str">
        <f ca="1"/>
        <v>B13</v>
      </c>
      <c r="FY247" s="75" t="str">
        <f ca="1"/>
        <v>C12</v>
      </c>
      <c r="FZ247" s="75" t="str">
        <f ca="1"/>
        <v>S15</v>
      </c>
      <c r="GA247" s="75" t="str">
        <f ca="1"/>
        <v>E19</v>
      </c>
      <c r="GB247" s="75" t="str">
        <f ca="1"/>
        <v>F21</v>
      </c>
      <c r="GC247" s="75" t="str">
        <f ca="1"/>
        <v>P19</v>
      </c>
      <c r="GD247" s="75" t="str">
        <f ca="1"/>
        <v>O21</v>
      </c>
      <c r="GE247" s="75" t="str">
        <f ca="1"/>
        <v>I14</v>
      </c>
      <c r="GF247" s="75" t="str">
        <f ca="1"/>
        <v>J4</v>
      </c>
      <c r="GG247" s="75" t="str">
        <f ca="1"/>
        <v>K25</v>
      </c>
      <c r="GH247" s="75" t="str">
        <f ca="1"/>
        <v>K6</v>
      </c>
      <c r="GI247" s="75" t="str">
        <f ca="1"/>
        <v>M9</v>
      </c>
      <c r="GJ247" s="75" t="str">
        <f ca="1"/>
        <v>N22</v>
      </c>
      <c r="GK247" s="75" t="str">
        <f ca="1"/>
        <v>O15</v>
      </c>
      <c r="GL247" s="75" t="str">
        <f ca="1"/>
        <v>P22</v>
      </c>
      <c r="GM247" s="75" t="str">
        <f ca="1"/>
        <v>F14</v>
      </c>
      <c r="GN247" s="75" t="str">
        <f ca="1"/>
        <v>R11</v>
      </c>
      <c r="GO247" s="75" t="str">
        <f ca="1"/>
        <v>D5</v>
      </c>
      <c r="GP247" s="75" t="str">
        <f ca="1"/>
        <v>C6</v>
      </c>
      <c r="GQ247" s="75" t="str">
        <f ca="1"/>
        <v>U10</v>
      </c>
      <c r="GR247" s="75" t="str">
        <f ca="1"/>
        <v>U21</v>
      </c>
      <c r="GS247" s="75" t="str">
        <f ca="1"/>
        <v>C7</v>
      </c>
      <c r="GT247" s="75" t="str">
        <f ca="1"/>
        <v>S23</v>
      </c>
      <c r="GU247" s="75" t="str">
        <f ca="1"/>
        <v>E22</v>
      </c>
      <c r="GV247" s="75" t="str">
        <f ca="1"/>
        <v>F22</v>
      </c>
      <c r="GW247" s="75" t="str">
        <f ca="1"/>
        <v>P19</v>
      </c>
      <c r="GX247" s="75" t="str">
        <f ca="1"/>
        <v>O4</v>
      </c>
      <c r="GY247" s="75" t="str">
        <f ca="1"/>
        <v>N11</v>
      </c>
      <c r="GZ247" s="75" t="str">
        <f ca="1"/>
        <v>J4</v>
      </c>
      <c r="HA247" s="75" t="str">
        <f ca="1"/>
        <v>K17</v>
      </c>
      <c r="HB247" s="75" t="str">
        <f ca="1"/>
        <v>L13</v>
      </c>
      <c r="HC247" s="75" t="str">
        <f ca="1"/>
        <v>J24</v>
      </c>
      <c r="HD247" s="75" t="str">
        <f ca="1"/>
        <v>U21</v>
      </c>
      <c r="HE247" s="75" t="str">
        <f ca="1"/>
        <v>C10</v>
      </c>
      <c r="HF247" s="75" t="str">
        <f ca="1"/>
        <v>D14</v>
      </c>
      <c r="HG247" s="75" t="str">
        <f ca="1"/>
        <v>E7</v>
      </c>
      <c r="HH247" s="75" t="str">
        <f ca="1"/>
        <v>Q26</v>
      </c>
      <c r="HI247" s="75" t="str">
        <f ca="1"/>
        <v>P12</v>
      </c>
      <c r="HJ247" s="75" t="str">
        <f ca="1"/>
        <v>H17</v>
      </c>
      <c r="HK247" s="75" t="str">
        <f ca="1"/>
        <v>I26</v>
      </c>
      <c r="HL247" s="75" t="str">
        <f ca="1"/>
        <v>J23</v>
      </c>
      <c r="HM247" s="75" t="str">
        <f ca="1"/>
        <v>K26</v>
      </c>
      <c r="HN247" s="75" t="str">
        <f ca="1"/>
        <v>K19</v>
      </c>
      <c r="HO247" s="75" t="str">
        <f ca="1"/>
        <v>M9</v>
      </c>
      <c r="HP247" s="75" t="str">
        <f ca="1"/>
        <v>K26</v>
      </c>
      <c r="HQ247" s="75" t="str">
        <f ca="1"/>
        <v>K9</v>
      </c>
      <c r="HR247" s="75" t="str">
        <f ca="1"/>
        <v>M26</v>
      </c>
      <c r="HS247" s="75" t="str">
        <f ca="1"/>
        <v>N26</v>
      </c>
      <c r="HT247" s="75" t="str">
        <f ca="1"/>
        <v>O20</v>
      </c>
      <c r="HU247" s="75" t="str">
        <f ca="1"/>
        <v>G22</v>
      </c>
      <c r="HV247" s="75" t="str">
        <f ca="1"/>
        <v>F25</v>
      </c>
      <c r="HW247" s="75" t="str">
        <f ca="1"/>
        <v>R7</v>
      </c>
      <c r="HX247" s="75" t="str">
        <f ca="1"/>
        <v>S11</v>
      </c>
      <c r="HY247" s="75" t="str">
        <f ca="1"/>
        <v>T13</v>
      </c>
      <c r="HZ247" s="75" t="str">
        <f ca="1"/>
        <v>B26</v>
      </c>
      <c r="IA247" s="75" t="str">
        <f ca="1"/>
        <v>E3</v>
      </c>
      <c r="IB247" s="75" t="str">
        <f ca="1"/>
        <v>Q19</v>
      </c>
      <c r="IC247" s="75" t="str">
        <f ca="1"/>
        <v>P3</v>
      </c>
      <c r="ID247" s="75" t="str">
        <f ca="1"/>
        <v>H18</v>
      </c>
      <c r="IE247" s="75" t="str">
        <f ca="1"/>
        <v>I17</v>
      </c>
      <c r="IF247" s="75" t="str">
        <f ca="1"/>
        <v>M14</v>
      </c>
      <c r="IG247" s="75" t="str">
        <f ca="1"/>
        <v>L7</v>
      </c>
      <c r="IH247" s="75" t="str">
        <f ca="1"/>
        <v>L5</v>
      </c>
      <c r="II247" s="75" t="str">
        <f ca="1"/>
        <v>M20</v>
      </c>
      <c r="IJ247" s="75" t="str">
        <f ca="1"/>
        <v>N21</v>
      </c>
      <c r="IK247" s="75" t="str">
        <f ca="1"/>
        <v>H26</v>
      </c>
      <c r="IL247" s="75" t="str">
        <f ca="1"/>
        <v>G26</v>
      </c>
      <c r="IM247" s="75" t="str">
        <f ca="1"/>
        <v>F13</v>
      </c>
      <c r="IN247" s="75" t="str">
        <f ca="1"/>
        <v>R20</v>
      </c>
      <c r="IO247" s="75" t="str">
        <f ca="1"/>
        <v>D3</v>
      </c>
      <c r="IP247" s="75" t="str">
        <f ca="1"/>
        <v>T15</v>
      </c>
      <c r="IQ247" s="75" t="str">
        <f ca="1"/>
        <v>U9</v>
      </c>
      <c r="IR247" s="75" t="str">
        <f ca="1"/>
        <v>U4</v>
      </c>
      <c r="IS247" s="75" t="str">
        <f ca="1"/>
        <v>C19</v>
      </c>
      <c r="IT247" s="75" t="str">
        <f ca="1"/>
        <v>D23</v>
      </c>
      <c r="IU247" s="75" t="str">
        <f ca="1"/>
        <v>E18</v>
      </c>
      <c r="IV247" s="75" t="str">
        <f ca="1"/>
        <v>F20</v>
      </c>
      <c r="IW247" s="75" t="str">
        <f ca="1"/>
        <v>P13</v>
      </c>
      <c r="IX247" s="75" t="str">
        <f ca="1"/>
        <v>O21</v>
      </c>
      <c r="IY247" s="75" t="str">
        <f ca="1"/>
        <v>N24</v>
      </c>
      <c r="IZ247" s="75" t="str">
        <f ca="1"/>
        <v>M23</v>
      </c>
      <c r="JA247" s="75" t="str">
        <f ca="1"/>
        <v>L14</v>
      </c>
      <c r="JB247" s="75" t="str">
        <f ca="1"/>
        <v>L17</v>
      </c>
      <c r="JC247" s="75" t="str">
        <f ca="1"/>
        <v>J6</v>
      </c>
      <c r="JD247" s="75" t="str">
        <f ca="1"/>
        <v>B16</v>
      </c>
      <c r="JE247" s="75" t="str">
        <f ca="1"/>
        <v>C6</v>
      </c>
      <c r="JF247" s="75" t="str">
        <f ca="1"/>
        <v>S19</v>
      </c>
      <c r="JG247" s="75" t="str">
        <f ca="1"/>
        <v>E3</v>
      </c>
      <c r="JH247" s="75" t="str">
        <f ca="1"/>
        <v>Q10</v>
      </c>
      <c r="JI247" s="75" t="str">
        <f ca="1"/>
        <v>P20</v>
      </c>
      <c r="JJ247" s="75" t="str">
        <f ca="1"/>
        <v>H16</v>
      </c>
      <c r="JK247" s="75" t="str">
        <f ca="1"/>
        <v>N18</v>
      </c>
      <c r="JL247" s="75" t="str">
        <f ca="1"/>
        <v>M4</v>
      </c>
      <c r="JM247" s="75" t="str">
        <f ca="1"/>
        <v>B26</v>
      </c>
      <c r="JN247" s="75" t="str">
        <f ca="1"/>
        <v>C16</v>
      </c>
      <c r="JO247" s="75" t="str">
        <f ca="1"/>
        <v>D7</v>
      </c>
      <c r="JP247" s="75" t="str">
        <f ca="1"/>
        <v>E12</v>
      </c>
      <c r="JQ247" s="75" t="str">
        <f ca="1"/>
        <v>Q5</v>
      </c>
      <c r="JR247" s="75" t="str">
        <f ca="1"/>
        <v>G14</v>
      </c>
      <c r="JS247" s="75" t="str">
        <f ca="1"/>
        <v>O11</v>
      </c>
      <c r="JT247" s="75" t="str">
        <f ca="1"/>
        <v>N7</v>
      </c>
      <c r="JU247" s="75" t="str">
        <f ca="1"/>
        <v>M21</v>
      </c>
      <c r="JV247" s="75" t="str">
        <f ca="1"/>
        <v>L16</v>
      </c>
      <c r="JW247" s="75" t="str">
        <f ca="1"/>
        <v>K7</v>
      </c>
      <c r="JX247" s="75" t="str">
        <f ca="1"/>
        <v>M22</v>
      </c>
      <c r="JY247" s="75" t="str">
        <f ca="1"/>
        <v>U8</v>
      </c>
      <c r="JZ247" s="75" t="str">
        <f ca="1"/>
        <v>T9</v>
      </c>
      <c r="KA247" s="75" t="str">
        <f ca="1"/>
        <v>S16</v>
      </c>
      <c r="KB247" s="75" t="str">
        <f ca="1"/>
        <v>E13</v>
      </c>
      <c r="KC247" s="75" t="str">
        <f ca="1"/>
        <v>F9</v>
      </c>
      <c r="KD247" s="75" t="str">
        <f ca="1"/>
        <v>G9</v>
      </c>
      <c r="KE247" s="75" t="str">
        <f ca="1"/>
        <v>O14</v>
      </c>
      <c r="KF247" s="75" t="str">
        <f ca="1"/>
        <v>N16</v>
      </c>
      <c r="KG247" s="75" t="str">
        <f ca="1"/>
        <v>J20</v>
      </c>
      <c r="KH247" s="75" t="str">
        <f ca="1"/>
        <v>L9</v>
      </c>
      <c r="KI247" s="75" t="str">
        <f ca="1"/>
        <v>K10</v>
      </c>
    </row>
    <row r="248" spans="2:295" s="75" customFormat="1" ht="15" customHeight="1">
      <c r="B248" s="80" t="s">
        <v>211</v>
      </c>
    </row>
    <row r="249" spans="2:295" s="75" customFormat="1" ht="15" customHeight="1">
      <c r="B249" s="80"/>
    </row>
    <row r="250" spans="2:295" s="75" customFormat="1" ht="15" customHeight="1">
      <c r="B250" s="72" t="s">
        <v>212</v>
      </c>
    </row>
    <row r="251" spans="2:295" s="75" customFormat="1" ht="15" customHeight="1">
      <c r="B251" s="77" t="s">
        <v>213</v>
      </c>
    </row>
    <row r="252" spans="2:295" s="75" customFormat="1" ht="15" customHeight="1">
      <c r="B252" s="77" t="s">
        <v>214</v>
      </c>
    </row>
    <row r="253" spans="2:295" s="75" customFormat="1" ht="15" customHeight="1">
      <c r="B253" s="77" t="s">
        <v>215</v>
      </c>
    </row>
    <row r="254" spans="2:295" s="75" customFormat="1" ht="15" customHeight="1"/>
    <row r="255" spans="2:295" s="75" customFormat="1" ht="15" customHeight="1">
      <c r="B255" s="79" t="s">
        <v>128</v>
      </c>
    </row>
    <row r="256" spans="2:295" s="75" customFormat="1" ht="15" customHeight="1">
      <c r="B256" s="77" t="s">
        <v>216</v>
      </c>
    </row>
    <row r="257" spans="2:106" s="75" customFormat="1" ht="15" customHeight="1">
      <c r="B257" s="77" t="s">
        <v>217</v>
      </c>
      <c r="C257" s="77"/>
      <c r="D257" s="74"/>
      <c r="E257" s="74"/>
      <c r="F257" s="74"/>
      <c r="G257" s="73"/>
      <c r="H257" s="73"/>
      <c r="I257" s="73"/>
      <c r="J257" s="73"/>
      <c r="K257" s="73"/>
      <c r="L257" s="73"/>
      <c r="M257" s="73"/>
      <c r="N257" s="73"/>
      <c r="O257" s="73"/>
      <c r="P257" s="73"/>
      <c r="Q257" s="73"/>
      <c r="R257" s="73"/>
      <c r="S257" s="73"/>
      <c r="T257" s="73"/>
      <c r="U257" s="73"/>
      <c r="V257" s="73"/>
      <c r="W257" s="73"/>
      <c r="X257" s="73"/>
      <c r="Y257" s="73"/>
      <c r="Z257" s="73"/>
      <c r="AA257" s="73"/>
      <c r="AB257" s="73"/>
    </row>
    <row r="258" spans="2:106" s="75" customFormat="1" ht="15" customHeight="1">
      <c r="B258" s="77" t="s">
        <v>218</v>
      </c>
      <c r="C258" s="77"/>
      <c r="D258" s="74"/>
      <c r="E258" s="74"/>
      <c r="F258" s="74"/>
      <c r="G258" s="73"/>
      <c r="H258" s="73"/>
      <c r="I258" s="73"/>
      <c r="J258" s="73"/>
      <c r="K258" s="73"/>
      <c r="L258" s="73"/>
      <c r="M258" s="73"/>
      <c r="N258" s="73"/>
      <c r="O258" s="73"/>
      <c r="P258" s="73"/>
      <c r="Q258" s="73"/>
      <c r="R258" s="73"/>
      <c r="S258" s="73"/>
      <c r="T258" s="73"/>
      <c r="U258" s="73"/>
      <c r="V258" s="73"/>
      <c r="W258" s="73"/>
      <c r="X258" s="73"/>
      <c r="Y258" s="73"/>
      <c r="Z258" s="73"/>
      <c r="AA258" s="73"/>
      <c r="AB258" s="73"/>
    </row>
    <row r="259" spans="2:106" s="75" customFormat="1" ht="15" customHeight="1" thickBot="1">
      <c r="B259" s="72"/>
      <c r="C259" s="74"/>
      <c r="D259" s="74"/>
      <c r="E259" s="74"/>
      <c r="F259" s="74"/>
      <c r="G259" s="73"/>
      <c r="H259" s="73"/>
      <c r="I259" s="74" cm="1">
        <f t="array" ref="I259:AB259">_xlfn.SEQUENCE(1,20,0)</f>
        <v>0</v>
      </c>
      <c r="J259" s="74">
        <v>1</v>
      </c>
      <c r="K259" s="74">
        <v>2</v>
      </c>
      <c r="L259" s="74">
        <v>3</v>
      </c>
      <c r="M259" s="74">
        <v>4</v>
      </c>
      <c r="N259" s="74">
        <v>5</v>
      </c>
      <c r="O259" s="74">
        <v>6</v>
      </c>
      <c r="P259" s="74">
        <v>7</v>
      </c>
      <c r="Q259" s="74">
        <v>8</v>
      </c>
      <c r="R259" s="74">
        <v>9</v>
      </c>
      <c r="S259" s="74">
        <v>10</v>
      </c>
      <c r="T259" s="74">
        <v>11</v>
      </c>
      <c r="U259" s="74">
        <v>12</v>
      </c>
      <c r="V259" s="74">
        <v>13</v>
      </c>
      <c r="W259" s="74">
        <v>14</v>
      </c>
      <c r="X259" s="74">
        <v>15</v>
      </c>
      <c r="Y259" s="74">
        <v>16</v>
      </c>
      <c r="Z259" s="74">
        <v>17</v>
      </c>
      <c r="AA259" s="74">
        <v>18</v>
      </c>
      <c r="AB259" s="74">
        <v>19</v>
      </c>
    </row>
    <row r="260" spans="2:106" s="75" customFormat="1" ht="22.5" customHeight="1" thickBot="1">
      <c r="B260" s="93" t="s">
        <v>44</v>
      </c>
      <c r="C260" s="94" t="s">
        <v>45</v>
      </c>
      <c r="D260" s="95" t="s">
        <v>16</v>
      </c>
      <c r="E260" s="96" t="s">
        <v>17</v>
      </c>
      <c r="F260" s="74"/>
      <c r="G260" s="94" t="s">
        <v>47</v>
      </c>
      <c r="H260" s="94" t="s">
        <v>132</v>
      </c>
      <c r="I260" s="94" t="s">
        <v>171</v>
      </c>
      <c r="J260" s="94" t="s">
        <v>172</v>
      </c>
      <c r="K260" s="94" t="s">
        <v>173</v>
      </c>
      <c r="L260" s="94" t="s">
        <v>174</v>
      </c>
      <c r="M260" s="94" t="s">
        <v>175</v>
      </c>
      <c r="N260" s="94" t="s">
        <v>219</v>
      </c>
      <c r="O260" s="94" t="s">
        <v>220</v>
      </c>
      <c r="P260" s="94" t="s">
        <v>221</v>
      </c>
      <c r="Q260" s="94" t="s">
        <v>222</v>
      </c>
      <c r="R260" s="94" t="s">
        <v>223</v>
      </c>
      <c r="S260" s="94" t="s">
        <v>224</v>
      </c>
      <c r="T260" s="94" t="s">
        <v>225</v>
      </c>
      <c r="U260" s="94" t="s">
        <v>226</v>
      </c>
      <c r="V260" s="94" t="s">
        <v>227</v>
      </c>
      <c r="W260" s="94" t="s">
        <v>228</v>
      </c>
      <c r="X260" s="94" t="s">
        <v>229</v>
      </c>
      <c r="Y260" s="94" t="s">
        <v>230</v>
      </c>
      <c r="Z260" s="94" t="s">
        <v>231</v>
      </c>
      <c r="AA260" s="94" t="s">
        <v>232</v>
      </c>
      <c r="AB260" s="94" t="s">
        <v>233</v>
      </c>
      <c r="AD260" s="75" t="s">
        <v>351</v>
      </c>
    </row>
    <row r="261" spans="2:106" ht="15" customHeight="1">
      <c r="B261" s="23"/>
      <c r="C261" s="23"/>
      <c r="D261" s="23"/>
      <c r="E261" s="23"/>
      <c r="I261" s="24"/>
      <c r="J261" s="24"/>
      <c r="K261" s="24"/>
      <c r="L261" s="24"/>
      <c r="M261" s="24"/>
      <c r="N261" s="24"/>
      <c r="O261" s="24"/>
      <c r="P261" s="24"/>
      <c r="Q261" s="24"/>
      <c r="R261" s="24"/>
      <c r="S261" s="24"/>
      <c r="T261" s="24"/>
      <c r="U261" s="24"/>
      <c r="V261" s="24"/>
      <c r="W261" s="24"/>
      <c r="X261" s="24"/>
      <c r="Y261" s="24"/>
      <c r="Z261" s="24"/>
      <c r="AA261" s="24"/>
      <c r="AB261" s="24"/>
      <c r="AX261" s="23" t="s">
        <v>331</v>
      </c>
      <c r="AY261" s="23" t="s">
        <v>332</v>
      </c>
      <c r="AZ261" s="23" t="s">
        <v>335</v>
      </c>
      <c r="BA261" s="23" t="s">
        <v>333</v>
      </c>
      <c r="BB261" s="23" t="s">
        <v>334</v>
      </c>
      <c r="BC261" s="23" t="s">
        <v>335</v>
      </c>
      <c r="BE261" s="23" t="s">
        <v>353</v>
      </c>
      <c r="BH261" s="23" cm="1">
        <f t="array" ref="BH261:CA261">_xlfn.SEQUENCE(1,20)</f>
        <v>1</v>
      </c>
      <c r="BI261" s="23">
        <v>2</v>
      </c>
      <c r="BJ261" s="23">
        <v>3</v>
      </c>
      <c r="BK261" s="23">
        <v>4</v>
      </c>
      <c r="BL261" s="23">
        <v>5</v>
      </c>
      <c r="BM261" s="23">
        <v>6</v>
      </c>
      <c r="BN261" s="23">
        <v>7</v>
      </c>
      <c r="BO261" s="23">
        <v>8</v>
      </c>
      <c r="BP261" s="23">
        <v>9</v>
      </c>
      <c r="BQ261" s="23">
        <v>10</v>
      </c>
      <c r="BR261" s="23">
        <v>11</v>
      </c>
      <c r="BS261" s="23">
        <v>12</v>
      </c>
      <c r="BT261" s="23">
        <v>13</v>
      </c>
      <c r="BU261" s="23">
        <v>14</v>
      </c>
      <c r="BV261" s="23">
        <v>15</v>
      </c>
      <c r="BW261" s="23">
        <v>16</v>
      </c>
      <c r="BX261" s="23">
        <v>17</v>
      </c>
      <c r="BY261" s="23">
        <v>18</v>
      </c>
      <c r="BZ261" s="23">
        <v>19</v>
      </c>
      <c r="CA261" s="23">
        <v>20</v>
      </c>
      <c r="CC261" s="23" t="s">
        <v>352</v>
      </c>
      <c r="CD261" s="23" t="s">
        <v>354</v>
      </c>
      <c r="CE261" s="23" t="s">
        <v>355</v>
      </c>
      <c r="CF261" s="23" t="s">
        <v>356</v>
      </c>
    </row>
    <row r="262" spans="2:106" ht="22.5" customHeight="1">
      <c r="B262" s="32" t="s">
        <v>234</v>
      </c>
      <c r="C262" s="29">
        <v>6</v>
      </c>
      <c r="D262" s="30">
        <v>0</v>
      </c>
      <c r="E262" s="34" t="s">
        <v>235</v>
      </c>
      <c r="F262" s="103"/>
      <c r="G262" s="33">
        <v>22</v>
      </c>
      <c r="H262" s="33" t="s">
        <v>236</v>
      </c>
      <c r="I262" s="33" t="s">
        <v>82</v>
      </c>
      <c r="J262" s="33" t="s">
        <v>52</v>
      </c>
      <c r="K262" s="33" t="s">
        <v>110</v>
      </c>
      <c r="L262" s="33" t="s">
        <v>200</v>
      </c>
      <c r="M262" s="33" t="s">
        <v>54</v>
      </c>
      <c r="N262" s="33" t="s">
        <v>114</v>
      </c>
      <c r="O262" s="33" t="s">
        <v>89</v>
      </c>
      <c r="P262" s="33" t="s">
        <v>81</v>
      </c>
      <c r="Q262" s="33" t="s">
        <v>88</v>
      </c>
      <c r="R262" s="33" t="s">
        <v>56</v>
      </c>
      <c r="S262" s="33" t="s">
        <v>90</v>
      </c>
      <c r="T262" s="33" t="s">
        <v>110</v>
      </c>
      <c r="U262" s="33" t="s">
        <v>56</v>
      </c>
      <c r="V262" s="33" t="s">
        <v>93</v>
      </c>
      <c r="W262" s="33" t="s">
        <v>54</v>
      </c>
      <c r="X262" s="33" t="s">
        <v>57</v>
      </c>
      <c r="Y262" s="33" t="s">
        <v>90</v>
      </c>
      <c r="Z262" s="33" t="s">
        <v>111</v>
      </c>
      <c r="AA262" s="33" t="s">
        <v>84</v>
      </c>
      <c r="AB262" s="33" t="s">
        <v>190</v>
      </c>
      <c r="AD262" s="31" t="str" cm="1">
        <f t="array" aca="1" ref="AD262" ca="1">_xlfn.LET(
_xlpm.x, IF(I$259&gt;$G262,"x",IFERROR(SUBSTITUTE(CELL("adres",OFFSET(INDIRECT(I262),,IF(LEFT(I262)="V",-1,1)*($G262-I$259),1,1)),"$",""),"x")),
_xlpm.y, IFERROR(IF(OR(COLUMN(INDIRECT(_xlpm.x))&gt;21, COLUMN(INDIRECT(_xlpm.x)) &lt;2), "x",_xlpm.x),"x"),
_xlpm.y)</f>
        <v>x</v>
      </c>
      <c r="AE262" s="31" t="str" cm="1">
        <f t="array" aca="1" ref="AE262" ca="1">_xlfn.LET(
_xlpm.x, IF(J$259&gt;$G262,"x",IFERROR(SUBSTITUTE(CELL("adres",OFFSET(INDIRECT(J262),,IF(LEFT(J262)="V",-1,1)*($G262-J$259),1,1)),"$",""),"x")),
_xlpm.y, IFERROR(IF(OR(COLUMN(INDIRECT(_xlpm.x))&gt;21, COLUMN(INDIRECT(_xlpm.x)) &lt;2), "x",_xlpm.x),"x"),
_xlpm.y)</f>
        <v>x</v>
      </c>
      <c r="AF262" s="31" t="str" cm="1">
        <f t="array" aca="1" ref="AF262" ca="1">_xlfn.LET(
_xlpm.x, IF(K$259&gt;$G262,"x",IFERROR(SUBSTITUTE(CELL("adres",OFFSET(INDIRECT(K262),,IF(LEFT(K262)="V",-1,1)*($G262-K$259),1,1)),"$",""),"x")),
_xlpm.y, IFERROR(IF(OR(COLUMN(INDIRECT(_xlpm.x))&gt;21, COLUMN(INDIRECT(_xlpm.x)) &lt;2), "x",_xlpm.x),"x"),
_xlpm.y)</f>
        <v>U11</v>
      </c>
      <c r="AG262" s="31" t="str" cm="1">
        <f t="array" aca="1" ref="AG262" ca="1">_xlfn.LET(
_xlpm.x, IF(L$259&gt;$G262,"x",IFERROR(SUBSTITUTE(CELL("adres",OFFSET(INDIRECT(L262),,IF(LEFT(L262)="V",-1,1)*($G262-L$259),1,1)),"$",""),"x")),
_xlpm.y, IFERROR(IF(OR(COLUMN(INDIRECT(_xlpm.x))&gt;21, COLUMN(INDIRECT(_xlpm.x)) &lt;2), "x",_xlpm.x),"x"),
_xlpm.y)</f>
        <v>T18</v>
      </c>
      <c r="AH262" s="31" t="str" cm="1">
        <f t="array" aca="1" ref="AH262" ca="1">_xlfn.LET(
_xlpm.x, IF(M$259&gt;$G262,"x",IFERROR(SUBSTITUTE(CELL("adres",OFFSET(INDIRECT(M262),,IF(LEFT(M262)="V",-1,1)*($G262-M$259),1,1)),"$",""),"x")),
_xlpm.y, IFERROR(IF(OR(COLUMN(INDIRECT(_xlpm.x))&gt;21, COLUMN(INDIRECT(_xlpm.x)) &lt;2), "x",_xlpm.x),"x"),
_xlpm.y)</f>
        <v>S19</v>
      </c>
      <c r="AI262" s="31" t="str" cm="1">
        <f t="array" aca="1" ref="AI262" ca="1">_xlfn.LET(
_xlpm.x, IF(N$259&gt;$G262,"x",IFERROR(SUBSTITUTE(CELL("adres",OFFSET(INDIRECT(N262),,IF(LEFT(N262)="V",-1,1)*($G262-N$259),1,1)),"$",""),"x")),
_xlpm.y, IFERROR(IF(OR(COLUMN(INDIRECT(_xlpm.x))&gt;21, COLUMN(INDIRECT(_xlpm.x)) &lt;2), "x",_xlpm.x),"x"),
_xlpm.y)</f>
        <v>E13</v>
      </c>
      <c r="AJ262" s="31" t="str" cm="1">
        <f t="array" aca="1" ref="AJ262" ca="1">_xlfn.LET(
_xlpm.x, IF(O$259&gt;$G262,"x",IFERROR(SUBSTITUTE(CELL("adres",OFFSET(INDIRECT(O262),,IF(LEFT(O262)="V",-1,1)*($G262-O$259),1,1)),"$",""),"x")),
_xlpm.y, IFERROR(IF(OR(COLUMN(INDIRECT(_xlpm.x))&gt;21, COLUMN(INDIRECT(_xlpm.x)) &lt;2), "x",_xlpm.x),"x"),
_xlpm.y)</f>
        <v>F22</v>
      </c>
      <c r="AK262" s="31" t="str" cm="1">
        <f t="array" aca="1" ref="AK262" ca="1">_xlfn.LET(
_xlpm.x, IF(P$259&gt;$G262,"x",IFERROR(SUBSTITUTE(CELL("adres",OFFSET(INDIRECT(P262),,IF(LEFT(P262)="V",-1,1)*($G262-P$259),1,1)),"$",""),"x")),
_xlpm.y, IFERROR(IF(OR(COLUMN(INDIRECT(_xlpm.x))&gt;21, COLUMN(INDIRECT(_xlpm.x)) &lt;2), "x",_xlpm.x),"x"),
_xlpm.y)</f>
        <v>G12</v>
      </c>
      <c r="AL262" s="31" t="str" cm="1">
        <f t="array" aca="1" ref="AL262" ca="1">_xlfn.LET(
_xlpm.x, IF(Q$259&gt;$G262,"x",IFERROR(SUBSTITUTE(CELL("adres",OFFSET(INDIRECT(Q262),,IF(LEFT(Q262)="V",-1,1)*($G262-Q$259),1,1)),"$",""),"x")),
_xlpm.y, IFERROR(IF(OR(COLUMN(INDIRECT(_xlpm.x))&gt;21, COLUMN(INDIRECT(_xlpm.x)) &lt;2), "x",_xlpm.x),"x"),
_xlpm.y)</f>
        <v>H9</v>
      </c>
      <c r="AM262" s="31" t="str" cm="1">
        <f t="array" aca="1" ref="AM262" ca="1">_xlfn.LET(
_xlpm.x, IF(R$259&gt;$G262,"x",IFERROR(SUBSTITUTE(CELL("adres",OFFSET(INDIRECT(R262),,IF(LEFT(R262)="V",-1,1)*($G262-R$259),1,1)),"$",""),"x")),
_xlpm.y, IFERROR(IF(OR(COLUMN(INDIRECT(_xlpm.x))&gt;21, COLUMN(INDIRECT(_xlpm.x)) &lt;2), "x",_xlpm.x),"x"),
_xlpm.y)</f>
        <v>N3</v>
      </c>
      <c r="AN262" s="31" t="str" cm="1">
        <f t="array" aca="1" ref="AN262" ca="1">_xlfn.LET(
_xlpm.x, IF(S$259&gt;$G262,"x",IFERROR(SUBSTITUTE(CELL("adres",OFFSET(INDIRECT(S262),,IF(LEFT(S262)="V",-1,1)*($G262-S$259),1,1)),"$",""),"x")),
_xlpm.y, IFERROR(IF(OR(COLUMN(INDIRECT(_xlpm.x))&gt;21, COLUMN(INDIRECT(_xlpm.x)) &lt;2), "x",_xlpm.x),"x"),
_xlpm.y)</f>
        <v>J24</v>
      </c>
      <c r="AO262" s="31" t="str" cm="1">
        <f t="array" aca="1" ref="AO262" ca="1">_xlfn.LET(
_xlpm.x, IF(T$259&gt;$G262,"x",IFERROR(SUBSTITUTE(CELL("adres",OFFSET(INDIRECT(T262),,IF(LEFT(T262)="V",-1,1)*($G262-T$259),1,1)),"$",""),"x")),
_xlpm.y, IFERROR(IF(OR(COLUMN(INDIRECT(_xlpm.x))&gt;21, COLUMN(INDIRECT(_xlpm.x)) &lt;2), "x",_xlpm.x),"x"),
_xlpm.y)</f>
        <v>L11</v>
      </c>
      <c r="AP262" s="31" t="str" cm="1">
        <f t="array" aca="1" ref="AP262" ca="1">_xlfn.LET(
_xlpm.x, IF(U$259&gt;$G262,"x",IFERROR(SUBSTITUTE(CELL("adres",OFFSET(INDIRECT(U262),,IF(LEFT(U262)="V",-1,1)*($G262-U$259),1,1)),"$",""),"x")),
_xlpm.y, IFERROR(IF(OR(COLUMN(INDIRECT(_xlpm.x))&gt;21, COLUMN(INDIRECT(_xlpm.x)) &lt;2), "x",_xlpm.x),"x"),
_xlpm.y)</f>
        <v>K3</v>
      </c>
      <c r="AQ262" s="31" t="str" cm="1">
        <f t="array" aca="1" ref="AQ262" ca="1">_xlfn.LET(
_xlpm.x, IF(V$259&gt;$G262,"x",IFERROR(SUBSTITUTE(CELL("adres",OFFSET(INDIRECT(V262),,IF(LEFT(V262)="V",-1,1)*($G262-V$259),1,1)),"$",""),"x")),
_xlpm.y, IFERROR(IF(OR(COLUMN(INDIRECT(_xlpm.x))&gt;21, COLUMN(INDIRECT(_xlpm.x)) &lt;2), "x",_xlpm.x),"x"),
_xlpm.y)</f>
        <v>M10</v>
      </c>
      <c r="AR262" s="31" t="str" cm="1">
        <f t="array" aca="1" ref="AR262" ca="1">_xlfn.LET(
_xlpm.x, IF(W$259&gt;$G262,"x",IFERROR(SUBSTITUTE(CELL("adres",OFFSET(INDIRECT(W262),,IF(LEFT(W262)="V",-1,1)*($G262-W$259),1,1)),"$",""),"x")),
_xlpm.y, IFERROR(IF(OR(COLUMN(INDIRECT(_xlpm.x))&gt;21, COLUMN(INDIRECT(_xlpm.x)) &lt;2), "x",_xlpm.x),"x"),
_xlpm.y)</f>
        <v>I19</v>
      </c>
      <c r="AS262" s="31" t="str" cm="1">
        <f t="array" aca="1" ref="AS262" ca="1">_xlfn.LET(
_xlpm.x, IF(X$259&gt;$G262,"x",IFERROR(SUBSTITUTE(CELL("adres",OFFSET(INDIRECT(X262),,IF(LEFT(X262)="V",-1,1)*($G262-X$259),1,1)),"$",""),"x")),
_xlpm.y, IFERROR(IF(OR(COLUMN(INDIRECT(_xlpm.x))&gt;21, COLUMN(INDIRECT(_xlpm.x)) &lt;2), "x",_xlpm.x),"x"),
_xlpm.y)</f>
        <v>H17</v>
      </c>
      <c r="AT262" s="31" t="str" cm="1">
        <f t="array" aca="1" ref="AT262" ca="1">_xlfn.LET(
_xlpm.x, IF(Y$259&gt;$G262,"x",IFERROR(SUBSTITUTE(CELL("adres",OFFSET(INDIRECT(Y262),,IF(LEFT(Y262)="V",-1,1)*($G262-Y$259),1,1)),"$",""),"x")),
_xlpm.y, IFERROR(IF(OR(COLUMN(INDIRECT(_xlpm.x))&gt;21, COLUMN(INDIRECT(_xlpm.x)) &lt;2), "x",_xlpm.x),"x"),
_xlpm.y)</f>
        <v>P24</v>
      </c>
      <c r="AU262" s="31" t="str" cm="1">
        <f t="array" aca="1" ref="AU262" ca="1">_xlfn.LET(
_xlpm.x, IF(Z$259&gt;$G262,"x",IFERROR(SUBSTITUTE(CELL("adres",OFFSET(INDIRECT(Z262),,IF(LEFT(Z262)="V",-1,1)*($G262-Z$259),1,1)),"$",""),"x")),
_xlpm.y, IFERROR(IF(OR(COLUMN(INDIRECT(_xlpm.x))&gt;21, COLUMN(INDIRECT(_xlpm.x)) &lt;2), "x",_xlpm.x),"x"),
_xlpm.y)</f>
        <v>Q18</v>
      </c>
      <c r="AV262" s="31" t="str" cm="1">
        <f t="array" aca="1" ref="AV262" ca="1">_xlfn.LET(
_xlpm.x, IF(AA$259&gt;$G262,"x",IFERROR(SUBSTITUTE(CELL("adres",OFFSET(INDIRECT(AA262),,IF(LEFT(AA262)="V",-1,1)*($G262-AA$259),1,1)),"$",""),"x")),
_xlpm.y, IFERROR(IF(OR(COLUMN(INDIRECT(_xlpm.x))&gt;21, COLUMN(INDIRECT(_xlpm.x)) &lt;2), "x",_xlpm.x),"x"),
_xlpm.y)</f>
        <v>R26</v>
      </c>
      <c r="AW262" s="31" t="str" cm="1">
        <f t="array" aca="1" ref="AW262" ca="1">_xlfn.LET(
_xlpm.x, IF(AB$259&gt;$G262,"x",IFERROR(SUBSTITUTE(CELL("adres",OFFSET(INDIRECT(AB262),,IF(LEFT(AB262)="V",-1,1)*($G262-AB$259),1,1)),"$",""),"x")),
_xlpm.y, IFERROR(IF(OR(COLUMN(INDIRECT(_xlpm.x))&gt;21, COLUMN(INDIRECT(_xlpm.x)) &lt;2), "x",_xlpm.x),"x"),
_xlpm.y)</f>
        <v>D24</v>
      </c>
      <c r="AX262" s="23" t="e" cm="1">
        <f t="array" aca="1" ref="AX262" ca="1">ROW(INDIRECT(AD262))</f>
        <v>#REF!</v>
      </c>
      <c r="AY262" s="23" cm="1">
        <f t="array" aca="1" ref="AY262" ca="1">ROW(INDIRECT(H262))</f>
        <v>11</v>
      </c>
      <c r="AZ262" s="23" t="e">
        <f ca="1">ABS(AY262-AX262)</f>
        <v>#REF!</v>
      </c>
      <c r="BA262" s="23" t="e" cm="1">
        <f t="array" aca="1" ref="BA262" ca="1">COLUMN(INDIRECT(AD262))</f>
        <v>#REF!</v>
      </c>
      <c r="BB262" s="23" cm="1">
        <f t="array" aca="1" ref="BB262" ca="1">COLUMN(INDIRECT(H262))</f>
        <v>14</v>
      </c>
      <c r="BC262" s="23" t="e">
        <f ca="1">ABS(BB262-BA262)</f>
        <v>#REF!</v>
      </c>
      <c r="BE262" s="23">
        <f ca="1">IFERROR(MAX(AZ262,BC262),1000)</f>
        <v>1000</v>
      </c>
      <c r="BH262" s="23">
        <v>1000</v>
      </c>
      <c r="BI262" s="23">
        <v>1000</v>
      </c>
      <c r="BJ262" s="23">
        <v>7</v>
      </c>
      <c r="BK262" s="23">
        <v>7</v>
      </c>
      <c r="BL262" s="23">
        <v>8</v>
      </c>
      <c r="BM262" s="23">
        <v>9</v>
      </c>
      <c r="BN262" s="23">
        <v>11</v>
      </c>
      <c r="BO262" s="23">
        <v>7</v>
      </c>
      <c r="BP262" s="23">
        <v>6</v>
      </c>
      <c r="BQ262" s="23">
        <v>8</v>
      </c>
      <c r="BR262" s="23">
        <v>13</v>
      </c>
      <c r="BS262" s="23">
        <v>2</v>
      </c>
      <c r="BT262" s="23">
        <v>8</v>
      </c>
      <c r="BU262" s="23">
        <v>1</v>
      </c>
      <c r="BV262" s="23">
        <v>8</v>
      </c>
      <c r="BW262" s="23">
        <v>6</v>
      </c>
      <c r="BX262" s="23">
        <v>13</v>
      </c>
      <c r="BY262" s="23">
        <v>7</v>
      </c>
      <c r="BZ262" s="23">
        <v>15</v>
      </c>
      <c r="CA262" s="23">
        <v>13</v>
      </c>
      <c r="CC262" s="23">
        <f>MIN(BH262:CA262)</f>
        <v>1</v>
      </c>
      <c r="CD262" s="23">
        <f>COUNTIF(BH262:CA262,CC262)</f>
        <v>1</v>
      </c>
      <c r="CE262" s="23">
        <f>_xlfn.XMATCH(CC262,BH262:CA262,0,1)</f>
        <v>14</v>
      </c>
      <c r="CF262" s="23" t="str" cm="1">
        <f t="array" aca="1" ref="CF262" ca="1">INDEX(AD262:AW262,1,CE262)</f>
        <v>M10</v>
      </c>
      <c r="CI262" s="23" t="b" cm="1">
        <f t="array" aca="1" ref="CI262:DB281" ca="1">AD264:AW283=H264:H283</f>
        <v>0</v>
      </c>
      <c r="CJ262" s="23" t="b">
        <f ca="1"/>
        <v>0</v>
      </c>
      <c r="CK262" s="23" t="b">
        <f ca="1"/>
        <v>0</v>
      </c>
      <c r="CL262" s="23" t="b">
        <f ca="1"/>
        <v>0</v>
      </c>
      <c r="CM262" s="23" t="b">
        <f ca="1"/>
        <v>0</v>
      </c>
      <c r="CN262" s="23" t="b">
        <f ca="1"/>
        <v>0</v>
      </c>
      <c r="CO262" s="23" t="b">
        <f ca="1"/>
        <v>0</v>
      </c>
      <c r="CP262" s="23" t="b">
        <f ca="1"/>
        <v>0</v>
      </c>
      <c r="CQ262" s="23" t="b">
        <f ca="1"/>
        <v>0</v>
      </c>
      <c r="CR262" s="23" t="b">
        <f ca="1"/>
        <v>0</v>
      </c>
      <c r="CS262" s="23" t="b">
        <f ca="1"/>
        <v>0</v>
      </c>
      <c r="CT262" s="23" t="b">
        <f ca="1"/>
        <v>0</v>
      </c>
      <c r="CU262" s="23" t="b">
        <f ca="1"/>
        <v>0</v>
      </c>
      <c r="CV262" s="23" t="b">
        <f ca="1"/>
        <v>0</v>
      </c>
      <c r="CW262" s="23" t="b">
        <f ca="1"/>
        <v>0</v>
      </c>
      <c r="CX262" s="23" t="b">
        <f ca="1"/>
        <v>0</v>
      </c>
      <c r="CY262" s="23" t="b">
        <f ca="1"/>
        <v>0</v>
      </c>
      <c r="CZ262" s="23" t="b">
        <f ca="1"/>
        <v>0</v>
      </c>
      <c r="DA262" s="23" t="b">
        <f ca="1"/>
        <v>0</v>
      </c>
      <c r="DB262" s="23" t="b">
        <f ca="1"/>
        <v>0</v>
      </c>
    </row>
    <row r="263" spans="2:106" ht="15" customHeight="1">
      <c r="B263" s="23"/>
      <c r="C263" s="23"/>
      <c r="D263" s="23"/>
      <c r="E263" s="23"/>
      <c r="J263" s="25"/>
      <c r="K263" s="25"/>
      <c r="L263" s="25"/>
      <c r="M263" s="25"/>
      <c r="N263" s="25"/>
      <c r="O263" s="25"/>
      <c r="P263" s="25"/>
      <c r="Q263" s="25"/>
      <c r="R263" s="25"/>
      <c r="S263" s="25"/>
      <c r="T263" s="25"/>
      <c r="U263" s="25"/>
      <c r="V263" s="25"/>
      <c r="W263" s="25"/>
      <c r="X263" s="25"/>
      <c r="Y263" s="25"/>
      <c r="Z263" s="25"/>
      <c r="AA263" s="25"/>
      <c r="AB263" s="25"/>
      <c r="CI263" s="23" t="b">
        <f ca="1"/>
        <v>0</v>
      </c>
      <c r="CJ263" s="23" t="b">
        <f ca="1"/>
        <v>0</v>
      </c>
      <c r="CK263" s="23" t="b">
        <f ca="1"/>
        <v>0</v>
      </c>
      <c r="CL263" s="23" t="b">
        <f ca="1"/>
        <v>0</v>
      </c>
      <c r="CM263" s="23" t="b">
        <f ca="1"/>
        <v>0</v>
      </c>
      <c r="CN263" s="23" t="b">
        <f ca="1"/>
        <v>0</v>
      </c>
      <c r="CO263" s="23" t="b">
        <f ca="1"/>
        <v>0</v>
      </c>
      <c r="CP263" s="23" t="b">
        <f ca="1"/>
        <v>0</v>
      </c>
      <c r="CQ263" s="23" t="b">
        <f ca="1"/>
        <v>0</v>
      </c>
      <c r="CR263" s="23" t="b">
        <f ca="1"/>
        <v>0</v>
      </c>
      <c r="CS263" s="23" t="b">
        <f ca="1"/>
        <v>0</v>
      </c>
      <c r="CT263" s="23" t="b">
        <f ca="1"/>
        <v>0</v>
      </c>
      <c r="CU263" s="23" t="b">
        <f ca="1"/>
        <v>0</v>
      </c>
      <c r="CV263" s="23" t="b">
        <f ca="1"/>
        <v>0</v>
      </c>
      <c r="CW263" s="23" t="b">
        <f ca="1"/>
        <v>0</v>
      </c>
      <c r="CX263" s="23" t="b">
        <f ca="1"/>
        <v>0</v>
      </c>
      <c r="CY263" s="23" t="b">
        <f ca="1"/>
        <v>0</v>
      </c>
      <c r="CZ263" s="23" t="b">
        <f ca="1"/>
        <v>0</v>
      </c>
      <c r="DA263" s="23" t="b">
        <f ca="1"/>
        <v>0</v>
      </c>
      <c r="DB263" s="23" t="b">
        <f ca="1"/>
        <v>0</v>
      </c>
    </row>
    <row r="264" spans="2:106" ht="22.5" customHeight="1">
      <c r="B264" s="32">
        <v>101</v>
      </c>
      <c r="C264" s="32">
        <v>6</v>
      </c>
      <c r="D264" s="30">
        <v>10</v>
      </c>
      <c r="E264" s="34" t="str" cm="1">
        <f t="array" aca="1" ref="E264:E283" ca="1">CF264:CF283</f>
        <v>H6</v>
      </c>
      <c r="F264" s="103"/>
      <c r="G264" s="33">
        <v>10</v>
      </c>
      <c r="H264" s="33" t="s">
        <v>237</v>
      </c>
      <c r="I264" s="33" t="s">
        <v>111</v>
      </c>
      <c r="J264" s="33" t="s">
        <v>57</v>
      </c>
      <c r="K264" s="33" t="s">
        <v>137</v>
      </c>
      <c r="L264" s="33" t="s">
        <v>62</v>
      </c>
      <c r="M264" s="33" t="s">
        <v>83</v>
      </c>
      <c r="N264" s="33" t="s">
        <v>190</v>
      </c>
      <c r="O264" s="33" t="s">
        <v>88</v>
      </c>
      <c r="P264" s="33" t="s">
        <v>92</v>
      </c>
      <c r="Q264" s="33" t="s">
        <v>83</v>
      </c>
      <c r="R264" s="33" t="s">
        <v>90</v>
      </c>
      <c r="S264" s="33" t="s">
        <v>109</v>
      </c>
      <c r="T264" s="33" t="s">
        <v>57</v>
      </c>
      <c r="U264" s="33" t="s">
        <v>57</v>
      </c>
      <c r="V264" s="33" t="s">
        <v>86</v>
      </c>
      <c r="W264" s="33" t="s">
        <v>62</v>
      </c>
      <c r="X264" s="33" t="s">
        <v>53</v>
      </c>
      <c r="Y264" s="33" t="s">
        <v>184</v>
      </c>
      <c r="Z264" s="33" t="s">
        <v>53</v>
      </c>
      <c r="AA264" s="33" t="s">
        <v>52</v>
      </c>
      <c r="AB264" s="33" t="s">
        <v>91</v>
      </c>
      <c r="AC264" s="115"/>
      <c r="AD264" s="31" t="str" cm="1">
        <f t="array" aca="1" ref="AD264" ca="1">_xlfn.LET(
_xlpm.x, IF(I$259&gt;$G264,"x",IFERROR(SUBSTITUTE(CELL("adres",OFFSET(INDIRECT(I264),,IF(LEFT(I264)="V",-1,1)*($G264-I$259),1,1)),"$",""),"x")),
_xlpm.y, IFERROR(IF(OR(COLUMN(INDIRECT(_xlpm.x))&gt;21, COLUMN(INDIRECT(_xlpm.x)) &lt;2), "x",_xlpm.x),"x"),
_xlpm.y)</f>
        <v>L18</v>
      </c>
      <c r="AE264" s="31" t="str" cm="1">
        <f t="array" aca="1" ref="AE264" ca="1">_xlfn.LET(
_xlpm.x, IF(J$259&gt;$G264,"x",IFERROR(SUBSTITUTE(CELL("adres",OFFSET(INDIRECT(J264),,IF(LEFT(J264)="V",-1,1)*($G264-J$259),1,1)),"$",""),"x")),
_xlpm.y, IFERROR(IF(OR(COLUMN(INDIRECT(_xlpm.x))&gt;21, COLUMN(INDIRECT(_xlpm.x)) &lt;2), "x",_xlpm.x),"x"),
_xlpm.y)</f>
        <v>J17</v>
      </c>
      <c r="AF264" s="31" t="str" cm="1">
        <f t="array" aca="1" ref="AF264" ca="1">_xlfn.LET(
_xlpm.x, IF(K$259&gt;$G264,"x",IFERROR(SUBSTITUTE(CELL("adres",OFFSET(INDIRECT(K264),,IF(LEFT(K264)="V",-1,1)*($G264-K$259),1,1)),"$",""),"x")),
_xlpm.y, IFERROR(IF(OR(COLUMN(INDIRECT(_xlpm.x))&gt;21, COLUMN(INDIRECT(_xlpm.x)) &lt;2), "x",_xlpm.x),"x"),
_xlpm.y)</f>
        <v>N4</v>
      </c>
      <c r="AG264" s="31" t="str" cm="1">
        <f t="array" aca="1" ref="AG264" ca="1">_xlfn.LET(
_xlpm.x, IF(L$259&gt;$G264,"x",IFERROR(SUBSTITUTE(CELL("adres",OFFSET(INDIRECT(L264),,IF(LEFT(L264)="V",-1,1)*($G264-L$259),1,1)),"$",""),"x")),
_xlpm.y, IFERROR(IF(OR(COLUMN(INDIRECT(_xlpm.x))&gt;21, COLUMN(INDIRECT(_xlpm.x)) &lt;2), "x",_xlpm.x),"x"),
_xlpm.y)</f>
        <v>H6</v>
      </c>
      <c r="AH264" s="31" t="str" cm="1">
        <f t="array" aca="1" ref="AH264" ca="1">_xlfn.LET(
_xlpm.x, IF(M$259&gt;$G264,"x",IFERROR(SUBSTITUTE(CELL("adres",OFFSET(INDIRECT(M264),,IF(LEFT(M264)="V",-1,1)*($G264-M$259),1,1)),"$",""),"x")),
_xlpm.y, IFERROR(IF(OR(COLUMN(INDIRECT(_xlpm.x))&gt;21, COLUMN(INDIRECT(_xlpm.x)) &lt;2), "x",_xlpm.x),"x"),
_xlpm.y)</f>
        <v>P21</v>
      </c>
      <c r="AI264" s="31" t="str" cm="1">
        <f t="array" aca="1" ref="AI264" ca="1">_xlfn.LET(
_xlpm.x, IF(N$259&gt;$G264,"x",IFERROR(SUBSTITUTE(CELL("adres",OFFSET(INDIRECT(N264),,IF(LEFT(N264)="V",-1,1)*($G264-N$259),1,1)),"$",""),"x")),
_xlpm.y, IFERROR(IF(OR(COLUMN(INDIRECT(_xlpm.x))&gt;21, COLUMN(INDIRECT(_xlpm.x)) &lt;2), "x",_xlpm.x),"x"),
_xlpm.y)</f>
        <v>F24</v>
      </c>
      <c r="AJ264" s="31" t="str" cm="1">
        <f t="array" aca="1" ref="AJ264" ca="1">_xlfn.LET(
_xlpm.x, IF(O$259&gt;$G264,"x",IFERROR(SUBSTITUTE(CELL("adres",OFFSET(INDIRECT(O264),,IF(LEFT(O264)="V",-1,1)*($G264-O$259),1,1)),"$",""),"x")),
_xlpm.y, IFERROR(IF(OR(COLUMN(INDIRECT(_xlpm.x))&gt;21, COLUMN(INDIRECT(_xlpm.x)) &lt;2), "x",_xlpm.x),"x"),
_xlpm.y)</f>
        <v>R9</v>
      </c>
      <c r="AK264" s="31" t="str" cm="1">
        <f t="array" aca="1" ref="AK264" ca="1">_xlfn.LET(
_xlpm.x, IF(P$259&gt;$G264,"x",IFERROR(SUBSTITUTE(CELL("adres",OFFSET(INDIRECT(P264),,IF(LEFT(P264)="V",-1,1)*($G264-P$259),1,1)),"$",""),"x")),
_xlpm.y, IFERROR(IF(OR(COLUMN(INDIRECT(_xlpm.x))&gt;21, COLUMN(INDIRECT(_xlpm.x)) &lt;2), "x",_xlpm.x),"x"),
_xlpm.y)</f>
        <v>S5</v>
      </c>
      <c r="AL264" s="31" t="str" cm="1">
        <f t="array" aca="1" ref="AL264" ca="1">_xlfn.LET(
_xlpm.x, IF(Q$259&gt;$G264,"x",IFERROR(SUBSTITUTE(CELL("adres",OFFSET(INDIRECT(Q264),,IF(LEFT(Q264)="V",-1,1)*($G264-Q$259),1,1)),"$",""),"x")),
_xlpm.y, IFERROR(IF(OR(COLUMN(INDIRECT(_xlpm.x))&gt;21, COLUMN(INDIRECT(_xlpm.x)) &lt;2), "x",_xlpm.x),"x"),
_xlpm.y)</f>
        <v>T21</v>
      </c>
      <c r="AM264" s="31" t="str" cm="1">
        <f t="array" aca="1" ref="AM264" ca="1">_xlfn.LET(
_xlpm.x, IF(R$259&gt;$G264,"x",IFERROR(SUBSTITUTE(CELL("adres",OFFSET(INDIRECT(R264),,IF(LEFT(R264)="V",-1,1)*($G264-R$259),1,1)),"$",""),"x")),
_xlpm.y, IFERROR(IF(OR(COLUMN(INDIRECT(_xlpm.x))&gt;21, COLUMN(INDIRECT(_xlpm.x)) &lt;2), "x",_xlpm.x),"x"),
_xlpm.y)</f>
        <v>U24</v>
      </c>
      <c r="AN264" s="31" t="str" cm="1">
        <f t="array" aca="1" ref="AN264" ca="1">_xlfn.LET(
_xlpm.x, IF(S$259&gt;$G264,"x",IFERROR(SUBSTITUTE(CELL("adres",OFFSET(INDIRECT(S264),,IF(LEFT(S264)="V",-1,1)*($G264-S$259),1,1)),"$",""),"x")),
_xlpm.y, IFERROR(IF(OR(COLUMN(INDIRECT(_xlpm.x))&gt;21, COLUMN(INDIRECT(_xlpm.x)) &lt;2), "x",_xlpm.x),"x"),
_xlpm.y)</f>
        <v>x</v>
      </c>
      <c r="AO264" s="31" t="str" cm="1">
        <f t="array" aca="1" ref="AO264" ca="1">_xlfn.LET(
_xlpm.x, IF(T$259&gt;$G264,"x",IFERROR(SUBSTITUTE(CELL("adres",OFFSET(INDIRECT(T264),,IF(LEFT(T264)="V",-1,1)*($G264-T$259),1,1)),"$",""),"x")),
_xlpm.y, IFERROR(IF(OR(COLUMN(INDIRECT(_xlpm.x))&gt;21, COLUMN(INDIRECT(_xlpm.x)) &lt;2), "x",_xlpm.x),"x"),
_xlpm.y)</f>
        <v>x</v>
      </c>
      <c r="AP264" s="31" t="str" cm="1">
        <f t="array" aca="1" ref="AP264" ca="1">_xlfn.LET(
_xlpm.x, IF(U$259&gt;$G264,"x",IFERROR(SUBSTITUTE(CELL("adres",OFFSET(INDIRECT(U264),,IF(LEFT(U264)="V",-1,1)*($G264-U$259),1,1)),"$",""),"x")),
_xlpm.y, IFERROR(IF(OR(COLUMN(INDIRECT(_xlpm.x))&gt;21, COLUMN(INDIRECT(_xlpm.x)) &lt;2), "x",_xlpm.x),"x"),
_xlpm.y)</f>
        <v>x</v>
      </c>
      <c r="AQ264" s="31" t="str" cm="1">
        <f t="array" aca="1" ref="AQ264" ca="1">_xlfn.LET(
_xlpm.x, IF(V$259&gt;$G264,"x",IFERROR(SUBSTITUTE(CELL("adres",OFFSET(INDIRECT(V264),,IF(LEFT(V264)="V",-1,1)*($G264-V$259),1,1)),"$",""),"x")),
_xlpm.y, IFERROR(IF(OR(COLUMN(INDIRECT(_xlpm.x))&gt;21, COLUMN(INDIRECT(_xlpm.x)) &lt;2), "x",_xlpm.x),"x"),
_xlpm.y)</f>
        <v>x</v>
      </c>
      <c r="AR264" s="31" t="str" cm="1">
        <f t="array" aca="1" ref="AR264" ca="1">_xlfn.LET(
_xlpm.x, IF(W$259&gt;$G264,"x",IFERROR(SUBSTITUTE(CELL("adres",OFFSET(INDIRECT(W264),,IF(LEFT(W264)="V",-1,1)*($G264-W$259),1,1)),"$",""),"x")),
_xlpm.y, IFERROR(IF(OR(COLUMN(INDIRECT(_xlpm.x))&gt;21, COLUMN(INDIRECT(_xlpm.x)) &lt;2), "x",_xlpm.x),"x"),
_xlpm.y)</f>
        <v>x</v>
      </c>
      <c r="AS264" s="31" t="str" cm="1">
        <f t="array" aca="1" ref="AS264" ca="1">_xlfn.LET(
_xlpm.x, IF(X$259&gt;$G264,"x",IFERROR(SUBSTITUTE(CELL("adres",OFFSET(INDIRECT(X264),,IF(LEFT(X264)="V",-1,1)*($G264-X$259),1,1)),"$",""),"x")),
_xlpm.y, IFERROR(IF(OR(COLUMN(INDIRECT(_xlpm.x))&gt;21, COLUMN(INDIRECT(_xlpm.x)) &lt;2), "x",_xlpm.x),"x"),
_xlpm.y)</f>
        <v>x</v>
      </c>
      <c r="AT264" s="31" t="str" cm="1">
        <f t="array" aca="1" ref="AT264" ca="1">_xlfn.LET(
_xlpm.x, IF(Y$259&gt;$G264,"x",IFERROR(SUBSTITUTE(CELL("adres",OFFSET(INDIRECT(Y264),,IF(LEFT(Y264)="V",-1,1)*($G264-Y$259),1,1)),"$",""),"x")),
_xlpm.y, IFERROR(IF(OR(COLUMN(INDIRECT(_xlpm.x))&gt;21, COLUMN(INDIRECT(_xlpm.x)) &lt;2), "x",_xlpm.x),"x"),
_xlpm.y)</f>
        <v>x</v>
      </c>
      <c r="AU264" s="31" t="str" cm="1">
        <f t="array" aca="1" ref="AU264" ca="1">_xlfn.LET(
_xlpm.x, IF(Z$259&gt;$G264,"x",IFERROR(SUBSTITUTE(CELL("adres",OFFSET(INDIRECT(Z264),,IF(LEFT(Z264)="V",-1,1)*($G264-Z$259),1,1)),"$",""),"x")),
_xlpm.y, IFERROR(IF(OR(COLUMN(INDIRECT(_xlpm.x))&gt;21, COLUMN(INDIRECT(_xlpm.x)) &lt;2), "x",_xlpm.x),"x"),
_xlpm.y)</f>
        <v>x</v>
      </c>
      <c r="AV264" s="31" t="str" cm="1">
        <f t="array" aca="1" ref="AV264" ca="1">_xlfn.LET(
_xlpm.x, IF(AA$259&gt;$G264,"x",IFERROR(SUBSTITUTE(CELL("adres",OFFSET(INDIRECT(AA264),,IF(LEFT(AA264)="V",-1,1)*($G264-AA$259),1,1)),"$",""),"x")),
_xlpm.y, IFERROR(IF(OR(COLUMN(INDIRECT(_xlpm.x))&gt;21, COLUMN(INDIRECT(_xlpm.x)) &lt;2), "x",_xlpm.x),"x"),
_xlpm.y)</f>
        <v>x</v>
      </c>
      <c r="AW264" s="31" t="str" cm="1">
        <f t="array" aca="1" ref="AW264" ca="1">_xlfn.LET(
_xlpm.x, IF(AB$259&gt;$G264,"x",IFERROR(SUBSTITUTE(CELL("adres",OFFSET(INDIRECT(AB264),,IF(LEFT(AB264)="V",-1,1)*($G264-AB$259),1,1)),"$",""),"x")),
_xlpm.y, IFERROR(IF(OR(COLUMN(INDIRECT(_xlpm.x))&gt;21, COLUMN(INDIRECT(_xlpm.x)) &lt;2), "x",_xlpm.x),"x"),
_xlpm.y)</f>
        <v>x</v>
      </c>
      <c r="AX264" s="23" cm="1">
        <f t="array" aca="1" ref="AX264" ca="1">ROW(INDIRECT(AD264))</f>
        <v>18</v>
      </c>
      <c r="AY264" s="23" cm="1">
        <f t="array" aca="1" ref="AY264" ca="1">ROW(INDIRECT(H264))</f>
        <v>9</v>
      </c>
      <c r="AZ264" s="23">
        <f ca="1">ABS(AY264-AX264)</f>
        <v>9</v>
      </c>
      <c r="BA264" s="23" cm="1">
        <f t="array" aca="1" ref="BA264" ca="1">COLUMN(INDIRECT(AD264))</f>
        <v>12</v>
      </c>
      <c r="BB264" s="23" cm="1">
        <f t="array" aca="1" ref="BB264" ca="1">COLUMN(INDIRECT(H264))</f>
        <v>7</v>
      </c>
      <c r="BC264" s="23">
        <f ca="1">ABS(BB264-BA264)</f>
        <v>5</v>
      </c>
      <c r="BE264" s="23">
        <f ca="1">IFERROR(MAX(AZ264,BC264),1000)</f>
        <v>9</v>
      </c>
      <c r="BH264" s="23">
        <v>9</v>
      </c>
      <c r="BI264" s="23">
        <v>8</v>
      </c>
      <c r="BJ264" s="23">
        <v>7</v>
      </c>
      <c r="BK264" s="23">
        <v>3</v>
      </c>
      <c r="BL264" s="23">
        <v>12</v>
      </c>
      <c r="BM264" s="23">
        <v>15</v>
      </c>
      <c r="BN264" s="23">
        <v>11</v>
      </c>
      <c r="BO264" s="23">
        <v>12</v>
      </c>
      <c r="BP264" s="23">
        <v>13</v>
      </c>
      <c r="BQ264" s="23">
        <v>15</v>
      </c>
      <c r="BR264" s="23">
        <v>1000</v>
      </c>
      <c r="BS264" s="23">
        <v>1000</v>
      </c>
      <c r="BT264" s="23">
        <v>1000</v>
      </c>
      <c r="BU264" s="23">
        <v>1000</v>
      </c>
      <c r="BV264" s="23">
        <v>1000</v>
      </c>
      <c r="BW264" s="23">
        <v>1000</v>
      </c>
      <c r="BX264" s="23">
        <v>1000</v>
      </c>
      <c r="BY264" s="23">
        <v>1000</v>
      </c>
      <c r="BZ264" s="23">
        <v>1000</v>
      </c>
      <c r="CA264" s="23">
        <v>1000</v>
      </c>
      <c r="CC264" s="23">
        <f>MIN(BH264:CA264)</f>
        <v>3</v>
      </c>
      <c r="CD264" s="23">
        <f>COUNTIF(BH264:CA264,CC264)</f>
        <v>1</v>
      </c>
      <c r="CE264" s="23">
        <f>_xlfn.XMATCH(CC264,BH264:CA264,0,1)</f>
        <v>4</v>
      </c>
      <c r="CF264" s="23" t="str" cm="1">
        <f t="array" aca="1" ref="CF264" ca="1">INDEX(AD264:AW264,1,CE264)</f>
        <v>H6</v>
      </c>
      <c r="CI264" s="23" t="b">
        <f ca="1"/>
        <v>0</v>
      </c>
      <c r="CJ264" s="23" t="b">
        <f ca="1"/>
        <v>0</v>
      </c>
      <c r="CK264" s="23" t="b">
        <f ca="1"/>
        <v>0</v>
      </c>
      <c r="CL264" s="23" t="b">
        <f ca="1"/>
        <v>0</v>
      </c>
      <c r="CM264" s="23" t="b">
        <f ca="1"/>
        <v>0</v>
      </c>
      <c r="CN264" s="23" t="b">
        <f ca="1"/>
        <v>0</v>
      </c>
      <c r="CO264" s="23" t="b">
        <f ca="1"/>
        <v>0</v>
      </c>
      <c r="CP264" s="23" t="b">
        <f ca="1"/>
        <v>0</v>
      </c>
      <c r="CQ264" s="23" t="b">
        <f ca="1"/>
        <v>0</v>
      </c>
      <c r="CR264" s="23" t="b">
        <f ca="1"/>
        <v>0</v>
      </c>
      <c r="CS264" s="23" t="b">
        <f ca="1"/>
        <v>0</v>
      </c>
      <c r="CT264" s="23" t="b">
        <f ca="1"/>
        <v>0</v>
      </c>
      <c r="CU264" s="23" t="b">
        <f ca="1"/>
        <v>0</v>
      </c>
      <c r="CV264" s="23" t="b">
        <f ca="1"/>
        <v>0</v>
      </c>
      <c r="CW264" s="23" t="b">
        <f ca="1"/>
        <v>0</v>
      </c>
      <c r="CX264" s="23" t="b">
        <f ca="1"/>
        <v>0</v>
      </c>
      <c r="CY264" s="23" t="b">
        <f ca="1"/>
        <v>0</v>
      </c>
      <c r="CZ264" s="23" t="b">
        <f ca="1"/>
        <v>0</v>
      </c>
      <c r="DA264" s="23" t="b">
        <f ca="1"/>
        <v>0</v>
      </c>
      <c r="DB264" s="23" t="b">
        <f ca="1"/>
        <v>0</v>
      </c>
    </row>
    <row r="265" spans="2:106" ht="22.5" customHeight="1">
      <c r="B265" s="32">
        <f>B264+1</f>
        <v>102</v>
      </c>
      <c r="C265" s="32">
        <v>6</v>
      </c>
      <c r="D265" s="30">
        <v>10</v>
      </c>
      <c r="E265" s="34" t="str">
        <f ca="1"/>
        <v>U11</v>
      </c>
      <c r="F265" s="103"/>
      <c r="G265" s="33">
        <v>34</v>
      </c>
      <c r="H265" s="33" t="s">
        <v>238</v>
      </c>
      <c r="I265" s="33" t="s">
        <v>60</v>
      </c>
      <c r="J265" s="33" t="s">
        <v>58</v>
      </c>
      <c r="K265" s="33" t="s">
        <v>59</v>
      </c>
      <c r="L265" s="33" t="s">
        <v>88</v>
      </c>
      <c r="M265" s="33" t="s">
        <v>178</v>
      </c>
      <c r="N265" s="33" t="s">
        <v>115</v>
      </c>
      <c r="O265" s="33" t="s">
        <v>60</v>
      </c>
      <c r="P265" s="33" t="s">
        <v>55</v>
      </c>
      <c r="Q265" s="33" t="s">
        <v>181</v>
      </c>
      <c r="R265" s="33" t="s">
        <v>52</v>
      </c>
      <c r="S265" s="33" t="s">
        <v>181</v>
      </c>
      <c r="T265" s="33" t="s">
        <v>88</v>
      </c>
      <c r="U265" s="33" t="s">
        <v>186</v>
      </c>
      <c r="V265" s="33" t="s">
        <v>155</v>
      </c>
      <c r="W265" s="33" t="s">
        <v>110</v>
      </c>
      <c r="X265" s="33" t="s">
        <v>186</v>
      </c>
      <c r="Y265" s="33" t="s">
        <v>60</v>
      </c>
      <c r="Z265" s="33" t="s">
        <v>63</v>
      </c>
      <c r="AA265" s="33" t="s">
        <v>92</v>
      </c>
      <c r="AB265" s="33" t="s">
        <v>90</v>
      </c>
      <c r="AC265" s="115"/>
      <c r="AD265" s="31" t="str" cm="1">
        <f t="array" aca="1" ref="AD265" ca="1">_xlfn.LET(
_xlpm.x, IF(I$259&gt;$G265,"x",IFERROR(SUBSTITUTE(CELL("adres",OFFSET(INDIRECT(I265),,IF(LEFT(I265)="V",-1,1)*($G265-I$259),1,1)),"$",""),"x")),
_xlpm.y, IFERROR(IF(OR(COLUMN(INDIRECT(_xlpm.x))&gt;21, COLUMN(INDIRECT(_xlpm.x)) &lt;2), "x",_xlpm.x),"x"),
_xlpm.y)</f>
        <v>x</v>
      </c>
      <c r="AE265" s="31" t="str" cm="1">
        <f t="array" aca="1" ref="AE265" ca="1">_xlfn.LET(
_xlpm.x, IF(J$259&gt;$G265,"x",IFERROR(SUBSTITUTE(CELL("adres",OFFSET(INDIRECT(J265),,IF(LEFT(J265)="V",-1,1)*($G265-J$259),1,1)),"$",""),"x")),
_xlpm.y, IFERROR(IF(OR(COLUMN(INDIRECT(_xlpm.x))&gt;21, COLUMN(INDIRECT(_xlpm.x)) &lt;2), "x",_xlpm.x),"x"),
_xlpm.y)</f>
        <v>x</v>
      </c>
      <c r="AF265" s="31" t="str" cm="1">
        <f t="array" aca="1" ref="AF265" ca="1">_xlfn.LET(
_xlpm.x, IF(K$259&gt;$G265,"x",IFERROR(SUBSTITUTE(CELL("adres",OFFSET(INDIRECT(K265),,IF(LEFT(K265)="V",-1,1)*($G265-K$259),1,1)),"$",""),"x")),
_xlpm.y, IFERROR(IF(OR(COLUMN(INDIRECT(_xlpm.x))&gt;21, COLUMN(INDIRECT(_xlpm.x)) &lt;2), "x",_xlpm.x),"x"),
_xlpm.y)</f>
        <v>x</v>
      </c>
      <c r="AG265" s="31" t="str" cm="1">
        <f t="array" aca="1" ref="AG265" ca="1">_xlfn.LET(
_xlpm.x, IF(L$259&gt;$G265,"x",IFERROR(SUBSTITUTE(CELL("adres",OFFSET(INDIRECT(L265),,IF(LEFT(L265)="V",-1,1)*($G265-L$259),1,1)),"$",""),"x")),
_xlpm.y, IFERROR(IF(OR(COLUMN(INDIRECT(_xlpm.x))&gt;21, COLUMN(INDIRECT(_xlpm.x)) &lt;2), "x",_xlpm.x),"x"),
_xlpm.y)</f>
        <v>x</v>
      </c>
      <c r="AH265" s="31" t="str" cm="1">
        <f t="array" aca="1" ref="AH265" ca="1">_xlfn.LET(
_xlpm.x, IF(M$259&gt;$G265,"x",IFERROR(SUBSTITUTE(CELL("adres",OFFSET(INDIRECT(M265),,IF(LEFT(M265)="V",-1,1)*($G265-M$259),1,1)),"$",""),"x")),
_xlpm.y, IFERROR(IF(OR(COLUMN(INDIRECT(_xlpm.x))&gt;21, COLUMN(INDIRECT(_xlpm.x)) &lt;2), "x",_xlpm.x),"x"),
_xlpm.y)</f>
        <v>x</v>
      </c>
      <c r="AI265" s="31" t="str" cm="1">
        <f t="array" aca="1" ref="AI265" ca="1">_xlfn.LET(
_xlpm.x, IF(N$259&gt;$G265,"x",IFERROR(SUBSTITUTE(CELL("adres",OFFSET(INDIRECT(N265),,IF(LEFT(N265)="V",-1,1)*($G265-N$259),1,1)),"$",""),"x")),
_xlpm.y, IFERROR(IF(OR(COLUMN(INDIRECT(_xlpm.x))&gt;21, COLUMN(INDIRECT(_xlpm.x)) &lt;2), "x",_xlpm.x),"x"),
_xlpm.y)</f>
        <v>x</v>
      </c>
      <c r="AJ265" s="31" t="str" cm="1">
        <f t="array" aca="1" ref="AJ265" ca="1">_xlfn.LET(
_xlpm.x, IF(O$259&gt;$G265,"x",IFERROR(SUBSTITUTE(CELL("adres",OFFSET(INDIRECT(O265),,IF(LEFT(O265)="V",-1,1)*($G265-O$259),1,1)),"$",""),"x")),
_xlpm.y, IFERROR(IF(OR(COLUMN(INDIRECT(_xlpm.x))&gt;21, COLUMN(INDIRECT(_xlpm.x)) &lt;2), "x",_xlpm.x),"x"),
_xlpm.y)</f>
        <v>x</v>
      </c>
      <c r="AK265" s="31" t="str" cm="1">
        <f t="array" aca="1" ref="AK265" ca="1">_xlfn.LET(
_xlpm.x, IF(P$259&gt;$G265,"x",IFERROR(SUBSTITUTE(CELL("adres",OFFSET(INDIRECT(P265),,IF(LEFT(P265)="V",-1,1)*($G265-P$259),1,1)),"$",""),"x")),
_xlpm.y, IFERROR(IF(OR(COLUMN(INDIRECT(_xlpm.x))&gt;21, COLUMN(INDIRECT(_xlpm.x)) &lt;2), "x",_xlpm.x),"x"),
_xlpm.y)</f>
        <v>x</v>
      </c>
      <c r="AL265" s="31" t="str" cm="1">
        <f t="array" aca="1" ref="AL265" ca="1">_xlfn.LET(
_xlpm.x, IF(Q$259&gt;$G265,"x",IFERROR(SUBSTITUTE(CELL("adres",OFFSET(INDIRECT(Q265),,IF(LEFT(Q265)="V",-1,1)*($G265-Q$259),1,1)),"$",""),"x")),
_xlpm.y, IFERROR(IF(OR(COLUMN(INDIRECT(_xlpm.x))&gt;21, COLUMN(INDIRECT(_xlpm.x)) &lt;2), "x",_xlpm.x),"x"),
_xlpm.y)</f>
        <v>x</v>
      </c>
      <c r="AM265" s="31" t="str" cm="1">
        <f t="array" aca="1" ref="AM265" ca="1">_xlfn.LET(
_xlpm.x, IF(R$259&gt;$G265,"x",IFERROR(SUBSTITUTE(CELL("adres",OFFSET(INDIRECT(R265),,IF(LEFT(R265)="V",-1,1)*($G265-R$259),1,1)),"$",""),"x")),
_xlpm.y, IFERROR(IF(OR(COLUMN(INDIRECT(_xlpm.x))&gt;21, COLUMN(INDIRECT(_xlpm.x)) &lt;2), "x",_xlpm.x),"x"),
_xlpm.y)</f>
        <v>x</v>
      </c>
      <c r="AN265" s="31" t="str" cm="1">
        <f t="array" aca="1" ref="AN265" ca="1">_xlfn.LET(
_xlpm.x, IF(S$259&gt;$G265,"x",IFERROR(SUBSTITUTE(CELL("adres",OFFSET(INDIRECT(S265),,IF(LEFT(S265)="V",-1,1)*($G265-S$259),1,1)),"$",""),"x")),
_xlpm.y, IFERROR(IF(OR(COLUMN(INDIRECT(_xlpm.x))&gt;21, COLUMN(INDIRECT(_xlpm.x)) &lt;2), "x",_xlpm.x),"x"),
_xlpm.y)</f>
        <v>x</v>
      </c>
      <c r="AO265" s="31" t="str" cm="1">
        <f t="array" aca="1" ref="AO265" ca="1">_xlfn.LET(
_xlpm.x, IF(T$259&gt;$G265,"x",IFERROR(SUBSTITUTE(CELL("adres",OFFSET(INDIRECT(T265),,IF(LEFT(T265)="V",-1,1)*($G265-T$259),1,1)),"$",""),"x")),
_xlpm.y, IFERROR(IF(OR(COLUMN(INDIRECT(_xlpm.x))&gt;21, COLUMN(INDIRECT(_xlpm.x)) &lt;2), "x",_xlpm.x),"x"),
_xlpm.y)</f>
        <v>x</v>
      </c>
      <c r="AP265" s="31" t="str" cm="1">
        <f t="array" aca="1" ref="AP265" ca="1">_xlfn.LET(
_xlpm.x, IF(U$259&gt;$G265,"x",IFERROR(SUBSTITUTE(CELL("adres",OFFSET(INDIRECT(U265),,IF(LEFT(U265)="V",-1,1)*($G265-U$259),1,1)),"$",""),"x")),
_xlpm.y, IFERROR(IF(OR(COLUMN(INDIRECT(_xlpm.x))&gt;21, COLUMN(INDIRECT(_xlpm.x)) &lt;2), "x",_xlpm.x),"x"),
_xlpm.y)</f>
        <v>x</v>
      </c>
      <c r="AQ265" s="31" t="str" cm="1">
        <f t="array" aca="1" ref="AQ265" ca="1">_xlfn.LET(
_xlpm.x, IF(V$259&gt;$G265,"x",IFERROR(SUBSTITUTE(CELL("adres",OFFSET(INDIRECT(V265),,IF(LEFT(V265)="V",-1,1)*($G265-V$259),1,1)),"$",""),"x")),
_xlpm.y, IFERROR(IF(OR(COLUMN(INDIRECT(_xlpm.x))&gt;21, COLUMN(INDIRECT(_xlpm.x)) &lt;2), "x",_xlpm.x),"x"),
_xlpm.y)</f>
        <v>x</v>
      </c>
      <c r="AR265" s="31" t="str" cm="1">
        <f t="array" aca="1" ref="AR265" ca="1">_xlfn.LET(
_xlpm.x, IF(W$259&gt;$G265,"x",IFERROR(SUBSTITUTE(CELL("adres",OFFSET(INDIRECT(W265),,IF(LEFT(W265)="V",-1,1)*($G265-W$259),1,1)),"$",""),"x")),
_xlpm.y, IFERROR(IF(OR(COLUMN(INDIRECT(_xlpm.x))&gt;21, COLUMN(INDIRECT(_xlpm.x)) &lt;2), "x",_xlpm.x),"x"),
_xlpm.y)</f>
        <v>U11</v>
      </c>
      <c r="AS265" s="31" t="str" cm="1">
        <f t="array" aca="1" ref="AS265" ca="1">_xlfn.LET(
_xlpm.x, IF(X$259&gt;$G265,"x",IFERROR(SUBSTITUTE(CELL("adres",OFFSET(INDIRECT(X265),,IF(LEFT(X265)="V",-1,1)*($G265-X$259),1,1)),"$",""),"x")),
_xlpm.y, IFERROR(IF(OR(COLUMN(INDIRECT(_xlpm.x))&gt;21, COLUMN(INDIRECT(_xlpm.x)) &lt;2), "x",_xlpm.x),"x"),
_xlpm.y)</f>
        <v>C15</v>
      </c>
      <c r="AT265" s="31" t="str" cm="1">
        <f t="array" aca="1" ref="AT265" ca="1">_xlfn.LET(
_xlpm.x, IF(Y$259&gt;$G265,"x",IFERROR(SUBSTITUTE(CELL("adres",OFFSET(INDIRECT(Y265),,IF(LEFT(Y265)="V",-1,1)*($G265-Y$259),1,1)),"$",""),"x")),
_xlpm.y, IFERROR(IF(OR(COLUMN(INDIRECT(_xlpm.x))&gt;21, COLUMN(INDIRECT(_xlpm.x)) &lt;2), "x",_xlpm.x),"x"),
_xlpm.y)</f>
        <v>S21</v>
      </c>
      <c r="AU265" s="31" t="str" cm="1">
        <f t="array" aca="1" ref="AU265" ca="1">_xlfn.LET(
_xlpm.x, IF(Z$259&gt;$G265,"x",IFERROR(SUBSTITUTE(CELL("adres",OFFSET(INDIRECT(Z265),,IF(LEFT(Z265)="V",-1,1)*($G265-Z$259),1,1)),"$",""),"x")),
_xlpm.y, IFERROR(IF(OR(COLUMN(INDIRECT(_xlpm.x))&gt;21, COLUMN(INDIRECT(_xlpm.x)) &lt;2), "x",_xlpm.x),"x"),
_xlpm.y)</f>
        <v>R22</v>
      </c>
      <c r="AV265" s="31" t="str" cm="1">
        <f t="array" aca="1" ref="AV265" ca="1">_xlfn.LET(
_xlpm.x, IF(AA$259&gt;$G265,"x",IFERROR(SUBSTITUTE(CELL("adres",OFFSET(INDIRECT(AA265),,IF(LEFT(AA265)="V",-1,1)*($G265-AA$259),1,1)),"$",""),"x")),
_xlpm.y, IFERROR(IF(OR(COLUMN(INDIRECT(_xlpm.x))&gt;21, COLUMN(INDIRECT(_xlpm.x)) &lt;2), "x",_xlpm.x),"x"),
_xlpm.y)</f>
        <v>F5</v>
      </c>
      <c r="AW265" s="31" t="str" cm="1">
        <f t="array" aca="1" ref="AW265" ca="1">_xlfn.LET(
_xlpm.x, IF(AB$259&gt;$G265,"x",IFERROR(SUBSTITUTE(CELL("adres",OFFSET(INDIRECT(AB265),,IF(LEFT(AB265)="V",-1,1)*($G265-AB$259),1,1)),"$",""),"x")),
_xlpm.y, IFERROR(IF(OR(COLUMN(INDIRECT(_xlpm.x))&gt;21, COLUMN(INDIRECT(_xlpm.x)) &lt;2), "x",_xlpm.x),"x"),
_xlpm.y)</f>
        <v>G24</v>
      </c>
      <c r="AX265" s="23" t="e" cm="1">
        <f t="array" aca="1" ref="AX265" ca="1">ROW(INDIRECT(AD265))</f>
        <v>#REF!</v>
      </c>
      <c r="AY265" s="23" cm="1">
        <f t="array" aca="1" ref="AY265" ca="1">ROW(INDIRECT(H265))</f>
        <v>15</v>
      </c>
      <c r="AZ265" s="23" t="e">
        <f t="shared" ref="AZ265:AZ283" ca="1" si="12">ABS(AY265-AX265)</f>
        <v>#REF!</v>
      </c>
      <c r="BA265" s="23" t="e" cm="1">
        <f t="array" aca="1" ref="BA265" ca="1">COLUMN(INDIRECT(AD265))</f>
        <v>#REF!</v>
      </c>
      <c r="BB265" s="23" cm="1">
        <f t="array" aca="1" ref="BB265" ca="1">COLUMN(INDIRECT(H265))</f>
        <v>21</v>
      </c>
      <c r="BC265" s="23" t="e">
        <f t="shared" ref="BC265:BC283" ca="1" si="13">ABS(BB265-BA265)</f>
        <v>#REF!</v>
      </c>
      <c r="BE265" s="23">
        <f t="shared" ref="BE265:BE283" ca="1" si="14">IFERROR(MAX(AZ265,BC265),1000)</f>
        <v>1000</v>
      </c>
      <c r="BH265" s="23">
        <v>1000</v>
      </c>
      <c r="BI265" s="23">
        <v>1000</v>
      </c>
      <c r="BJ265" s="23">
        <v>1000</v>
      </c>
      <c r="BK265" s="23">
        <v>1000</v>
      </c>
      <c r="BL265" s="23">
        <v>1000</v>
      </c>
      <c r="BM265" s="23">
        <v>1000</v>
      </c>
      <c r="BN265" s="23">
        <v>1000</v>
      </c>
      <c r="BO265" s="23">
        <v>1000</v>
      </c>
      <c r="BP265" s="23">
        <v>1000</v>
      </c>
      <c r="BQ265" s="23">
        <v>1000</v>
      </c>
      <c r="BR265" s="23">
        <v>1000</v>
      </c>
      <c r="BS265" s="23">
        <v>1000</v>
      </c>
      <c r="BT265" s="23">
        <v>1000</v>
      </c>
      <c r="BU265" s="23">
        <v>1000</v>
      </c>
      <c r="BV265" s="23">
        <v>4</v>
      </c>
      <c r="BW265" s="23">
        <v>18</v>
      </c>
      <c r="BX265" s="23">
        <v>6</v>
      </c>
      <c r="BY265" s="23">
        <v>7</v>
      </c>
      <c r="BZ265" s="23">
        <v>15</v>
      </c>
      <c r="CA265" s="23">
        <v>14</v>
      </c>
      <c r="CC265" s="23">
        <f t="shared" ref="CC265:CC283" si="15">MIN(BH265:CA265)</f>
        <v>4</v>
      </c>
      <c r="CD265" s="23">
        <f t="shared" ref="CD265:CD283" si="16">COUNTIF(BH265:CA265,CC265)</f>
        <v>1</v>
      </c>
      <c r="CE265" s="23">
        <f t="shared" ref="CE265:CE283" si="17">_xlfn.XMATCH(CC265,BH265:CA265,0,1)</f>
        <v>15</v>
      </c>
      <c r="CF265" s="23" t="str" cm="1">
        <f t="array" aca="1" ref="CF265" ca="1">INDEX(AD265:AW265,1,CE265)</f>
        <v>U11</v>
      </c>
      <c r="CI265" s="23" t="b">
        <f ca="1"/>
        <v>0</v>
      </c>
      <c r="CJ265" s="23" t="b">
        <f ca="1"/>
        <v>0</v>
      </c>
      <c r="CK265" s="23" t="b">
        <f ca="1"/>
        <v>0</v>
      </c>
      <c r="CL265" s="23" t="b">
        <f ca="1"/>
        <v>0</v>
      </c>
      <c r="CM265" s="23" t="b">
        <f ca="1"/>
        <v>0</v>
      </c>
      <c r="CN265" s="23" t="b">
        <f ca="1"/>
        <v>0</v>
      </c>
      <c r="CO265" s="23" t="b">
        <f ca="1"/>
        <v>0</v>
      </c>
      <c r="CP265" s="23" t="b">
        <f ca="1"/>
        <v>0</v>
      </c>
      <c r="CQ265" s="23" t="b">
        <f ca="1"/>
        <v>0</v>
      </c>
      <c r="CR265" s="23" t="b">
        <f ca="1"/>
        <v>0</v>
      </c>
      <c r="CS265" s="23" t="b">
        <f ca="1"/>
        <v>0</v>
      </c>
      <c r="CT265" s="23" t="b">
        <f ca="1"/>
        <v>0</v>
      </c>
      <c r="CU265" s="23" t="b">
        <f ca="1"/>
        <v>0</v>
      </c>
      <c r="CV265" s="23" t="b">
        <f ca="1"/>
        <v>0</v>
      </c>
      <c r="CW265" s="23" t="b">
        <f ca="1"/>
        <v>0</v>
      </c>
      <c r="CX265" s="23" t="b">
        <f ca="1"/>
        <v>0</v>
      </c>
      <c r="CY265" s="23" t="b">
        <f ca="1"/>
        <v>0</v>
      </c>
      <c r="CZ265" s="23" t="b">
        <f ca="1"/>
        <v>0</v>
      </c>
      <c r="DA265" s="23" t="b">
        <f ca="1"/>
        <v>0</v>
      </c>
      <c r="DB265" s="23" t="b">
        <f ca="1"/>
        <v>0</v>
      </c>
    </row>
    <row r="266" spans="2:106" ht="22.5" customHeight="1">
      <c r="B266" s="32">
        <f t="shared" ref="B266:B283" si="18">B265+1</f>
        <v>103</v>
      </c>
      <c r="C266" s="32">
        <v>6</v>
      </c>
      <c r="D266" s="30">
        <v>10</v>
      </c>
      <c r="E266" s="34" t="str">
        <f ca="1"/>
        <v>F6</v>
      </c>
      <c r="F266" s="103"/>
      <c r="G266" s="33">
        <v>13</v>
      </c>
      <c r="H266" s="33" t="s">
        <v>239</v>
      </c>
      <c r="I266" s="33" t="s">
        <v>85</v>
      </c>
      <c r="J266" s="33" t="s">
        <v>184</v>
      </c>
      <c r="K266" s="33" t="s">
        <v>179</v>
      </c>
      <c r="L266" s="33" t="s">
        <v>52</v>
      </c>
      <c r="M266" s="33" t="s">
        <v>59</v>
      </c>
      <c r="N266" s="33" t="s">
        <v>60</v>
      </c>
      <c r="O266" s="33" t="s">
        <v>192</v>
      </c>
      <c r="P266" s="33" t="s">
        <v>81</v>
      </c>
      <c r="Q266" s="33" t="s">
        <v>62</v>
      </c>
      <c r="R266" s="33" t="s">
        <v>80</v>
      </c>
      <c r="S266" s="33" t="s">
        <v>64</v>
      </c>
      <c r="T266" s="33" t="s">
        <v>144</v>
      </c>
      <c r="U266" s="33" t="s">
        <v>66</v>
      </c>
      <c r="V266" s="33" t="s">
        <v>112</v>
      </c>
      <c r="W266" s="33" t="s">
        <v>181</v>
      </c>
      <c r="X266" s="33" t="s">
        <v>191</v>
      </c>
      <c r="Y266" s="33" t="s">
        <v>87</v>
      </c>
      <c r="Z266" s="33" t="s">
        <v>63</v>
      </c>
      <c r="AA266" s="33" t="s">
        <v>186</v>
      </c>
      <c r="AB266" s="33" t="s">
        <v>190</v>
      </c>
      <c r="AC266" s="115"/>
      <c r="AD266" s="31" t="str" cm="1">
        <f t="array" aca="1" ref="AD266" ca="1">_xlfn.LET(
_xlpm.x, IF(I$259&gt;$G266,"x",IFERROR(SUBSTITUTE(CELL("adres",OFFSET(INDIRECT(I266),,IF(LEFT(I266)="V",-1,1)*($G266-I$259),1,1)),"$",""),"x")),
_xlpm.y, IFERROR(IF(OR(COLUMN(INDIRECT(_xlpm.x))&gt;21, COLUMN(INDIRECT(_xlpm.x)) &lt;2), "x",_xlpm.x),"x"),
_xlpm.y)</f>
        <v>I25</v>
      </c>
      <c r="AE266" s="31" t="str" cm="1">
        <f t="array" aca="1" ref="AE266" ca="1">_xlfn.LET(
_xlpm.x, IF(J$259&gt;$G266,"x",IFERROR(SUBSTITUTE(CELL("adres",OFFSET(INDIRECT(J266),,IF(LEFT(J266)="V",-1,1)*($G266-J$259),1,1)),"$",""),"x")),
_xlpm.y, IFERROR(IF(OR(COLUMN(INDIRECT(_xlpm.x))&gt;21, COLUMN(INDIRECT(_xlpm.x)) &lt;2), "x",_xlpm.x),"x"),
_xlpm.y)</f>
        <v>J19</v>
      </c>
      <c r="AF266" s="31" t="str" cm="1">
        <f t="array" aca="1" ref="AF266" ca="1">_xlfn.LET(
_xlpm.x, IF(K$259&gt;$G266,"x",IFERROR(SUBSTITUTE(CELL("adres",OFFSET(INDIRECT(K266),,IF(LEFT(K266)="V",-1,1)*($G266-K$259),1,1)),"$",""),"x")),
_xlpm.y, IFERROR(IF(OR(COLUMN(INDIRECT(_xlpm.x))&gt;21, COLUMN(INDIRECT(_xlpm.x)) &lt;2), "x",_xlpm.x),"x"),
_xlpm.y)</f>
        <v>K23</v>
      </c>
      <c r="AG266" s="31" t="str" cm="1">
        <f t="array" aca="1" ref="AG266" ca="1">_xlfn.LET(
_xlpm.x, IF(L$259&gt;$G266,"x",IFERROR(SUBSTITUTE(CELL("adres",OFFSET(INDIRECT(L266),,IF(LEFT(L266)="V",-1,1)*($G266-L$259),1,1)),"$",""),"x")),
_xlpm.y, IFERROR(IF(OR(COLUMN(INDIRECT(_xlpm.x))&gt;21, COLUMN(INDIRECT(_xlpm.x)) &lt;2), "x",_xlpm.x),"x"),
_xlpm.y)</f>
        <v>K25</v>
      </c>
      <c r="AH266" s="31" t="str" cm="1">
        <f t="array" aca="1" ref="AH266" ca="1">_xlfn.LET(
_xlpm.x, IF(M$259&gt;$G266,"x",IFERROR(SUBSTITUTE(CELL("adres",OFFSET(INDIRECT(M266),,IF(LEFT(M266)="V",-1,1)*($G266-M$259),1,1)),"$",""),"x")),
_xlpm.y, IFERROR(IF(OR(COLUMN(INDIRECT(_xlpm.x))&gt;21, COLUMN(INDIRECT(_xlpm.x)) &lt;2), "x",_xlpm.x),"x"),
_xlpm.y)</f>
        <v>J7</v>
      </c>
      <c r="AI266" s="31" t="str" cm="1">
        <f t="array" aca="1" ref="AI266" ca="1">_xlfn.LET(
_xlpm.x, IF(N$259&gt;$G266,"x",IFERROR(SUBSTITUTE(CELL("adres",OFFSET(INDIRECT(N266),,IF(LEFT(N266)="V",-1,1)*($G266-N$259),1,1)),"$",""),"x")),
_xlpm.y, IFERROR(IF(OR(COLUMN(INDIRECT(_xlpm.x))&gt;21, COLUMN(INDIRECT(_xlpm.x)) &lt;2), "x",_xlpm.x),"x"),
_xlpm.y)</f>
        <v>I21</v>
      </c>
      <c r="AJ266" s="31" t="str" cm="1">
        <f t="array" aca="1" ref="AJ266" ca="1">_xlfn.LET(
_xlpm.x, IF(O$259&gt;$G266,"x",IFERROR(SUBSTITUTE(CELL("adres",OFFSET(INDIRECT(O266),,IF(LEFT(O266)="V",-1,1)*($G266-O$259),1,1)),"$",""),"x")),
_xlpm.y, IFERROR(IF(OR(COLUMN(INDIRECT(_xlpm.x))&gt;21, COLUMN(INDIRECT(_xlpm.x)) &lt;2), "x",_xlpm.x),"x"),
_xlpm.y)</f>
        <v>H23</v>
      </c>
      <c r="AK266" s="31" t="str" cm="1">
        <f t="array" aca="1" ref="AK266" ca="1">_xlfn.LET(
_xlpm.x, IF(P$259&gt;$G266,"x",IFERROR(SUBSTITUTE(CELL("adres",OFFSET(INDIRECT(P266),,IF(LEFT(P266)="V",-1,1)*($G266-P$259),1,1)),"$",""),"x")),
_xlpm.y, IFERROR(IF(OR(COLUMN(INDIRECT(_xlpm.x))&gt;21, COLUMN(INDIRECT(_xlpm.x)) &lt;2), "x",_xlpm.x),"x"),
_xlpm.y)</f>
        <v>P12</v>
      </c>
      <c r="AL266" s="31" t="str" cm="1">
        <f t="array" aca="1" ref="AL266" ca="1">_xlfn.LET(
_xlpm.x, IF(Q$259&gt;$G266,"x",IFERROR(SUBSTITUTE(CELL("adres",OFFSET(INDIRECT(Q266),,IF(LEFT(Q266)="V",-1,1)*($G266-Q$259),1,1)),"$",""),"x")),
_xlpm.y, IFERROR(IF(OR(COLUMN(INDIRECT(_xlpm.x))&gt;21, COLUMN(INDIRECT(_xlpm.x)) &lt;2), "x",_xlpm.x),"x"),
_xlpm.y)</f>
        <v>F6</v>
      </c>
      <c r="AM266" s="31" t="str" cm="1">
        <f t="array" aca="1" ref="AM266" ca="1">_xlfn.LET(
_xlpm.x, IF(R$259&gt;$G266,"x",IFERROR(SUBSTITUTE(CELL("adres",OFFSET(INDIRECT(R266),,IF(LEFT(R266)="V",-1,1)*($G266-R$259),1,1)),"$",""),"x")),
_xlpm.y, IFERROR(IF(OR(COLUMN(INDIRECT(_xlpm.x))&gt;21, COLUMN(INDIRECT(_xlpm.x)) &lt;2), "x",_xlpm.x),"x"),
_xlpm.y)</f>
        <v>R6</v>
      </c>
      <c r="AN266" s="31" t="str" cm="1">
        <f t="array" aca="1" ref="AN266" ca="1">_xlfn.LET(
_xlpm.x, IF(S$259&gt;$G266,"x",IFERROR(SUBSTITUTE(CELL("adres",OFFSET(INDIRECT(S266),,IF(LEFT(S266)="V",-1,1)*($G266-S$259),1,1)),"$",""),"x")),
_xlpm.y, IFERROR(IF(OR(COLUMN(INDIRECT(_xlpm.x))&gt;21, COLUMN(INDIRECT(_xlpm.x)) &lt;2), "x",_xlpm.x),"x"),
_xlpm.y)</f>
        <v>D9</v>
      </c>
      <c r="AO266" s="31" t="str" cm="1">
        <f t="array" aca="1" ref="AO266" ca="1">_xlfn.LET(
_xlpm.x, IF(T$259&gt;$G266,"x",IFERROR(SUBSTITUTE(CELL("adres",OFFSET(INDIRECT(T266),,IF(LEFT(T266)="V",-1,1)*($G266-T$259),1,1)),"$",""),"x")),
_xlpm.y, IFERROR(IF(OR(COLUMN(INDIRECT(_xlpm.x))&gt;21, COLUMN(INDIRECT(_xlpm.x)) &lt;2), "x",_xlpm.x),"x"),
_xlpm.y)</f>
        <v>T11</v>
      </c>
      <c r="AP266" s="31" t="str" cm="1">
        <f t="array" aca="1" ref="AP266" ca="1">_xlfn.LET(
_xlpm.x, IF(U$259&gt;$G266,"x",IFERROR(SUBSTITUTE(CELL("adres",OFFSET(INDIRECT(U266),,IF(LEFT(U266)="V",-1,1)*($G266-U$259),1,1)),"$",""),"x")),
_xlpm.y, IFERROR(IF(OR(COLUMN(INDIRECT(_xlpm.x))&gt;21, COLUMN(INDIRECT(_xlpm.x)) &lt;2), "x",_xlpm.x),"x"),
_xlpm.y)</f>
        <v>B20</v>
      </c>
      <c r="AQ266" s="31" t="str" cm="1">
        <f t="array" aca="1" ref="AQ266" ca="1">_xlfn.LET(
_xlpm.x, IF(V$259&gt;$G266,"x",IFERROR(SUBSTITUTE(CELL("adres",OFFSET(INDIRECT(V266),,IF(LEFT(V266)="V",-1,1)*($G266-V$259),1,1)),"$",""),"x")),
_xlpm.y, IFERROR(IF(OR(COLUMN(INDIRECT(_xlpm.x))&gt;21, COLUMN(INDIRECT(_xlpm.x)) &lt;2), "x",_xlpm.x),"x"),
_xlpm.y)</f>
        <v>x</v>
      </c>
      <c r="AR266" s="31" t="str" cm="1">
        <f t="array" aca="1" ref="AR266" ca="1">_xlfn.LET(
_xlpm.x, IF(W$259&gt;$G266,"x",IFERROR(SUBSTITUTE(CELL("adres",OFFSET(INDIRECT(W266),,IF(LEFT(W266)="V",-1,1)*($G266-W$259),1,1)),"$",""),"x")),
_xlpm.y, IFERROR(IF(OR(COLUMN(INDIRECT(_xlpm.x))&gt;21, COLUMN(INDIRECT(_xlpm.x)) &lt;2), "x",_xlpm.x),"x"),
_xlpm.y)</f>
        <v>x</v>
      </c>
      <c r="AS266" s="31" t="str" cm="1">
        <f t="array" aca="1" ref="AS266" ca="1">_xlfn.LET(
_xlpm.x, IF(X$259&gt;$G266,"x",IFERROR(SUBSTITUTE(CELL("adres",OFFSET(INDIRECT(X266),,IF(LEFT(X266)="V",-1,1)*($G266-X$259),1,1)),"$",""),"x")),
_xlpm.y, IFERROR(IF(OR(COLUMN(INDIRECT(_xlpm.x))&gt;21, COLUMN(INDIRECT(_xlpm.x)) &lt;2), "x",_xlpm.x),"x"),
_xlpm.y)</f>
        <v>x</v>
      </c>
      <c r="AT266" s="31" t="str" cm="1">
        <f t="array" aca="1" ref="AT266" ca="1">_xlfn.LET(
_xlpm.x, IF(Y$259&gt;$G266,"x",IFERROR(SUBSTITUTE(CELL("adres",OFFSET(INDIRECT(Y266),,IF(LEFT(Y266)="V",-1,1)*($G266-Y$259),1,1)),"$",""),"x")),
_xlpm.y, IFERROR(IF(OR(COLUMN(INDIRECT(_xlpm.x))&gt;21, COLUMN(INDIRECT(_xlpm.x)) &lt;2), "x",_xlpm.x),"x"),
_xlpm.y)</f>
        <v>x</v>
      </c>
      <c r="AU266" s="31" t="str" cm="1">
        <f t="array" aca="1" ref="AU266" ca="1">_xlfn.LET(
_xlpm.x, IF(Z$259&gt;$G266,"x",IFERROR(SUBSTITUTE(CELL("adres",OFFSET(INDIRECT(Z266),,IF(LEFT(Z266)="V",-1,1)*($G266-Z$259),1,1)),"$",""),"x")),
_xlpm.y, IFERROR(IF(OR(COLUMN(INDIRECT(_xlpm.x))&gt;21, COLUMN(INDIRECT(_xlpm.x)) &lt;2), "x",_xlpm.x),"x"),
_xlpm.y)</f>
        <v>x</v>
      </c>
      <c r="AV266" s="31" t="str" cm="1">
        <f t="array" aca="1" ref="AV266" ca="1">_xlfn.LET(
_xlpm.x, IF(AA$259&gt;$G266,"x",IFERROR(SUBSTITUTE(CELL("adres",OFFSET(INDIRECT(AA266),,IF(LEFT(AA266)="V",-1,1)*($G266-AA$259),1,1)),"$",""),"x")),
_xlpm.y, IFERROR(IF(OR(COLUMN(INDIRECT(_xlpm.x))&gt;21, COLUMN(INDIRECT(_xlpm.x)) &lt;2), "x",_xlpm.x),"x"),
_xlpm.y)</f>
        <v>x</v>
      </c>
      <c r="AW266" s="31" t="str" cm="1">
        <f t="array" aca="1" ref="AW266" ca="1">_xlfn.LET(
_xlpm.x, IF(AB$259&gt;$G266,"x",IFERROR(SUBSTITUTE(CELL("adres",OFFSET(INDIRECT(AB266),,IF(LEFT(AB266)="V",-1,1)*($G266-AB$259),1,1)),"$",""),"x")),
_xlpm.y, IFERROR(IF(OR(COLUMN(INDIRECT(_xlpm.x))&gt;21, COLUMN(INDIRECT(_xlpm.x)) &lt;2), "x",_xlpm.x),"x"),
_xlpm.y)</f>
        <v>x</v>
      </c>
      <c r="AX266" s="23" cm="1">
        <f t="array" aca="1" ref="AX266" ca="1">ROW(INDIRECT(AD266))</f>
        <v>25</v>
      </c>
      <c r="AY266" s="23" cm="1">
        <f t="array" aca="1" ref="AY266" ca="1">ROW(INDIRECT(H266))</f>
        <v>3</v>
      </c>
      <c r="AZ266" s="23">
        <f t="shared" ca="1" si="12"/>
        <v>22</v>
      </c>
      <c r="BA266" s="23" cm="1">
        <f t="array" aca="1" ref="BA266" ca="1">COLUMN(INDIRECT(AD266))</f>
        <v>9</v>
      </c>
      <c r="BB266" s="23" cm="1">
        <f t="array" aca="1" ref="BB266" ca="1">COLUMN(INDIRECT(H266))</f>
        <v>8</v>
      </c>
      <c r="BC266" s="23">
        <f t="shared" ca="1" si="13"/>
        <v>1</v>
      </c>
      <c r="BE266" s="23">
        <f t="shared" ca="1" si="14"/>
        <v>22</v>
      </c>
      <c r="BH266" s="23">
        <v>22</v>
      </c>
      <c r="BI266" s="23">
        <v>16</v>
      </c>
      <c r="BJ266" s="23">
        <v>20</v>
      </c>
      <c r="BK266" s="23">
        <v>22</v>
      </c>
      <c r="BL266" s="23">
        <v>4</v>
      </c>
      <c r="BM266" s="23">
        <v>18</v>
      </c>
      <c r="BN266" s="23">
        <v>20</v>
      </c>
      <c r="BO266" s="23">
        <v>9</v>
      </c>
      <c r="BP266" s="23">
        <v>3</v>
      </c>
      <c r="BQ266" s="23">
        <v>10</v>
      </c>
      <c r="BR266" s="23">
        <v>6</v>
      </c>
      <c r="BS266" s="23">
        <v>12</v>
      </c>
      <c r="BT266" s="23">
        <v>17</v>
      </c>
      <c r="BU266" s="23">
        <v>1000</v>
      </c>
      <c r="BV266" s="23">
        <v>1000</v>
      </c>
      <c r="BW266" s="23">
        <v>1000</v>
      </c>
      <c r="BX266" s="23">
        <v>1000</v>
      </c>
      <c r="BY266" s="23">
        <v>1000</v>
      </c>
      <c r="BZ266" s="23">
        <v>1000</v>
      </c>
      <c r="CA266" s="23">
        <v>1000</v>
      </c>
      <c r="CC266" s="23">
        <f t="shared" si="15"/>
        <v>3</v>
      </c>
      <c r="CD266" s="23">
        <f t="shared" si="16"/>
        <v>1</v>
      </c>
      <c r="CE266" s="23">
        <f t="shared" si="17"/>
        <v>9</v>
      </c>
      <c r="CF266" s="23" t="str" cm="1">
        <f t="array" aca="1" ref="CF266" ca="1">INDEX(AD266:AW266,1,CE266)</f>
        <v>F6</v>
      </c>
      <c r="CI266" s="23" t="b">
        <f ca="1"/>
        <v>0</v>
      </c>
      <c r="CJ266" s="23" t="b">
        <f ca="1"/>
        <v>0</v>
      </c>
      <c r="CK266" s="23" t="b">
        <f ca="1"/>
        <v>0</v>
      </c>
      <c r="CL266" s="23" t="b">
        <f ca="1"/>
        <v>0</v>
      </c>
      <c r="CM266" s="23" t="b">
        <f ca="1"/>
        <v>0</v>
      </c>
      <c r="CN266" s="23" t="b">
        <f ca="1"/>
        <v>0</v>
      </c>
      <c r="CO266" s="23" t="b">
        <f ca="1"/>
        <v>0</v>
      </c>
      <c r="CP266" s="23" t="b">
        <f ca="1"/>
        <v>0</v>
      </c>
      <c r="CQ266" s="23" t="b">
        <f ca="1"/>
        <v>0</v>
      </c>
      <c r="CR266" s="23" t="b">
        <f ca="1"/>
        <v>0</v>
      </c>
      <c r="CS266" s="23" t="b">
        <f ca="1"/>
        <v>0</v>
      </c>
      <c r="CT266" s="23" t="b">
        <f ca="1"/>
        <v>0</v>
      </c>
      <c r="CU266" s="23" t="b">
        <f ca="1"/>
        <v>0</v>
      </c>
      <c r="CV266" s="23" t="b">
        <f ca="1"/>
        <v>0</v>
      </c>
      <c r="CW266" s="23" t="b">
        <f ca="1"/>
        <v>0</v>
      </c>
      <c r="CX266" s="23" t="b">
        <f ca="1"/>
        <v>0</v>
      </c>
      <c r="CY266" s="23" t="b">
        <f ca="1"/>
        <v>0</v>
      </c>
      <c r="CZ266" s="23" t="b">
        <f ca="1"/>
        <v>0</v>
      </c>
      <c r="DA266" s="23" t="b">
        <f ca="1"/>
        <v>0</v>
      </c>
      <c r="DB266" s="23" t="b">
        <f ca="1"/>
        <v>0</v>
      </c>
    </row>
    <row r="267" spans="2:106" ht="22.5" customHeight="1">
      <c r="B267" s="32">
        <f t="shared" si="18"/>
        <v>104</v>
      </c>
      <c r="C267" s="32">
        <v>6</v>
      </c>
      <c r="D267" s="30">
        <v>10</v>
      </c>
      <c r="E267" s="34" t="str">
        <f ca="1"/>
        <v>N13</v>
      </c>
      <c r="F267" s="103"/>
      <c r="G267" s="33">
        <v>18</v>
      </c>
      <c r="H267" s="33" t="s">
        <v>240</v>
      </c>
      <c r="I267" s="33" t="s">
        <v>83</v>
      </c>
      <c r="J267" s="33" t="s">
        <v>184</v>
      </c>
      <c r="K267" s="33" t="s">
        <v>52</v>
      </c>
      <c r="L267" s="33" t="s">
        <v>192</v>
      </c>
      <c r="M267" s="33" t="s">
        <v>54</v>
      </c>
      <c r="N267" s="33" t="s">
        <v>50</v>
      </c>
      <c r="O267" s="33" t="s">
        <v>179</v>
      </c>
      <c r="P267" s="33" t="s">
        <v>53</v>
      </c>
      <c r="Q267" s="33" t="s">
        <v>186</v>
      </c>
      <c r="R267" s="33" t="s">
        <v>63</v>
      </c>
      <c r="S267" s="33" t="s">
        <v>109</v>
      </c>
      <c r="T267" s="33" t="s">
        <v>50</v>
      </c>
      <c r="U267" s="33" t="s">
        <v>93</v>
      </c>
      <c r="V267" s="33" t="s">
        <v>111</v>
      </c>
      <c r="W267" s="33" t="s">
        <v>186</v>
      </c>
      <c r="X267" s="33" t="s">
        <v>81</v>
      </c>
      <c r="Y267" s="33" t="s">
        <v>89</v>
      </c>
      <c r="Z267" s="33" t="s">
        <v>112</v>
      </c>
      <c r="AA267" s="33" t="s">
        <v>66</v>
      </c>
      <c r="AB267" s="33" t="s">
        <v>85</v>
      </c>
      <c r="AC267" s="115"/>
      <c r="AD267" s="31" t="str" cm="1">
        <f t="array" aca="1" ref="AD267" ca="1">_xlfn.LET(
_xlpm.x, IF(I$259&gt;$G267,"x",IFERROR(SUBSTITUTE(CELL("adres",OFFSET(INDIRECT(I267),,IF(LEFT(I267)="V",-1,1)*($G267-I$259),1,1)),"$",""),"x")),
_xlpm.y, IFERROR(IF(OR(COLUMN(INDIRECT(_xlpm.x))&gt;21, COLUMN(INDIRECT(_xlpm.x)) &lt;2), "x",_xlpm.x),"x"),
_xlpm.y)</f>
        <v>D21</v>
      </c>
      <c r="AE267" s="31" t="str" cm="1">
        <f t="array" aca="1" ref="AE267" ca="1">_xlfn.LET(
_xlpm.x, IF(J$259&gt;$G267,"x",IFERROR(SUBSTITUTE(CELL("adres",OFFSET(INDIRECT(J267),,IF(LEFT(J267)="V",-1,1)*($G267-J$259),1,1)),"$",""),"x")),
_xlpm.y, IFERROR(IF(OR(COLUMN(INDIRECT(_xlpm.x))&gt;21, COLUMN(INDIRECT(_xlpm.x)) &lt;2), "x",_xlpm.x),"x"),
_xlpm.y)</f>
        <v>E19</v>
      </c>
      <c r="AF267" s="31" t="str" cm="1">
        <f t="array" aca="1" ref="AF267" ca="1">_xlfn.LET(
_xlpm.x, IF(K$259&gt;$G267,"x",IFERROR(SUBSTITUTE(CELL("adres",OFFSET(INDIRECT(K267),,IF(LEFT(K267)="V",-1,1)*($G267-K$259),1,1)),"$",""),"x")),
_xlpm.y, IFERROR(IF(OR(COLUMN(INDIRECT(_xlpm.x))&gt;21, COLUMN(INDIRECT(_xlpm.x)) &lt;2), "x",_xlpm.x),"x"),
_xlpm.y)</f>
        <v>Q25</v>
      </c>
      <c r="AG267" s="31" t="str" cm="1">
        <f t="array" aca="1" ref="AG267" ca="1">_xlfn.LET(
_xlpm.x, IF(L$259&gt;$G267,"x",IFERROR(SUBSTITUTE(CELL("adres",OFFSET(INDIRECT(L267),,IF(LEFT(L267)="V",-1,1)*($G267-L$259),1,1)),"$",""),"x")),
_xlpm.y, IFERROR(IF(OR(COLUMN(INDIRECT(_xlpm.x))&gt;21, COLUMN(INDIRECT(_xlpm.x)) &lt;2), "x",_xlpm.x),"x"),
_xlpm.y)</f>
        <v>P23</v>
      </c>
      <c r="AH267" s="31" t="str" cm="1">
        <f t="array" aca="1" ref="AH267" ca="1">_xlfn.LET(
_xlpm.x, IF(M$259&gt;$G267,"x",IFERROR(SUBSTITUTE(CELL("adres",OFFSET(INDIRECT(M267),,IF(LEFT(M267)="V",-1,1)*($G267-M$259),1,1)),"$",""),"x")),
_xlpm.y, IFERROR(IF(OR(COLUMN(INDIRECT(_xlpm.x))&gt;21, COLUMN(INDIRECT(_xlpm.x)) &lt;2), "x",_xlpm.x),"x"),
_xlpm.y)</f>
        <v>O19</v>
      </c>
      <c r="AI267" s="31" t="str" cm="1">
        <f t="array" aca="1" ref="AI267" ca="1">_xlfn.LET(
_xlpm.x, IF(N$259&gt;$G267,"x",IFERROR(SUBSTITUTE(CELL("adres",OFFSET(INDIRECT(N267),,IF(LEFT(N267)="V",-1,1)*($G267-N$259),1,1)),"$",""),"x")),
_xlpm.y, IFERROR(IF(OR(COLUMN(INDIRECT(_xlpm.x))&gt;21, COLUMN(INDIRECT(_xlpm.x)) &lt;2), "x",_xlpm.x),"x"),
_xlpm.y)</f>
        <v>N13</v>
      </c>
      <c r="AJ267" s="31" t="str" cm="1">
        <f t="array" aca="1" ref="AJ267" ca="1">_xlfn.LET(
_xlpm.x, IF(O$259&gt;$G267,"x",IFERROR(SUBSTITUTE(CELL("adres",OFFSET(INDIRECT(O267),,IF(LEFT(O267)="V",-1,1)*($G267-O$259),1,1)),"$",""),"x")),
_xlpm.y, IFERROR(IF(OR(COLUMN(INDIRECT(_xlpm.x))&gt;21, COLUMN(INDIRECT(_xlpm.x)) &lt;2), "x",_xlpm.x),"x"),
_xlpm.y)</f>
        <v>J23</v>
      </c>
      <c r="AK267" s="31" t="str" cm="1">
        <f t="array" aca="1" ref="AK267" ca="1">_xlfn.LET(
_xlpm.x, IF(P$259&gt;$G267,"x",IFERROR(SUBSTITUTE(CELL("adres",OFFSET(INDIRECT(P267),,IF(LEFT(P267)="V",-1,1)*($G267-P$259),1,1)),"$",""),"x")),
_xlpm.y, IFERROR(IF(OR(COLUMN(INDIRECT(_xlpm.x))&gt;21, COLUMN(INDIRECT(_xlpm.x)) &lt;2), "x",_xlpm.x),"x"),
_xlpm.y)</f>
        <v>L4</v>
      </c>
      <c r="AL267" s="31" t="str" cm="1">
        <f t="array" aca="1" ref="AL267" ca="1">_xlfn.LET(
_xlpm.x, IF(Q$259&gt;$G267,"x",IFERROR(SUBSTITUTE(CELL("adres",OFFSET(INDIRECT(Q267),,IF(LEFT(Q267)="V",-1,1)*($G267-Q$259),1,1)),"$",""),"x")),
_xlpm.y, IFERROR(IF(OR(COLUMN(INDIRECT(_xlpm.x))&gt;21, COLUMN(INDIRECT(_xlpm.x)) &lt;2), "x",_xlpm.x),"x"),
_xlpm.y)</f>
        <v>L15</v>
      </c>
      <c r="AM267" s="31" t="str" cm="1">
        <f t="array" aca="1" ref="AM267" ca="1">_xlfn.LET(
_xlpm.x, IF(R$259&gt;$G267,"x",IFERROR(SUBSTITUTE(CELL("adres",OFFSET(INDIRECT(R267),,IF(LEFT(R267)="V",-1,1)*($G267-R$259),1,1)),"$",""),"x")),
_xlpm.y, IFERROR(IF(OR(COLUMN(INDIRECT(_xlpm.x))&gt;21, COLUMN(INDIRECT(_xlpm.x)) &lt;2), "x",_xlpm.x),"x"),
_xlpm.y)</f>
        <v>J22</v>
      </c>
      <c r="AN267" s="31" t="str" cm="1">
        <f t="array" aca="1" ref="AN267" ca="1">_xlfn.LET(
_xlpm.x, IF(S$259&gt;$G267,"x",IFERROR(SUBSTITUTE(CELL("adres",OFFSET(INDIRECT(S267),,IF(LEFT(S267)="V",-1,1)*($G267-S$259),1,1)),"$",""),"x")),
_xlpm.y, IFERROR(IF(OR(COLUMN(INDIRECT(_xlpm.x))&gt;21, COLUMN(INDIRECT(_xlpm.x)) &lt;2), "x",_xlpm.x),"x"),
_xlpm.y)</f>
        <v>I5</v>
      </c>
      <c r="AO267" s="31" t="str" cm="1">
        <f t="array" aca="1" ref="AO267" ca="1">_xlfn.LET(
_xlpm.x, IF(T$259&gt;$G267,"x",IFERROR(SUBSTITUTE(CELL("adres",OFFSET(INDIRECT(T267),,IF(LEFT(T267)="V",-1,1)*($G267-T$259),1,1)),"$",""),"x")),
_xlpm.y, IFERROR(IF(OR(COLUMN(INDIRECT(_xlpm.x))&gt;21, COLUMN(INDIRECT(_xlpm.x)) &lt;2), "x",_xlpm.x),"x"),
_xlpm.y)</f>
        <v>H13</v>
      </c>
      <c r="AP267" s="31" t="str" cm="1">
        <f t="array" aca="1" ref="AP267" ca="1">_xlfn.LET(
_xlpm.x, IF(U$259&gt;$G267,"x",IFERROR(SUBSTITUTE(CELL("adres",OFFSET(INDIRECT(U267),,IF(LEFT(U267)="V",-1,1)*($G267-U$259),1,1)),"$",""),"x")),
_xlpm.y, IFERROR(IF(OR(COLUMN(INDIRECT(_xlpm.x))&gt;21, COLUMN(INDIRECT(_xlpm.x)) &lt;2), "x",_xlpm.x),"x"),
_xlpm.y)</f>
        <v>P10</v>
      </c>
      <c r="AQ267" s="31" t="str" cm="1">
        <f t="array" aca="1" ref="AQ267" ca="1">_xlfn.LET(
_xlpm.x, IF(V$259&gt;$G267,"x",IFERROR(SUBSTITUTE(CELL("adres",OFFSET(INDIRECT(V267),,IF(LEFT(V267)="V",-1,1)*($G267-V$259),1,1)),"$",""),"x")),
_xlpm.y, IFERROR(IF(OR(COLUMN(INDIRECT(_xlpm.x))&gt;21, COLUMN(INDIRECT(_xlpm.x)) &lt;2), "x",_xlpm.x),"x"),
_xlpm.y)</f>
        <v>Q18</v>
      </c>
      <c r="AR267" s="31" t="str" cm="1">
        <f t="array" aca="1" ref="AR267" ca="1">_xlfn.LET(
_xlpm.x, IF(W$259&gt;$G267,"x",IFERROR(SUBSTITUTE(CELL("adres",OFFSET(INDIRECT(W267),,IF(LEFT(W267)="V",-1,1)*($G267-W$259),1,1)),"$",""),"x")),
_xlpm.y, IFERROR(IF(OR(COLUMN(INDIRECT(_xlpm.x))&gt;21, COLUMN(INDIRECT(_xlpm.x)) &lt;2), "x",_xlpm.x),"x"),
_xlpm.y)</f>
        <v>R15</v>
      </c>
      <c r="AS267" s="31" t="str" cm="1">
        <f t="array" aca="1" ref="AS267" ca="1">_xlfn.LET(
_xlpm.x, IF(X$259&gt;$G267,"x",IFERROR(SUBSTITUTE(CELL("adres",OFFSET(INDIRECT(X267),,IF(LEFT(X267)="V",-1,1)*($G267-X$259),1,1)),"$",""),"x")),
_xlpm.y, IFERROR(IF(OR(COLUMN(INDIRECT(_xlpm.x))&gt;21, COLUMN(INDIRECT(_xlpm.x)) &lt;2), "x",_xlpm.x),"x"),
_xlpm.y)</f>
        <v>S12</v>
      </c>
      <c r="AT267" s="31" t="str" cm="1">
        <f t="array" aca="1" ref="AT267" ca="1">_xlfn.LET(
_xlpm.x, IF(Y$259&gt;$G267,"x",IFERROR(SUBSTITUTE(CELL("adres",OFFSET(INDIRECT(Y267),,IF(LEFT(Y267)="V",-1,1)*($G267-Y$259),1,1)),"$",""),"x")),
_xlpm.y, IFERROR(IF(OR(COLUMN(INDIRECT(_xlpm.x))&gt;21, COLUMN(INDIRECT(_xlpm.x)) &lt;2), "x",_xlpm.x),"x"),
_xlpm.y)</f>
        <v>T22</v>
      </c>
      <c r="AU267" s="31" t="str" cm="1">
        <f t="array" aca="1" ref="AU267" ca="1">_xlfn.LET(
_xlpm.x, IF(Z$259&gt;$G267,"x",IFERROR(SUBSTITUTE(CELL("adres",OFFSET(INDIRECT(Z267),,IF(LEFT(Z267)="V",-1,1)*($G267-Z$259),1,1)),"$",""),"x")),
_xlpm.y, IFERROR(IF(OR(COLUMN(INDIRECT(_xlpm.x))&gt;21, COLUMN(INDIRECT(_xlpm.x)) &lt;2), "x",_xlpm.x),"x"),
_xlpm.y)</f>
        <v>U2</v>
      </c>
      <c r="AV267" s="31" t="str" cm="1">
        <f t="array" aca="1" ref="AV267" ca="1">_xlfn.LET(
_xlpm.x, IF(AA$259&gt;$G267,"x",IFERROR(SUBSTITUTE(CELL("adres",OFFSET(INDIRECT(AA267),,IF(LEFT(AA267)="V",-1,1)*($G267-AA$259),1,1)),"$",""),"x")),
_xlpm.y, IFERROR(IF(OR(COLUMN(INDIRECT(_xlpm.x))&gt;21, COLUMN(INDIRECT(_xlpm.x)) &lt;2), "x",_xlpm.x),"x"),
_xlpm.y)</f>
        <v>x</v>
      </c>
      <c r="AW267" s="31" t="str" cm="1">
        <f t="array" aca="1" ref="AW267" ca="1">_xlfn.LET(
_xlpm.x, IF(AB$259&gt;$G267,"x",IFERROR(SUBSTITUTE(CELL("adres",OFFSET(INDIRECT(AB267),,IF(LEFT(AB267)="V",-1,1)*($G267-AB$259),1,1)),"$",""),"x")),
_xlpm.y, IFERROR(IF(OR(COLUMN(INDIRECT(_xlpm.x))&gt;21, COLUMN(INDIRECT(_xlpm.x)) &lt;2), "x",_xlpm.x),"x"),
_xlpm.y)</f>
        <v>x</v>
      </c>
      <c r="AX267" s="23" cm="1">
        <f t="array" aca="1" ref="AX267" ca="1">ROW(INDIRECT(AD267))</f>
        <v>21</v>
      </c>
      <c r="AY267" s="23" cm="1">
        <f t="array" aca="1" ref="AY267" ca="1">ROW(INDIRECT(H267))</f>
        <v>12</v>
      </c>
      <c r="AZ267" s="23">
        <f t="shared" ca="1" si="12"/>
        <v>9</v>
      </c>
      <c r="BA267" s="23" cm="1">
        <f t="array" aca="1" ref="BA267" ca="1">COLUMN(INDIRECT(AD267))</f>
        <v>4</v>
      </c>
      <c r="BB267" s="23" cm="1">
        <f t="array" aca="1" ref="BB267" ca="1">COLUMN(INDIRECT(H267))</f>
        <v>12</v>
      </c>
      <c r="BC267" s="23">
        <f t="shared" ca="1" si="13"/>
        <v>8</v>
      </c>
      <c r="BE267" s="23">
        <f t="shared" ca="1" si="14"/>
        <v>9</v>
      </c>
      <c r="BH267" s="23">
        <v>9</v>
      </c>
      <c r="BI267" s="23">
        <v>7</v>
      </c>
      <c r="BJ267" s="23">
        <v>13</v>
      </c>
      <c r="BK267" s="23">
        <v>11</v>
      </c>
      <c r="BL267" s="23">
        <v>7</v>
      </c>
      <c r="BM267" s="23">
        <v>2</v>
      </c>
      <c r="BN267" s="23">
        <v>11</v>
      </c>
      <c r="BO267" s="23">
        <v>8</v>
      </c>
      <c r="BP267" s="23">
        <v>3</v>
      </c>
      <c r="BQ267" s="23">
        <v>10</v>
      </c>
      <c r="BR267" s="23">
        <v>7</v>
      </c>
      <c r="BS267" s="23">
        <v>4</v>
      </c>
      <c r="BT267" s="23">
        <v>4</v>
      </c>
      <c r="BU267" s="23">
        <v>6</v>
      </c>
      <c r="BV267" s="23">
        <v>6</v>
      </c>
      <c r="BW267" s="23">
        <v>7</v>
      </c>
      <c r="BX267" s="23">
        <v>10</v>
      </c>
      <c r="BY267" s="23">
        <v>10</v>
      </c>
      <c r="BZ267" s="23">
        <v>1000</v>
      </c>
      <c r="CA267" s="23">
        <v>1000</v>
      </c>
      <c r="CC267" s="23">
        <f t="shared" si="15"/>
        <v>2</v>
      </c>
      <c r="CD267" s="23">
        <f t="shared" si="16"/>
        <v>1</v>
      </c>
      <c r="CE267" s="23">
        <f t="shared" si="17"/>
        <v>6</v>
      </c>
      <c r="CF267" s="23" t="str" cm="1">
        <f t="array" aca="1" ref="CF267" ca="1">INDEX(AD267:AW267,1,CE267)</f>
        <v>N13</v>
      </c>
      <c r="CI267" s="23" t="b">
        <f ca="1"/>
        <v>0</v>
      </c>
      <c r="CJ267" s="23" t="b">
        <f ca="1"/>
        <v>0</v>
      </c>
      <c r="CK267" s="23" t="b">
        <f ca="1"/>
        <v>0</v>
      </c>
      <c r="CL267" s="23" t="b">
        <f ca="1"/>
        <v>0</v>
      </c>
      <c r="CM267" s="23" t="b">
        <f ca="1"/>
        <v>0</v>
      </c>
      <c r="CN267" s="23" t="b">
        <f ca="1"/>
        <v>0</v>
      </c>
      <c r="CO267" s="23" t="b">
        <f ca="1"/>
        <v>0</v>
      </c>
      <c r="CP267" s="23" t="b">
        <f ca="1"/>
        <v>0</v>
      </c>
      <c r="CQ267" s="23" t="b">
        <f ca="1"/>
        <v>0</v>
      </c>
      <c r="CR267" s="23" t="b">
        <f ca="1"/>
        <v>0</v>
      </c>
      <c r="CS267" s="23" t="b">
        <f ca="1"/>
        <v>0</v>
      </c>
      <c r="CT267" s="23" t="b">
        <f ca="1"/>
        <v>0</v>
      </c>
      <c r="CU267" s="23" t="b">
        <f ca="1"/>
        <v>0</v>
      </c>
      <c r="CV267" s="23" t="b">
        <f ca="1"/>
        <v>0</v>
      </c>
      <c r="CW267" s="23" t="b">
        <f ca="1"/>
        <v>0</v>
      </c>
      <c r="CX267" s="23" t="b">
        <f ca="1"/>
        <v>0</v>
      </c>
      <c r="CY267" s="23" t="b">
        <f ca="1"/>
        <v>0</v>
      </c>
      <c r="CZ267" s="23" t="b">
        <f ca="1"/>
        <v>0</v>
      </c>
      <c r="DA267" s="23" t="b">
        <f ca="1"/>
        <v>0</v>
      </c>
      <c r="DB267" s="23" t="b">
        <f ca="1"/>
        <v>0</v>
      </c>
    </row>
    <row r="268" spans="2:106" ht="22.5" customHeight="1">
      <c r="B268" s="32">
        <f t="shared" si="18"/>
        <v>105</v>
      </c>
      <c r="C268" s="32">
        <v>6</v>
      </c>
      <c r="D268" s="30">
        <v>10</v>
      </c>
      <c r="E268" s="34" t="str">
        <f ca="1"/>
        <v>R13</v>
      </c>
      <c r="F268" s="103"/>
      <c r="G268" s="33">
        <v>25</v>
      </c>
      <c r="H268" s="33" t="s">
        <v>238</v>
      </c>
      <c r="I268" s="33" t="s">
        <v>93</v>
      </c>
      <c r="J268" s="33" t="s">
        <v>186</v>
      </c>
      <c r="K268" s="33" t="s">
        <v>192</v>
      </c>
      <c r="L268" s="33" t="s">
        <v>53</v>
      </c>
      <c r="M268" s="33" t="s">
        <v>57</v>
      </c>
      <c r="N268" s="33" t="s">
        <v>54</v>
      </c>
      <c r="O268" s="33" t="s">
        <v>115</v>
      </c>
      <c r="P268" s="33" t="s">
        <v>155</v>
      </c>
      <c r="Q268" s="33" t="s">
        <v>50</v>
      </c>
      <c r="R268" s="33" t="s">
        <v>112</v>
      </c>
      <c r="S268" s="33" t="s">
        <v>66</v>
      </c>
      <c r="T268" s="33" t="s">
        <v>86</v>
      </c>
      <c r="U268" s="33" t="s">
        <v>56</v>
      </c>
      <c r="V268" s="33" t="s">
        <v>57</v>
      </c>
      <c r="W268" s="33" t="s">
        <v>86</v>
      </c>
      <c r="X268" s="33" t="s">
        <v>63</v>
      </c>
      <c r="Y268" s="33" t="s">
        <v>155</v>
      </c>
      <c r="Z268" s="33" t="s">
        <v>192</v>
      </c>
      <c r="AA268" s="33" t="s">
        <v>63</v>
      </c>
      <c r="AB268" s="33" t="s">
        <v>90</v>
      </c>
      <c r="AC268" s="115"/>
      <c r="AD268" s="31" t="str" cm="1">
        <f t="array" aca="1" ref="AD268" ca="1">_xlfn.LET(
_xlpm.x, IF(I$259&gt;$G268,"x",IFERROR(SUBSTITUTE(CELL("adres",OFFSET(INDIRECT(I268),,IF(LEFT(I268)="V",-1,1)*($G268-I$259),1,1)),"$",""),"x")),
_xlpm.y, IFERROR(IF(OR(COLUMN(INDIRECT(_xlpm.x))&gt;21, COLUMN(INDIRECT(_xlpm.x)) &lt;2), "x",_xlpm.x),"x"),
_xlpm.y)</f>
        <v>x</v>
      </c>
      <c r="AE268" s="31" t="str" cm="1">
        <f t="array" aca="1" ref="AE268" ca="1">_xlfn.LET(
_xlpm.x, IF(J$259&gt;$G268,"x",IFERROR(SUBSTITUTE(CELL("adres",OFFSET(INDIRECT(J268),,IF(LEFT(J268)="V",-1,1)*($G268-J$259),1,1)),"$",""),"x")),
_xlpm.y, IFERROR(IF(OR(COLUMN(INDIRECT(_xlpm.x))&gt;21, COLUMN(INDIRECT(_xlpm.x)) &lt;2), "x",_xlpm.x),"x"),
_xlpm.y)</f>
        <v>x</v>
      </c>
      <c r="AF268" s="31" t="str" cm="1">
        <f t="array" aca="1" ref="AF268" ca="1">_xlfn.LET(
_xlpm.x, IF(K$259&gt;$G268,"x",IFERROR(SUBSTITUTE(CELL("adres",OFFSET(INDIRECT(K268),,IF(LEFT(K268)="V",-1,1)*($G268-K$259),1,1)),"$",""),"x")),
_xlpm.y, IFERROR(IF(OR(COLUMN(INDIRECT(_xlpm.x))&gt;21, COLUMN(INDIRECT(_xlpm.x)) &lt;2), "x",_xlpm.x),"x"),
_xlpm.y)</f>
        <v>x</v>
      </c>
      <c r="AG268" s="31" t="str" cm="1">
        <f t="array" aca="1" ref="AG268" ca="1">_xlfn.LET(
_xlpm.x, IF(L$259&gt;$G268,"x",IFERROR(SUBSTITUTE(CELL("adres",OFFSET(INDIRECT(L268),,IF(LEFT(L268)="V",-1,1)*($G268-L$259),1,1)),"$",""),"x")),
_xlpm.y, IFERROR(IF(OR(COLUMN(INDIRECT(_xlpm.x))&gt;21, COLUMN(INDIRECT(_xlpm.x)) &lt;2), "x",_xlpm.x),"x"),
_xlpm.y)</f>
        <v>x</v>
      </c>
      <c r="AH268" s="31" t="str" cm="1">
        <f t="array" aca="1" ref="AH268" ca="1">_xlfn.LET(
_xlpm.x, IF(M$259&gt;$G268,"x",IFERROR(SUBSTITUTE(CELL("adres",OFFSET(INDIRECT(M268),,IF(LEFT(M268)="V",-1,1)*($G268-M$259),1,1)),"$",""),"x")),
_xlpm.y, IFERROR(IF(OR(COLUMN(INDIRECT(_xlpm.x))&gt;21, COLUMN(INDIRECT(_xlpm.x)) &lt;2), "x",_xlpm.x),"x"),
_xlpm.y)</f>
        <v>x</v>
      </c>
      <c r="AI268" s="31" t="str" cm="1">
        <f t="array" aca="1" ref="AI268" ca="1">_xlfn.LET(
_xlpm.x, IF(N$259&gt;$G268,"x",IFERROR(SUBSTITUTE(CELL("adres",OFFSET(INDIRECT(N268),,IF(LEFT(N268)="V",-1,1)*($G268-N$259),1,1)),"$",""),"x")),
_xlpm.y, IFERROR(IF(OR(COLUMN(INDIRECT(_xlpm.x))&gt;21, COLUMN(INDIRECT(_xlpm.x)) &lt;2), "x",_xlpm.x),"x"),
_xlpm.y)</f>
        <v>U19</v>
      </c>
      <c r="AJ268" s="31" t="str" cm="1">
        <f t="array" aca="1" ref="AJ268" ca="1">_xlfn.LET(
_xlpm.x, IF(O$259&gt;$G268,"x",IFERROR(SUBSTITUTE(CELL("adres",OFFSET(INDIRECT(O268),,IF(LEFT(O268)="V",-1,1)*($G268-O$259),1,1)),"$",""),"x")),
_xlpm.y, IFERROR(IF(OR(COLUMN(INDIRECT(_xlpm.x))&gt;21, COLUMN(INDIRECT(_xlpm.x)) &lt;2), "x",_xlpm.x),"x"),
_xlpm.y)</f>
        <v>T2</v>
      </c>
      <c r="AK268" s="31" t="str" cm="1">
        <f t="array" aca="1" ref="AK268" ca="1">_xlfn.LET(
_xlpm.x, IF(P$259&gt;$G268,"x",IFERROR(SUBSTITUTE(CELL("adres",OFFSET(INDIRECT(P268),,IF(LEFT(P268)="V",-1,1)*($G268-P$259),1,1)),"$",""),"x")),
_xlpm.y, IFERROR(IF(OR(COLUMN(INDIRECT(_xlpm.x))&gt;21, COLUMN(INDIRECT(_xlpm.x)) &lt;2), "x",_xlpm.x),"x"),
_xlpm.y)</f>
        <v>D20</v>
      </c>
      <c r="AL268" s="31" t="str" cm="1">
        <f t="array" aca="1" ref="AL268" ca="1">_xlfn.LET(
_xlpm.x, IF(Q$259&gt;$G268,"x",IFERROR(SUBSTITUTE(CELL("adres",OFFSET(INDIRECT(Q268),,IF(LEFT(Q268)="V",-1,1)*($G268-Q$259),1,1)),"$",""),"x")),
_xlpm.y, IFERROR(IF(OR(COLUMN(INDIRECT(_xlpm.x))&gt;21, COLUMN(INDIRECT(_xlpm.x)) &lt;2), "x",_xlpm.x),"x"),
_xlpm.y)</f>
        <v>R13</v>
      </c>
      <c r="AM268" s="31" t="str" cm="1">
        <f t="array" aca="1" ref="AM268" ca="1">_xlfn.LET(
_xlpm.x, IF(R$259&gt;$G268,"x",IFERROR(SUBSTITUTE(CELL("adres",OFFSET(INDIRECT(R268),,IF(LEFT(R268)="V",-1,1)*($G268-R$259),1,1)),"$",""),"x")),
_xlpm.y, IFERROR(IF(OR(COLUMN(INDIRECT(_xlpm.x))&gt;21, COLUMN(INDIRECT(_xlpm.x)) &lt;2), "x",_xlpm.x),"x"),
_xlpm.y)</f>
        <v>F2</v>
      </c>
      <c r="AN268" s="31" t="str" cm="1">
        <f t="array" aca="1" ref="AN268" ca="1">_xlfn.LET(
_xlpm.x, IF(S$259&gt;$G268,"x",IFERROR(SUBSTITUTE(CELL("adres",OFFSET(INDIRECT(S268),,IF(LEFT(S268)="V",-1,1)*($G268-S$259),1,1)),"$",""),"x")),
_xlpm.y, IFERROR(IF(OR(COLUMN(INDIRECT(_xlpm.x))&gt;21, COLUMN(INDIRECT(_xlpm.x)) &lt;2), "x",_xlpm.x),"x"),
_xlpm.y)</f>
        <v>P20</v>
      </c>
      <c r="AO268" s="31" t="str" cm="1">
        <f t="array" aca="1" ref="AO268" ca="1">_xlfn.LET(
_xlpm.x, IF(T$259&gt;$G268,"x",IFERROR(SUBSTITUTE(CELL("adres",OFFSET(INDIRECT(T268),,IF(LEFT(T268)="V",-1,1)*($G268-T$259),1,1)),"$",""),"x")),
_xlpm.y, IFERROR(IF(OR(COLUMN(INDIRECT(_xlpm.x))&gt;21, COLUMN(INDIRECT(_xlpm.x)) &lt;2), "x",_xlpm.x),"x"),
_xlpm.y)</f>
        <v>H17</v>
      </c>
      <c r="AP268" s="31" t="str" cm="1">
        <f t="array" aca="1" ref="AP268" ca="1">_xlfn.LET(
_xlpm.x, IF(U$259&gt;$G268,"x",IFERROR(SUBSTITUTE(CELL("adres",OFFSET(INDIRECT(U268),,IF(LEFT(U268)="V",-1,1)*($G268-U$259),1,1)),"$",""),"x")),
_xlpm.y, IFERROR(IF(OR(COLUMN(INDIRECT(_xlpm.x))&gt;21, COLUMN(INDIRECT(_xlpm.x)) &lt;2), "x",_xlpm.x),"x"),
_xlpm.y)</f>
        <v>N3</v>
      </c>
      <c r="AQ268" s="31" t="str" cm="1">
        <f t="array" aca="1" ref="AQ268" ca="1">_xlfn.LET(
_xlpm.x, IF(V$259&gt;$G268,"x",IFERROR(SUBSTITUTE(CELL("adres",OFFSET(INDIRECT(V268),,IF(LEFT(V268)="V",-1,1)*($G268-V$259),1,1)),"$",""),"x")),
_xlpm.y, IFERROR(IF(OR(COLUMN(INDIRECT(_xlpm.x))&gt;21, COLUMN(INDIRECT(_xlpm.x)) &lt;2), "x",_xlpm.x),"x"),
_xlpm.y)</f>
        <v>M17</v>
      </c>
      <c r="AR268" s="31" t="str" cm="1">
        <f t="array" aca="1" ref="AR268" ca="1">_xlfn.LET(
_xlpm.x, IF(W$259&gt;$G268,"x",IFERROR(SUBSTITUTE(CELL("adres",OFFSET(INDIRECT(W268),,IF(LEFT(W268)="V",-1,1)*($G268-W$259),1,1)),"$",""),"x")),
_xlpm.y, IFERROR(IF(OR(COLUMN(INDIRECT(_xlpm.x))&gt;21, COLUMN(INDIRECT(_xlpm.x)) &lt;2), "x",_xlpm.x),"x"),
_xlpm.y)</f>
        <v>K17</v>
      </c>
      <c r="AS268" s="31" t="str" cm="1">
        <f t="array" aca="1" ref="AS268" ca="1">_xlfn.LET(
_xlpm.x, IF(X$259&gt;$G268,"x",IFERROR(SUBSTITUTE(CELL("adres",OFFSET(INDIRECT(X268),,IF(LEFT(X268)="V",-1,1)*($G268-X$259),1,1)),"$",""),"x")),
_xlpm.y, IFERROR(IF(OR(COLUMN(INDIRECT(_xlpm.x))&gt;21, COLUMN(INDIRECT(_xlpm.x)) &lt;2), "x",_xlpm.x),"x"),
_xlpm.y)</f>
        <v>K22</v>
      </c>
      <c r="AT268" s="31" t="str" cm="1">
        <f t="array" aca="1" ref="AT268" ca="1">_xlfn.LET(
_xlpm.x, IF(Y$259&gt;$G268,"x",IFERROR(SUBSTITUTE(CELL("adres",OFFSET(INDIRECT(Y268),,IF(LEFT(Y268)="V",-1,1)*($G268-Y$259),1,1)),"$",""),"x")),
_xlpm.y, IFERROR(IF(OR(COLUMN(INDIRECT(_xlpm.x))&gt;21, COLUMN(INDIRECT(_xlpm.x)) &lt;2), "x",_xlpm.x),"x"),
_xlpm.y)</f>
        <v>M20</v>
      </c>
      <c r="AU268" s="31" t="str" cm="1">
        <f t="array" aca="1" ref="AU268" ca="1">_xlfn.LET(
_xlpm.x, IF(Z$259&gt;$G268,"x",IFERROR(SUBSTITUTE(CELL("adres",OFFSET(INDIRECT(Z268),,IF(LEFT(Z268)="V",-1,1)*($G268-Z$259),1,1)),"$",""),"x")),
_xlpm.y, IFERROR(IF(OR(COLUMN(INDIRECT(_xlpm.x))&gt;21, COLUMN(INDIRECT(_xlpm.x)) &lt;2), "x",_xlpm.x),"x"),
_xlpm.y)</f>
        <v>I23</v>
      </c>
      <c r="AV268" s="31" t="str" cm="1">
        <f t="array" aca="1" ref="AV268" ca="1">_xlfn.LET(
_xlpm.x, IF(AA$259&gt;$G268,"x",IFERROR(SUBSTITUTE(CELL("adres",OFFSET(INDIRECT(AA268),,IF(LEFT(AA268)="V",-1,1)*($G268-AA$259),1,1)),"$",""),"x")),
_xlpm.y, IFERROR(IF(OR(COLUMN(INDIRECT(_xlpm.x))&gt;21, COLUMN(INDIRECT(_xlpm.x)) &lt;2), "x",_xlpm.x),"x"),
_xlpm.y)</f>
        <v>H22</v>
      </c>
      <c r="AW268" s="31" t="str" cm="1">
        <f t="array" aca="1" ref="AW268" ca="1">_xlfn.LET(
_xlpm.x, IF(AB$259&gt;$G268,"x",IFERROR(SUBSTITUTE(CELL("adres",OFFSET(INDIRECT(AB268),,IF(LEFT(AB268)="V",-1,1)*($G268-AB$259),1,1)),"$",""),"x")),
_xlpm.y, IFERROR(IF(OR(COLUMN(INDIRECT(_xlpm.x))&gt;21, COLUMN(INDIRECT(_xlpm.x)) &lt;2), "x",_xlpm.x),"x"),
_xlpm.y)</f>
        <v>P24</v>
      </c>
      <c r="AX268" s="23" t="e" cm="1">
        <f t="array" aca="1" ref="AX268" ca="1">ROW(INDIRECT(AD268))</f>
        <v>#REF!</v>
      </c>
      <c r="AY268" s="23" cm="1">
        <f t="array" aca="1" ref="AY268" ca="1">ROW(INDIRECT(H268))</f>
        <v>15</v>
      </c>
      <c r="AZ268" s="23" t="e">
        <f t="shared" ca="1" si="12"/>
        <v>#REF!</v>
      </c>
      <c r="BA268" s="23" t="e" cm="1">
        <f t="array" aca="1" ref="BA268" ca="1">COLUMN(INDIRECT(AD268))</f>
        <v>#REF!</v>
      </c>
      <c r="BB268" s="23" cm="1">
        <f t="array" aca="1" ref="BB268" ca="1">COLUMN(INDIRECT(H268))</f>
        <v>21</v>
      </c>
      <c r="BC268" s="23" t="e">
        <f t="shared" ca="1" si="13"/>
        <v>#REF!</v>
      </c>
      <c r="BE268" s="23">
        <f t="shared" ca="1" si="14"/>
        <v>1000</v>
      </c>
      <c r="BH268" s="23">
        <v>1000</v>
      </c>
      <c r="BI268" s="23">
        <v>1000</v>
      </c>
      <c r="BJ268" s="23">
        <v>1000</v>
      </c>
      <c r="BK268" s="23">
        <v>1000</v>
      </c>
      <c r="BL268" s="23">
        <v>1000</v>
      </c>
      <c r="BM268" s="23">
        <v>4</v>
      </c>
      <c r="BN268" s="23">
        <v>13</v>
      </c>
      <c r="BO268" s="23">
        <v>17</v>
      </c>
      <c r="BP268" s="23">
        <v>3</v>
      </c>
      <c r="BQ268" s="23">
        <v>15</v>
      </c>
      <c r="BR268" s="23">
        <v>5</v>
      </c>
      <c r="BS268" s="23">
        <v>13</v>
      </c>
      <c r="BT268" s="23">
        <v>12</v>
      </c>
      <c r="BU268" s="23">
        <v>8</v>
      </c>
      <c r="BV268" s="23">
        <v>10</v>
      </c>
      <c r="BW268" s="23">
        <v>10</v>
      </c>
      <c r="BX268" s="23">
        <v>8</v>
      </c>
      <c r="BY268" s="23">
        <v>12</v>
      </c>
      <c r="BZ268" s="23">
        <v>13</v>
      </c>
      <c r="CA268" s="23">
        <v>9</v>
      </c>
      <c r="CC268" s="23">
        <f t="shared" si="15"/>
        <v>3</v>
      </c>
      <c r="CD268" s="23">
        <f t="shared" si="16"/>
        <v>1</v>
      </c>
      <c r="CE268" s="23">
        <f t="shared" si="17"/>
        <v>9</v>
      </c>
      <c r="CF268" s="23" t="str" cm="1">
        <f t="array" aca="1" ref="CF268" ca="1">INDEX(AD268:AW268,1,CE268)</f>
        <v>R13</v>
      </c>
      <c r="CI268" s="23" t="b">
        <f ca="1"/>
        <v>0</v>
      </c>
      <c r="CJ268" s="23" t="b">
        <f ca="1"/>
        <v>0</v>
      </c>
      <c r="CK268" s="23" t="b">
        <f ca="1"/>
        <v>0</v>
      </c>
      <c r="CL268" s="23" t="b">
        <f ca="1"/>
        <v>0</v>
      </c>
      <c r="CM268" s="23" t="b">
        <f ca="1"/>
        <v>0</v>
      </c>
      <c r="CN268" s="23" t="b">
        <f ca="1"/>
        <v>0</v>
      </c>
      <c r="CO268" s="23" t="b">
        <f ca="1"/>
        <v>0</v>
      </c>
      <c r="CP268" s="23" t="b">
        <f ca="1"/>
        <v>0</v>
      </c>
      <c r="CQ268" s="23" t="b">
        <f ca="1"/>
        <v>0</v>
      </c>
      <c r="CR268" s="23" t="b">
        <f ca="1"/>
        <v>0</v>
      </c>
      <c r="CS268" s="23" t="b">
        <f ca="1"/>
        <v>0</v>
      </c>
      <c r="CT268" s="23" t="b">
        <f ca="1"/>
        <v>0</v>
      </c>
      <c r="CU268" s="23" t="b">
        <f ca="1"/>
        <v>0</v>
      </c>
      <c r="CV268" s="23" t="b">
        <f ca="1"/>
        <v>0</v>
      </c>
      <c r="CW268" s="23" t="b">
        <f ca="1"/>
        <v>0</v>
      </c>
      <c r="CX268" s="23" t="b">
        <f ca="1"/>
        <v>0</v>
      </c>
      <c r="CY268" s="23" t="b">
        <f ca="1"/>
        <v>0</v>
      </c>
      <c r="CZ268" s="23" t="b">
        <f ca="1"/>
        <v>0</v>
      </c>
      <c r="DA268" s="23" t="b">
        <f ca="1"/>
        <v>0</v>
      </c>
      <c r="DB268" s="23" t="b">
        <f ca="1"/>
        <v>0</v>
      </c>
    </row>
    <row r="269" spans="2:106" ht="22.5" customHeight="1">
      <c r="B269" s="32">
        <f t="shared" si="18"/>
        <v>106</v>
      </c>
      <c r="C269" s="32">
        <v>6</v>
      </c>
      <c r="D269" s="30">
        <v>10</v>
      </c>
      <c r="E269" s="34" t="str">
        <f ca="1"/>
        <v>F20</v>
      </c>
      <c r="F269" s="103"/>
      <c r="G269" s="33">
        <v>32</v>
      </c>
      <c r="H269" s="33" t="s">
        <v>241</v>
      </c>
      <c r="I269" s="33" t="s">
        <v>115</v>
      </c>
      <c r="J269" s="33" t="s">
        <v>59</v>
      </c>
      <c r="K269" s="33" t="s">
        <v>155</v>
      </c>
      <c r="L269" s="33" t="s">
        <v>84</v>
      </c>
      <c r="M269" s="33" t="s">
        <v>57</v>
      </c>
      <c r="N269" s="33" t="s">
        <v>93</v>
      </c>
      <c r="O269" s="33" t="s">
        <v>89</v>
      </c>
      <c r="P269" s="33" t="s">
        <v>83</v>
      </c>
      <c r="Q269" s="33" t="s">
        <v>110</v>
      </c>
      <c r="R269" s="33" t="s">
        <v>184</v>
      </c>
      <c r="S269" s="33" t="s">
        <v>144</v>
      </c>
      <c r="T269" s="33" t="s">
        <v>83</v>
      </c>
      <c r="U269" s="33" t="s">
        <v>192</v>
      </c>
      <c r="V269" s="33" t="s">
        <v>51</v>
      </c>
      <c r="W269" s="33" t="s">
        <v>64</v>
      </c>
      <c r="X269" s="33" t="s">
        <v>113</v>
      </c>
      <c r="Y269" s="33" t="s">
        <v>155</v>
      </c>
      <c r="Z269" s="33" t="s">
        <v>178</v>
      </c>
      <c r="AA269" s="33" t="s">
        <v>200</v>
      </c>
      <c r="AB269" s="33" t="s">
        <v>190</v>
      </c>
      <c r="AC269" s="115"/>
      <c r="AD269" s="31" t="str" cm="1">
        <f t="array" aca="1" ref="AD269" ca="1">_xlfn.LET(
_xlpm.x, IF(I$259&gt;$G269,"x",IFERROR(SUBSTITUTE(CELL("adres",OFFSET(INDIRECT(I269),,IF(LEFT(I269)="V",-1,1)*($G269-I$259),1,1)),"$",""),"x")),
_xlpm.y, IFERROR(IF(OR(COLUMN(INDIRECT(_xlpm.x))&gt;21, COLUMN(INDIRECT(_xlpm.x)) &lt;2), "x",_xlpm.x),"x"),
_xlpm.y)</f>
        <v>x</v>
      </c>
      <c r="AE269" s="31" t="str" cm="1">
        <f t="array" aca="1" ref="AE269" ca="1">_xlfn.LET(
_xlpm.x, IF(J$259&gt;$G269,"x",IFERROR(SUBSTITUTE(CELL("adres",OFFSET(INDIRECT(J269),,IF(LEFT(J269)="V",-1,1)*($G269-J$259),1,1)),"$",""),"x")),
_xlpm.y, IFERROR(IF(OR(COLUMN(INDIRECT(_xlpm.x))&gt;21, COLUMN(INDIRECT(_xlpm.x)) &lt;2), "x",_xlpm.x),"x"),
_xlpm.y)</f>
        <v>x</v>
      </c>
      <c r="AF269" s="31" t="str" cm="1">
        <f t="array" aca="1" ref="AF269" ca="1">_xlfn.LET(
_xlpm.x, IF(K$259&gt;$G269,"x",IFERROR(SUBSTITUTE(CELL("adres",OFFSET(INDIRECT(K269),,IF(LEFT(K269)="V",-1,1)*($G269-K$259),1,1)),"$",""),"x")),
_xlpm.y, IFERROR(IF(OR(COLUMN(INDIRECT(_xlpm.x))&gt;21, COLUMN(INDIRECT(_xlpm.x)) &lt;2), "x",_xlpm.x),"x"),
_xlpm.y)</f>
        <v>x</v>
      </c>
      <c r="AG269" s="31" t="str" cm="1">
        <f t="array" aca="1" ref="AG269" ca="1">_xlfn.LET(
_xlpm.x, IF(L$259&gt;$G269,"x",IFERROR(SUBSTITUTE(CELL("adres",OFFSET(INDIRECT(L269),,IF(LEFT(L269)="V",-1,1)*($G269-L$259),1,1)),"$",""),"x")),
_xlpm.y, IFERROR(IF(OR(COLUMN(INDIRECT(_xlpm.x))&gt;21, COLUMN(INDIRECT(_xlpm.x)) &lt;2), "x",_xlpm.x),"x"),
_xlpm.y)</f>
        <v>x</v>
      </c>
      <c r="AH269" s="31" t="str" cm="1">
        <f t="array" aca="1" ref="AH269" ca="1">_xlfn.LET(
_xlpm.x, IF(M$259&gt;$G269,"x",IFERROR(SUBSTITUTE(CELL("adres",OFFSET(INDIRECT(M269),,IF(LEFT(M269)="V",-1,1)*($G269-M$259),1,1)),"$",""),"x")),
_xlpm.y, IFERROR(IF(OR(COLUMN(INDIRECT(_xlpm.x))&gt;21, COLUMN(INDIRECT(_xlpm.x)) &lt;2), "x",_xlpm.x),"x"),
_xlpm.y)</f>
        <v>x</v>
      </c>
      <c r="AI269" s="31" t="str" cm="1">
        <f t="array" aca="1" ref="AI269" ca="1">_xlfn.LET(
_xlpm.x, IF(N$259&gt;$G269,"x",IFERROR(SUBSTITUTE(CELL("adres",OFFSET(INDIRECT(N269),,IF(LEFT(N269)="V",-1,1)*($G269-N$259),1,1)),"$",""),"x")),
_xlpm.y, IFERROR(IF(OR(COLUMN(INDIRECT(_xlpm.x))&gt;21, COLUMN(INDIRECT(_xlpm.x)) &lt;2), "x",_xlpm.x),"x"),
_xlpm.y)</f>
        <v>x</v>
      </c>
      <c r="AJ269" s="31" t="str" cm="1">
        <f t="array" aca="1" ref="AJ269" ca="1">_xlfn.LET(
_xlpm.x, IF(O$259&gt;$G269,"x",IFERROR(SUBSTITUTE(CELL("adres",OFFSET(INDIRECT(O269),,IF(LEFT(O269)="V",-1,1)*($G269-O$259),1,1)),"$",""),"x")),
_xlpm.y, IFERROR(IF(OR(COLUMN(INDIRECT(_xlpm.x))&gt;21, COLUMN(INDIRECT(_xlpm.x)) &lt;2), "x",_xlpm.x),"x"),
_xlpm.y)</f>
        <v>x</v>
      </c>
      <c r="AK269" s="31" t="str" cm="1">
        <f t="array" aca="1" ref="AK269" ca="1">_xlfn.LET(
_xlpm.x, IF(P$259&gt;$G269,"x",IFERROR(SUBSTITUTE(CELL("adres",OFFSET(INDIRECT(P269),,IF(LEFT(P269)="V",-1,1)*($G269-P$259),1,1)),"$",""),"x")),
_xlpm.y, IFERROR(IF(OR(COLUMN(INDIRECT(_xlpm.x))&gt;21, COLUMN(INDIRECT(_xlpm.x)) &lt;2), "x",_xlpm.x),"x"),
_xlpm.y)</f>
        <v>x</v>
      </c>
      <c r="AL269" s="31" t="str" cm="1">
        <f t="array" aca="1" ref="AL269" ca="1">_xlfn.LET(
_xlpm.x, IF(Q$259&gt;$G269,"x",IFERROR(SUBSTITUTE(CELL("adres",OFFSET(INDIRECT(Q269),,IF(LEFT(Q269)="V",-1,1)*($G269-Q$259),1,1)),"$",""),"x")),
_xlpm.y, IFERROR(IF(OR(COLUMN(INDIRECT(_xlpm.x))&gt;21, COLUMN(INDIRECT(_xlpm.x)) &lt;2), "x",_xlpm.x),"x"),
_xlpm.y)</f>
        <v>x</v>
      </c>
      <c r="AM269" s="31" t="str" cm="1">
        <f t="array" aca="1" ref="AM269" ca="1">_xlfn.LET(
_xlpm.x, IF(R$259&gt;$G269,"x",IFERROR(SUBSTITUTE(CELL("adres",OFFSET(INDIRECT(R269),,IF(LEFT(R269)="V",-1,1)*($G269-R$259),1,1)),"$",""),"x")),
_xlpm.y, IFERROR(IF(OR(COLUMN(INDIRECT(_xlpm.x))&gt;21, COLUMN(INDIRECT(_xlpm.x)) &lt;2), "x",_xlpm.x),"x"),
_xlpm.y)</f>
        <v>x</v>
      </c>
      <c r="AN269" s="31" t="str" cm="1">
        <f t="array" aca="1" ref="AN269" ca="1">_xlfn.LET(
_xlpm.x, IF(S$259&gt;$G269,"x",IFERROR(SUBSTITUTE(CELL("adres",OFFSET(INDIRECT(S269),,IF(LEFT(S269)="V",-1,1)*($G269-S$259),1,1)),"$",""),"x")),
_xlpm.y, IFERROR(IF(OR(COLUMN(INDIRECT(_xlpm.x))&gt;21, COLUMN(INDIRECT(_xlpm.x)) &lt;2), "x",_xlpm.x),"x"),
_xlpm.y)</f>
        <v>x</v>
      </c>
      <c r="AO269" s="31" t="str" cm="1">
        <f t="array" aca="1" ref="AO269" ca="1">_xlfn.LET(
_xlpm.x, IF(T$259&gt;$G269,"x",IFERROR(SUBSTITUTE(CELL("adres",OFFSET(INDIRECT(T269),,IF(LEFT(T269)="V",-1,1)*($G269-T$259),1,1)),"$",""),"x")),
_xlpm.y, IFERROR(IF(OR(COLUMN(INDIRECT(_xlpm.x))&gt;21, COLUMN(INDIRECT(_xlpm.x)) &lt;2), "x",_xlpm.x),"x"),
_xlpm.y)</f>
        <v>x</v>
      </c>
      <c r="AP269" s="31" t="str" cm="1">
        <f t="array" aca="1" ref="AP269" ca="1">_xlfn.LET(
_xlpm.x, IF(U$259&gt;$G269,"x",IFERROR(SUBSTITUTE(CELL("adres",OFFSET(INDIRECT(U269),,IF(LEFT(U269)="V",-1,1)*($G269-U$259),1,1)),"$",""),"x")),
_xlpm.y, IFERROR(IF(OR(COLUMN(INDIRECT(_xlpm.x))&gt;21, COLUMN(INDIRECT(_xlpm.x)) &lt;2), "x",_xlpm.x),"x"),
_xlpm.y)</f>
        <v>U23</v>
      </c>
      <c r="AQ269" s="31" t="str" cm="1">
        <f t="array" aca="1" ref="AQ269" ca="1">_xlfn.LET(
_xlpm.x, IF(V$259&gt;$G269,"x",IFERROR(SUBSTITUTE(CELL("adres",OFFSET(INDIRECT(V269),,IF(LEFT(V269)="V",-1,1)*($G269-V$259),1,1)),"$",""),"x")),
_xlpm.y, IFERROR(IF(OR(COLUMN(INDIRECT(_xlpm.x))&gt;21, COLUMN(INDIRECT(_xlpm.x)) &lt;2), "x",_xlpm.x),"x"),
_xlpm.y)</f>
        <v>T10</v>
      </c>
      <c r="AR269" s="31" t="str" cm="1">
        <f t="array" aca="1" ref="AR269" ca="1">_xlfn.LET(
_xlpm.x, IF(W$259&gt;$G269,"x",IFERROR(SUBSTITUTE(CELL("adres",OFFSET(INDIRECT(W269),,IF(LEFT(W269)="V",-1,1)*($G269-W$259),1,1)),"$",""),"x")),
_xlpm.y, IFERROR(IF(OR(COLUMN(INDIRECT(_xlpm.x))&gt;21, COLUMN(INDIRECT(_xlpm.x)) &lt;2), "x",_xlpm.x),"x"),
_xlpm.y)</f>
        <v>S9</v>
      </c>
      <c r="AS269" s="31" t="str" cm="1">
        <f t="array" aca="1" ref="AS269" ca="1">_xlfn.LET(
_xlpm.x, IF(X$259&gt;$G269,"x",IFERROR(SUBSTITUTE(CELL("adres",OFFSET(INDIRECT(X269),,IF(LEFT(X269)="V",-1,1)*($G269-X$259),1,1)),"$",""),"x")),
_xlpm.y, IFERROR(IF(OR(COLUMN(INDIRECT(_xlpm.x))&gt;21, COLUMN(INDIRECT(_xlpm.x)) &lt;2), "x",_xlpm.x),"x"),
_xlpm.y)</f>
        <v>R14</v>
      </c>
      <c r="AT269" s="31" t="str" cm="1">
        <f t="array" aca="1" ref="AT269" ca="1">_xlfn.LET(
_xlpm.x, IF(Y$259&gt;$G269,"x",IFERROR(SUBSTITUTE(CELL("adres",OFFSET(INDIRECT(Y269),,IF(LEFT(Y269)="V",-1,1)*($G269-Y$259),1,1)),"$",""),"x")),
_xlpm.y, IFERROR(IF(OR(COLUMN(INDIRECT(_xlpm.x))&gt;21, COLUMN(INDIRECT(_xlpm.x)) &lt;2), "x",_xlpm.x),"x"),
_xlpm.y)</f>
        <v>F20</v>
      </c>
      <c r="AU269" s="31" t="str" cm="1">
        <f t="array" aca="1" ref="AU269" ca="1">_xlfn.LET(
_xlpm.x, IF(Z$259&gt;$G269,"x",IFERROR(SUBSTITUTE(CELL("adres",OFFSET(INDIRECT(Z269),,IF(LEFT(Z269)="V",-1,1)*($G269-Z$259),1,1)),"$",""),"x")),
_xlpm.y, IFERROR(IF(OR(COLUMN(INDIRECT(_xlpm.x))&gt;21, COLUMN(INDIRECT(_xlpm.x)) &lt;2), "x",_xlpm.x),"x"),
_xlpm.y)</f>
        <v>P15</v>
      </c>
      <c r="AV269" s="31" t="str" cm="1">
        <f t="array" aca="1" ref="AV269" ca="1">_xlfn.LET(
_xlpm.x, IF(AA$259&gt;$G269,"x",IFERROR(SUBSTITUTE(CELL("adres",OFFSET(INDIRECT(AA269),,IF(LEFT(AA269)="V",-1,1)*($G269-AA$259),1,1)),"$",""),"x")),
_xlpm.y, IFERROR(IF(OR(COLUMN(INDIRECT(_xlpm.x))&gt;21, COLUMN(INDIRECT(_xlpm.x)) &lt;2), "x",_xlpm.x),"x"),
_xlpm.y)</f>
        <v>O18</v>
      </c>
      <c r="AW269" s="31" t="str" cm="1">
        <f t="array" aca="1" ref="AW269" ca="1">_xlfn.LET(
_xlpm.x, IF(AB$259&gt;$G269,"x",IFERROR(SUBSTITUTE(CELL("adres",OFFSET(INDIRECT(AB269),,IF(LEFT(AB269)="V",-1,1)*($G269-AB$259),1,1)),"$",""),"x")),
_xlpm.y, IFERROR(IF(OR(COLUMN(INDIRECT(_xlpm.x))&gt;21, COLUMN(INDIRECT(_xlpm.x)) &lt;2), "x",_xlpm.x),"x"),
_xlpm.y)</f>
        <v>N24</v>
      </c>
      <c r="AX269" s="23" t="e" cm="1">
        <f t="array" aca="1" ref="AX269" ca="1">ROW(INDIRECT(AD269))</f>
        <v>#REF!</v>
      </c>
      <c r="AY269" s="23" cm="1">
        <f t="array" aca="1" ref="AY269" ca="1">ROW(INDIRECT(H269))</f>
        <v>17</v>
      </c>
      <c r="AZ269" s="23" t="e">
        <f t="shared" ca="1" si="12"/>
        <v>#REF!</v>
      </c>
      <c r="BA269" s="23" t="e" cm="1">
        <f t="array" aca="1" ref="BA269" ca="1">COLUMN(INDIRECT(AD269))</f>
        <v>#REF!</v>
      </c>
      <c r="BB269" s="23" cm="1">
        <f t="array" aca="1" ref="BB269" ca="1">COLUMN(INDIRECT(H269))</f>
        <v>8</v>
      </c>
      <c r="BC269" s="23" t="e">
        <f t="shared" ca="1" si="13"/>
        <v>#REF!</v>
      </c>
      <c r="BE269" s="23">
        <f t="shared" ca="1" si="14"/>
        <v>1000</v>
      </c>
      <c r="BH269" s="23">
        <v>1000</v>
      </c>
      <c r="BI269" s="23">
        <v>1000</v>
      </c>
      <c r="BJ269" s="23">
        <v>1000</v>
      </c>
      <c r="BK269" s="23">
        <v>1000</v>
      </c>
      <c r="BL269" s="23">
        <v>1000</v>
      </c>
      <c r="BM269" s="23">
        <v>1000</v>
      </c>
      <c r="BN269" s="23">
        <v>1000</v>
      </c>
      <c r="BO269" s="23">
        <v>1000</v>
      </c>
      <c r="BP269" s="23">
        <v>1000</v>
      </c>
      <c r="BQ269" s="23">
        <v>1000</v>
      </c>
      <c r="BR269" s="23">
        <v>1000</v>
      </c>
      <c r="BS269" s="23">
        <v>1000</v>
      </c>
      <c r="BT269" s="23">
        <v>13</v>
      </c>
      <c r="BU269" s="23">
        <v>12</v>
      </c>
      <c r="BV269" s="23">
        <v>11</v>
      </c>
      <c r="BW269" s="23">
        <v>10</v>
      </c>
      <c r="BX269" s="23">
        <v>3</v>
      </c>
      <c r="BY269" s="23">
        <v>8</v>
      </c>
      <c r="BZ269" s="23">
        <v>7</v>
      </c>
      <c r="CA269" s="23">
        <v>7</v>
      </c>
      <c r="CC269" s="23">
        <f t="shared" si="15"/>
        <v>3</v>
      </c>
      <c r="CD269" s="23">
        <f t="shared" si="16"/>
        <v>1</v>
      </c>
      <c r="CE269" s="23">
        <f t="shared" si="17"/>
        <v>17</v>
      </c>
      <c r="CF269" s="23" t="str" cm="1">
        <f t="array" aca="1" ref="CF269" ca="1">INDEX(AD269:AW269,1,CE269)</f>
        <v>F20</v>
      </c>
      <c r="CI269" s="23" t="b">
        <f ca="1"/>
        <v>0</v>
      </c>
      <c r="CJ269" s="23" t="b">
        <f ca="1"/>
        <v>0</v>
      </c>
      <c r="CK269" s="23" t="b">
        <f ca="1"/>
        <v>0</v>
      </c>
      <c r="CL269" s="23" t="b">
        <f ca="1"/>
        <v>0</v>
      </c>
      <c r="CM269" s="23" t="b">
        <f ca="1"/>
        <v>0</v>
      </c>
      <c r="CN269" s="23" t="b">
        <f ca="1"/>
        <v>0</v>
      </c>
      <c r="CO269" s="23" t="b">
        <f ca="1"/>
        <v>0</v>
      </c>
      <c r="CP269" s="23" t="b">
        <f ca="1"/>
        <v>0</v>
      </c>
      <c r="CQ269" s="23" t="b">
        <f ca="1"/>
        <v>0</v>
      </c>
      <c r="CR269" s="23" t="b">
        <f ca="1"/>
        <v>0</v>
      </c>
      <c r="CS269" s="23" t="b">
        <f ca="1"/>
        <v>0</v>
      </c>
      <c r="CT269" s="23" t="b">
        <f ca="1"/>
        <v>0</v>
      </c>
      <c r="CU269" s="23" t="b">
        <f ca="1"/>
        <v>0</v>
      </c>
      <c r="CV269" s="23" t="b">
        <f ca="1"/>
        <v>0</v>
      </c>
      <c r="CW269" s="23" t="b">
        <f ca="1"/>
        <v>0</v>
      </c>
      <c r="CX269" s="23" t="b">
        <f ca="1"/>
        <v>0</v>
      </c>
      <c r="CY269" s="23" t="b">
        <f ca="1"/>
        <v>0</v>
      </c>
      <c r="CZ269" s="23" t="b">
        <f ca="1"/>
        <v>0</v>
      </c>
      <c r="DA269" s="23" t="b">
        <f ca="1"/>
        <v>0</v>
      </c>
      <c r="DB269" s="23" t="b">
        <f ca="1"/>
        <v>0</v>
      </c>
    </row>
    <row r="270" spans="2:106" ht="22.5" customHeight="1">
      <c r="B270" s="32">
        <f t="shared" si="18"/>
        <v>107</v>
      </c>
      <c r="C270" s="32">
        <v>6</v>
      </c>
      <c r="D270" s="30">
        <v>10</v>
      </c>
      <c r="E270" s="34" t="str">
        <f ca="1"/>
        <v>F24</v>
      </c>
      <c r="F270" s="103"/>
      <c r="G270" s="33">
        <v>23</v>
      </c>
      <c r="H270" s="33" t="s">
        <v>242</v>
      </c>
      <c r="I270" s="33" t="s">
        <v>89</v>
      </c>
      <c r="J270" s="33" t="s">
        <v>144</v>
      </c>
      <c r="K270" s="33" t="s">
        <v>186</v>
      </c>
      <c r="L270" s="33" t="s">
        <v>114</v>
      </c>
      <c r="M270" s="33" t="s">
        <v>109</v>
      </c>
      <c r="N270" s="33" t="s">
        <v>192</v>
      </c>
      <c r="O270" s="33" t="s">
        <v>93</v>
      </c>
      <c r="P270" s="33" t="s">
        <v>90</v>
      </c>
      <c r="Q270" s="33" t="s">
        <v>50</v>
      </c>
      <c r="R270" s="33" t="s">
        <v>50</v>
      </c>
      <c r="S270" s="33" t="s">
        <v>111</v>
      </c>
      <c r="T270" s="33" t="s">
        <v>179</v>
      </c>
      <c r="U270" s="33" t="s">
        <v>83</v>
      </c>
      <c r="V270" s="33" t="s">
        <v>55</v>
      </c>
      <c r="W270" s="33" t="s">
        <v>83</v>
      </c>
      <c r="X270" s="33" t="s">
        <v>80</v>
      </c>
      <c r="Y270" s="33" t="s">
        <v>82</v>
      </c>
      <c r="Z270" s="33" t="s">
        <v>80</v>
      </c>
      <c r="AA270" s="33" t="s">
        <v>86</v>
      </c>
      <c r="AB270" s="33" t="s">
        <v>65</v>
      </c>
      <c r="AC270" s="115"/>
      <c r="AD270" s="31" t="str" cm="1">
        <f t="array" aca="1" ref="AD270" ca="1">_xlfn.LET(
_xlpm.x, IF(I$259&gt;$G270,"x",IFERROR(SUBSTITUTE(CELL("adres",OFFSET(INDIRECT(I270),,IF(LEFT(I270)="V",-1,1)*($G270-I$259),1,1)),"$",""),"x")),
_xlpm.y, IFERROR(IF(OR(COLUMN(INDIRECT(_xlpm.x))&gt;21, COLUMN(INDIRECT(_xlpm.x)) &lt;2), "x",_xlpm.x),"x"),
_xlpm.y)</f>
        <v>x</v>
      </c>
      <c r="AE270" s="31" t="str" cm="1">
        <f t="array" aca="1" ref="AE270" ca="1">_xlfn.LET(
_xlpm.x, IF(J$259&gt;$G270,"x",IFERROR(SUBSTITUTE(CELL("adres",OFFSET(INDIRECT(J270),,IF(LEFT(J270)="V",-1,1)*($G270-J$259),1,1)),"$",""),"x")),
_xlpm.y, IFERROR(IF(OR(COLUMN(INDIRECT(_xlpm.x))&gt;21, COLUMN(INDIRECT(_xlpm.x)) &lt;2), "x",_xlpm.x),"x"),
_xlpm.y)</f>
        <v>x</v>
      </c>
      <c r="AF270" s="31" t="str" cm="1">
        <f t="array" aca="1" ref="AF270" ca="1">_xlfn.LET(
_xlpm.x, IF(K$259&gt;$G270,"x",IFERROR(SUBSTITUTE(CELL("adres",OFFSET(INDIRECT(K270),,IF(LEFT(K270)="V",-1,1)*($G270-K$259),1,1)),"$",""),"x")),
_xlpm.y, IFERROR(IF(OR(COLUMN(INDIRECT(_xlpm.x))&gt;21, COLUMN(INDIRECT(_xlpm.x)) &lt;2), "x",_xlpm.x),"x"),
_xlpm.y)</f>
        <v>x</v>
      </c>
      <c r="AG270" s="31" t="str" cm="1">
        <f t="array" aca="1" ref="AG270" ca="1">_xlfn.LET(
_xlpm.x, IF(L$259&gt;$G270,"x",IFERROR(SUBSTITUTE(CELL("adres",OFFSET(INDIRECT(L270),,IF(LEFT(L270)="V",-1,1)*($G270-L$259),1,1)),"$",""),"x")),
_xlpm.y, IFERROR(IF(OR(COLUMN(INDIRECT(_xlpm.x))&gt;21, COLUMN(INDIRECT(_xlpm.x)) &lt;2), "x",_xlpm.x),"x"),
_xlpm.y)</f>
        <v>B13</v>
      </c>
      <c r="AH270" s="31" t="str" cm="1">
        <f t="array" aca="1" ref="AH270" ca="1">_xlfn.LET(
_xlpm.x, IF(M$259&gt;$G270,"x",IFERROR(SUBSTITUTE(CELL("adres",OFFSET(INDIRECT(M270),,IF(LEFT(M270)="V",-1,1)*($G270-M$259),1,1)),"$",""),"x")),
_xlpm.y, IFERROR(IF(OR(COLUMN(INDIRECT(_xlpm.x))&gt;21, COLUMN(INDIRECT(_xlpm.x)) &lt;2), "x",_xlpm.x),"x"),
_xlpm.y)</f>
        <v>T5</v>
      </c>
      <c r="AI270" s="31" t="str" cm="1">
        <f t="array" aca="1" ref="AI270" ca="1">_xlfn.LET(
_xlpm.x, IF(N$259&gt;$G270,"x",IFERROR(SUBSTITUTE(CELL("adres",OFFSET(INDIRECT(N270),,IF(LEFT(N270)="V",-1,1)*($G270-N$259),1,1)),"$",""),"x")),
_xlpm.y, IFERROR(IF(OR(COLUMN(INDIRECT(_xlpm.x))&gt;21, COLUMN(INDIRECT(_xlpm.x)) &lt;2), "x",_xlpm.x),"x"),
_xlpm.y)</f>
        <v>S23</v>
      </c>
      <c r="AJ270" s="31" t="str" cm="1">
        <f t="array" aca="1" ref="AJ270" ca="1">_xlfn.LET(
_xlpm.x, IF(O$259&gt;$G270,"x",IFERROR(SUBSTITUTE(CELL("adres",OFFSET(INDIRECT(O270),,IF(LEFT(O270)="V",-1,1)*($G270-O$259),1,1)),"$",""),"x")),
_xlpm.y, IFERROR(IF(OR(COLUMN(INDIRECT(_xlpm.x))&gt;21, COLUMN(INDIRECT(_xlpm.x)) &lt;2), "x",_xlpm.x),"x"),
_xlpm.y)</f>
        <v>E10</v>
      </c>
      <c r="AK270" s="31" t="str" cm="1">
        <f t="array" aca="1" ref="AK270" ca="1">_xlfn.LET(
_xlpm.x, IF(P$259&gt;$G270,"x",IFERROR(SUBSTITUTE(CELL("adres",OFFSET(INDIRECT(P270),,IF(LEFT(P270)="V",-1,1)*($G270-P$259),1,1)),"$",""),"x")),
_xlpm.y, IFERROR(IF(OR(COLUMN(INDIRECT(_xlpm.x))&gt;21, COLUMN(INDIRECT(_xlpm.x)) &lt;2), "x",_xlpm.x),"x"),
_xlpm.y)</f>
        <v>F24</v>
      </c>
      <c r="AL270" s="31" t="str" cm="1">
        <f t="array" aca="1" ref="AL270" ca="1">_xlfn.LET(
_xlpm.x, IF(Q$259&gt;$G270,"x",IFERROR(SUBSTITUTE(CELL("adres",OFFSET(INDIRECT(Q270),,IF(LEFT(Q270)="V",-1,1)*($G270-Q$259),1,1)),"$",""),"x")),
_xlpm.y, IFERROR(IF(OR(COLUMN(INDIRECT(_xlpm.x))&gt;21, COLUMN(INDIRECT(_xlpm.x)) &lt;2), "x",_xlpm.x),"x"),
_xlpm.y)</f>
        <v>P13</v>
      </c>
      <c r="AM270" s="31" t="str" cm="1">
        <f t="array" aca="1" ref="AM270" ca="1">_xlfn.LET(
_xlpm.x, IF(R$259&gt;$G270,"x",IFERROR(SUBSTITUTE(CELL("adres",OFFSET(INDIRECT(R270),,IF(LEFT(R270)="V",-1,1)*($G270-R$259),1,1)),"$",""),"x")),
_xlpm.y, IFERROR(IF(OR(COLUMN(INDIRECT(_xlpm.x))&gt;21, COLUMN(INDIRECT(_xlpm.x)) &lt;2), "x",_xlpm.x),"x"),
_xlpm.y)</f>
        <v>O13</v>
      </c>
      <c r="AN270" s="31" t="str" cm="1">
        <f t="array" aca="1" ref="AN270" ca="1">_xlfn.LET(
_xlpm.x, IF(S$259&gt;$G270,"x",IFERROR(SUBSTITUTE(CELL("adres",OFFSET(INDIRECT(S270),,IF(LEFT(S270)="V",-1,1)*($G270-S$259),1,1)),"$",""),"x")),
_xlpm.y, IFERROR(IF(OR(COLUMN(INDIRECT(_xlpm.x))&gt;21, COLUMN(INDIRECT(_xlpm.x)) &lt;2), "x",_xlpm.x),"x"),
_xlpm.y)</f>
        <v>I18</v>
      </c>
      <c r="AO270" s="31" t="str" cm="1">
        <f t="array" aca="1" ref="AO270" ca="1">_xlfn.LET(
_xlpm.x, IF(T$259&gt;$G270,"x",IFERROR(SUBSTITUTE(CELL("adres",OFFSET(INDIRECT(T270),,IF(LEFT(T270)="V",-1,1)*($G270-T$259),1,1)),"$",""),"x")),
_xlpm.y, IFERROR(IF(OR(COLUMN(INDIRECT(_xlpm.x))&gt;21, COLUMN(INDIRECT(_xlpm.x)) &lt;2), "x",_xlpm.x),"x"),
_xlpm.y)</f>
        <v>J23</v>
      </c>
      <c r="AP270" s="31" t="str" cm="1">
        <f t="array" aca="1" ref="AP270" ca="1">_xlfn.LET(
_xlpm.x, IF(U$259&gt;$G270,"x",IFERROR(SUBSTITUTE(CELL("adres",OFFSET(INDIRECT(U270),,IF(LEFT(U270)="V",-1,1)*($G270-U$259),1,1)),"$",""),"x")),
_xlpm.y, IFERROR(IF(OR(COLUMN(INDIRECT(_xlpm.x))&gt;21, COLUMN(INDIRECT(_xlpm.x)) &lt;2), "x",_xlpm.x),"x"),
_xlpm.y)</f>
        <v>K21</v>
      </c>
      <c r="AQ270" s="31" t="str" cm="1">
        <f t="array" aca="1" ref="AQ270" ca="1">_xlfn.LET(
_xlpm.x, IF(V$259&gt;$G270,"x",IFERROR(SUBSTITUTE(CELL("adres",OFFSET(INDIRECT(V270),,IF(LEFT(V270)="V",-1,1)*($G270-V$259),1,1)),"$",""),"x")),
_xlpm.y, IFERROR(IF(OR(COLUMN(INDIRECT(_xlpm.x))&gt;21, COLUMN(INDIRECT(_xlpm.x)) &lt;2), "x",_xlpm.x),"x"),
_xlpm.y)</f>
        <v>K26</v>
      </c>
      <c r="AR270" s="31" t="str" cm="1">
        <f t="array" aca="1" ref="AR270" ca="1">_xlfn.LET(
_xlpm.x, IF(W$259&gt;$G270,"x",IFERROR(SUBSTITUTE(CELL("adres",OFFSET(INDIRECT(W270),,IF(LEFT(W270)="V",-1,1)*($G270-W$259),1,1)),"$",""),"x")),
_xlpm.y, IFERROR(IF(OR(COLUMN(INDIRECT(_xlpm.x))&gt;21, COLUMN(INDIRECT(_xlpm.x)) &lt;2), "x",_xlpm.x),"x"),
_xlpm.y)</f>
        <v>M21</v>
      </c>
      <c r="AS270" s="31" t="str" cm="1">
        <f t="array" aca="1" ref="AS270" ca="1">_xlfn.LET(
_xlpm.x, IF(X$259&gt;$G270,"x",IFERROR(SUBSTITUTE(CELL("adres",OFFSET(INDIRECT(X270),,IF(LEFT(X270)="V",-1,1)*($G270-X$259),1,1)),"$",""),"x")),
_xlpm.y, IFERROR(IF(OR(COLUMN(INDIRECT(_xlpm.x))&gt;21, COLUMN(INDIRECT(_xlpm.x)) &lt;2), "x",_xlpm.x),"x"),
_xlpm.y)</f>
        <v>N6</v>
      </c>
      <c r="AT270" s="31" t="str" cm="1">
        <f t="array" aca="1" ref="AT270" ca="1">_xlfn.LET(
_xlpm.x, IF(Y$259&gt;$G270,"x",IFERROR(SUBSTITUTE(CELL("adres",OFFSET(INDIRECT(Y270),,IF(LEFT(Y270)="V",-1,1)*($G270-Y$259),1,1)),"$",""),"x")),
_xlpm.y, IFERROR(IF(OR(COLUMN(INDIRECT(_xlpm.x))&gt;21, COLUMN(INDIRECT(_xlpm.x)) &lt;2), "x",_xlpm.x),"x"),
_xlpm.y)</f>
        <v>O16</v>
      </c>
      <c r="AU270" s="31" t="str" cm="1">
        <f t="array" aca="1" ref="AU270" ca="1">_xlfn.LET(
_xlpm.x, IF(Z$259&gt;$G270,"x",IFERROR(SUBSTITUTE(CELL("adres",OFFSET(INDIRECT(Z270),,IF(LEFT(Z270)="V",-1,1)*($G270-Z$259),1,1)),"$",""),"x")),
_xlpm.y, IFERROR(IF(OR(COLUMN(INDIRECT(_xlpm.x))&gt;21, COLUMN(INDIRECT(_xlpm.x)) &lt;2), "x",_xlpm.x),"x"),
_xlpm.y)</f>
        <v>P6</v>
      </c>
      <c r="AV270" s="31" t="str" cm="1">
        <f t="array" aca="1" ref="AV270" ca="1">_xlfn.LET(
_xlpm.x, IF(AA$259&gt;$G270,"x",IFERROR(SUBSTITUTE(CELL("adres",OFFSET(INDIRECT(AA270),,IF(LEFT(AA270)="V",-1,1)*($G270-AA$259),1,1)),"$",""),"x")),
_xlpm.y, IFERROR(IF(OR(COLUMN(INDIRECT(_xlpm.x))&gt;21, COLUMN(INDIRECT(_xlpm.x)) &lt;2), "x",_xlpm.x),"x"),
_xlpm.y)</f>
        <v>Q17</v>
      </c>
      <c r="AW270" s="31" t="str" cm="1">
        <f t="array" aca="1" ref="AW270" ca="1">_xlfn.LET(
_xlpm.x, IF(AB$259&gt;$G270,"x",IFERROR(SUBSTITUTE(CELL("adres",OFFSET(INDIRECT(AB270),,IF(LEFT(AB270)="V",-1,1)*($G270-AB$259),1,1)),"$",""),"x")),
_xlpm.y, IFERROR(IF(OR(COLUMN(INDIRECT(_xlpm.x))&gt;21, COLUMN(INDIRECT(_xlpm.x)) &lt;2), "x",_xlpm.x),"x"),
_xlpm.y)</f>
        <v>E12</v>
      </c>
      <c r="AX270" s="23" t="e" cm="1">
        <f t="array" aca="1" ref="AX270" ca="1">ROW(INDIRECT(AD270))</f>
        <v>#REF!</v>
      </c>
      <c r="AY270" s="23" cm="1">
        <f t="array" aca="1" ref="AY270" ca="1">ROW(INDIRECT(H270))</f>
        <v>25</v>
      </c>
      <c r="AZ270" s="23" t="e">
        <f t="shared" ca="1" si="12"/>
        <v>#REF!</v>
      </c>
      <c r="BA270" s="23" t="e" cm="1">
        <f t="array" aca="1" ref="BA270" ca="1">COLUMN(INDIRECT(AD270))</f>
        <v>#REF!</v>
      </c>
      <c r="BB270" s="23" cm="1">
        <f t="array" aca="1" ref="BB270" ca="1">COLUMN(INDIRECT(H270))</f>
        <v>7</v>
      </c>
      <c r="BC270" s="23" t="e">
        <f t="shared" ca="1" si="13"/>
        <v>#REF!</v>
      </c>
      <c r="BE270" s="23">
        <f t="shared" ca="1" si="14"/>
        <v>1000</v>
      </c>
      <c r="BH270" s="23">
        <v>1000</v>
      </c>
      <c r="BI270" s="23">
        <v>1000</v>
      </c>
      <c r="BJ270" s="23">
        <v>1000</v>
      </c>
      <c r="BK270" s="23">
        <v>12</v>
      </c>
      <c r="BL270" s="23">
        <v>20</v>
      </c>
      <c r="BM270" s="23">
        <v>12</v>
      </c>
      <c r="BN270" s="23">
        <v>15</v>
      </c>
      <c r="BO270" s="23">
        <v>1</v>
      </c>
      <c r="BP270" s="23">
        <v>12</v>
      </c>
      <c r="BQ270" s="23">
        <v>12</v>
      </c>
      <c r="BR270" s="23">
        <v>7</v>
      </c>
      <c r="BS270" s="23">
        <v>3</v>
      </c>
      <c r="BT270" s="23">
        <v>4</v>
      </c>
      <c r="BU270" s="23">
        <v>4</v>
      </c>
      <c r="BV270" s="23">
        <v>6</v>
      </c>
      <c r="BW270" s="23">
        <v>19</v>
      </c>
      <c r="BX270" s="23">
        <v>9</v>
      </c>
      <c r="BY270" s="23">
        <v>19</v>
      </c>
      <c r="BZ270" s="23">
        <v>10</v>
      </c>
      <c r="CA270" s="23">
        <v>13</v>
      </c>
      <c r="CC270" s="23">
        <f t="shared" si="15"/>
        <v>1</v>
      </c>
      <c r="CD270" s="23">
        <f t="shared" si="16"/>
        <v>1</v>
      </c>
      <c r="CE270" s="23">
        <f t="shared" si="17"/>
        <v>8</v>
      </c>
      <c r="CF270" s="23" t="str" cm="1">
        <f t="array" aca="1" ref="CF270" ca="1">INDEX(AD270:AW270,1,CE270)</f>
        <v>F24</v>
      </c>
      <c r="CI270" s="23" t="b">
        <f ca="1"/>
        <v>0</v>
      </c>
      <c r="CJ270" s="23" t="b">
        <f ca="1"/>
        <v>0</v>
      </c>
      <c r="CK270" s="23" t="b">
        <f ca="1"/>
        <v>0</v>
      </c>
      <c r="CL270" s="23" t="b">
        <f ca="1"/>
        <v>0</v>
      </c>
      <c r="CM270" s="23" t="b">
        <f ca="1"/>
        <v>0</v>
      </c>
      <c r="CN270" s="23" t="b">
        <f ca="1"/>
        <v>0</v>
      </c>
      <c r="CO270" s="23" t="b">
        <f ca="1"/>
        <v>0</v>
      </c>
      <c r="CP270" s="23" t="b">
        <f ca="1"/>
        <v>0</v>
      </c>
      <c r="CQ270" s="23" t="b">
        <f ca="1"/>
        <v>0</v>
      </c>
      <c r="CR270" s="23" t="b">
        <f ca="1"/>
        <v>0</v>
      </c>
      <c r="CS270" s="23" t="b">
        <f ca="1"/>
        <v>0</v>
      </c>
      <c r="CT270" s="23" t="b">
        <f ca="1"/>
        <v>0</v>
      </c>
      <c r="CU270" s="23" t="b">
        <f ca="1"/>
        <v>0</v>
      </c>
      <c r="CV270" s="23" t="b">
        <f ca="1"/>
        <v>0</v>
      </c>
      <c r="CW270" s="23" t="b">
        <f ca="1"/>
        <v>0</v>
      </c>
      <c r="CX270" s="23" t="b">
        <f ca="1"/>
        <v>0</v>
      </c>
      <c r="CY270" s="23" t="b">
        <f ca="1"/>
        <v>0</v>
      </c>
      <c r="CZ270" s="23" t="b">
        <f ca="1"/>
        <v>0</v>
      </c>
      <c r="DA270" s="23" t="b">
        <f ca="1"/>
        <v>0</v>
      </c>
      <c r="DB270" s="23" t="b">
        <f ca="1"/>
        <v>0</v>
      </c>
    </row>
    <row r="271" spans="2:106" ht="22.5" customHeight="1">
      <c r="B271" s="32">
        <f t="shared" si="18"/>
        <v>108</v>
      </c>
      <c r="C271" s="32">
        <v>6</v>
      </c>
      <c r="D271" s="30">
        <v>10</v>
      </c>
      <c r="E271" s="34" t="str">
        <f ca="1"/>
        <v>T3</v>
      </c>
      <c r="F271" s="103"/>
      <c r="G271" s="33">
        <v>35</v>
      </c>
      <c r="H271" s="33" t="s">
        <v>243</v>
      </c>
      <c r="I271" s="33" t="s">
        <v>86</v>
      </c>
      <c r="J271" s="33" t="s">
        <v>144</v>
      </c>
      <c r="K271" s="33" t="s">
        <v>65</v>
      </c>
      <c r="L271" s="33" t="s">
        <v>80</v>
      </c>
      <c r="M271" s="33" t="s">
        <v>190</v>
      </c>
      <c r="N271" s="33" t="s">
        <v>144</v>
      </c>
      <c r="O271" s="33" t="s">
        <v>64</v>
      </c>
      <c r="P271" s="33" t="s">
        <v>191</v>
      </c>
      <c r="Q271" s="33" t="s">
        <v>50</v>
      </c>
      <c r="R271" s="33" t="s">
        <v>64</v>
      </c>
      <c r="S271" s="33" t="s">
        <v>55</v>
      </c>
      <c r="T271" s="33" t="s">
        <v>66</v>
      </c>
      <c r="U271" s="33" t="s">
        <v>53</v>
      </c>
      <c r="V271" s="33" t="s">
        <v>144</v>
      </c>
      <c r="W271" s="33" t="s">
        <v>111</v>
      </c>
      <c r="X271" s="33" t="s">
        <v>80</v>
      </c>
      <c r="Y271" s="33" t="s">
        <v>56</v>
      </c>
      <c r="Z271" s="33" t="s">
        <v>179</v>
      </c>
      <c r="AA271" s="33" t="s">
        <v>55</v>
      </c>
      <c r="AB271" s="33" t="s">
        <v>86</v>
      </c>
      <c r="AC271" s="115"/>
      <c r="AD271" s="31" t="str" cm="1">
        <f t="array" aca="1" ref="AD271" ca="1">_xlfn.LET(
_xlpm.x, IF(I$259&gt;$G271,"x",IFERROR(SUBSTITUTE(CELL("adres",OFFSET(INDIRECT(I271),,IF(LEFT(I271)="V",-1,1)*($G271-I$259),1,1)),"$",""),"x")),
_xlpm.y, IFERROR(IF(OR(COLUMN(INDIRECT(_xlpm.x))&gt;21, COLUMN(INDIRECT(_xlpm.x)) &lt;2), "x",_xlpm.x),"x"),
_xlpm.y)</f>
        <v>x</v>
      </c>
      <c r="AE271" s="31" t="str" cm="1">
        <f t="array" aca="1" ref="AE271" ca="1">_xlfn.LET(
_xlpm.x, IF(J$259&gt;$G271,"x",IFERROR(SUBSTITUTE(CELL("adres",OFFSET(INDIRECT(J271),,IF(LEFT(J271)="V",-1,1)*($G271-J$259),1,1)),"$",""),"x")),
_xlpm.y, IFERROR(IF(OR(COLUMN(INDIRECT(_xlpm.x))&gt;21, COLUMN(INDIRECT(_xlpm.x)) &lt;2), "x",_xlpm.x),"x"),
_xlpm.y)</f>
        <v>x</v>
      </c>
      <c r="AF271" s="31" t="str" cm="1">
        <f t="array" aca="1" ref="AF271" ca="1">_xlfn.LET(
_xlpm.x, IF(K$259&gt;$G271,"x",IFERROR(SUBSTITUTE(CELL("adres",OFFSET(INDIRECT(K271),,IF(LEFT(K271)="V",-1,1)*($G271-K$259),1,1)),"$",""),"x")),
_xlpm.y, IFERROR(IF(OR(COLUMN(INDIRECT(_xlpm.x))&gt;21, COLUMN(INDIRECT(_xlpm.x)) &lt;2), "x",_xlpm.x),"x"),
_xlpm.y)</f>
        <v>x</v>
      </c>
      <c r="AG271" s="31" t="str" cm="1">
        <f t="array" aca="1" ref="AG271" ca="1">_xlfn.LET(
_xlpm.x, IF(L$259&gt;$G271,"x",IFERROR(SUBSTITUTE(CELL("adres",OFFSET(INDIRECT(L271),,IF(LEFT(L271)="V",-1,1)*($G271-L$259),1,1)),"$",""),"x")),
_xlpm.y, IFERROR(IF(OR(COLUMN(INDIRECT(_xlpm.x))&gt;21, COLUMN(INDIRECT(_xlpm.x)) &lt;2), "x",_xlpm.x),"x"),
_xlpm.y)</f>
        <v>x</v>
      </c>
      <c r="AH271" s="31" t="str" cm="1">
        <f t="array" aca="1" ref="AH271" ca="1">_xlfn.LET(
_xlpm.x, IF(M$259&gt;$G271,"x",IFERROR(SUBSTITUTE(CELL("adres",OFFSET(INDIRECT(M271),,IF(LEFT(M271)="V",-1,1)*($G271-M$259),1,1)),"$",""),"x")),
_xlpm.y, IFERROR(IF(OR(COLUMN(INDIRECT(_xlpm.x))&gt;21, COLUMN(INDIRECT(_xlpm.x)) &lt;2), "x",_xlpm.x),"x"),
_xlpm.y)</f>
        <v>x</v>
      </c>
      <c r="AI271" s="31" t="str" cm="1">
        <f t="array" aca="1" ref="AI271" ca="1">_xlfn.LET(
_xlpm.x, IF(N$259&gt;$G271,"x",IFERROR(SUBSTITUTE(CELL("adres",OFFSET(INDIRECT(N271),,IF(LEFT(N271)="V",-1,1)*($G271-N$259),1,1)),"$",""),"x")),
_xlpm.y, IFERROR(IF(OR(COLUMN(INDIRECT(_xlpm.x))&gt;21, COLUMN(INDIRECT(_xlpm.x)) &lt;2), "x",_xlpm.x),"x"),
_xlpm.y)</f>
        <v>x</v>
      </c>
      <c r="AJ271" s="31" t="str" cm="1">
        <f t="array" aca="1" ref="AJ271" ca="1">_xlfn.LET(
_xlpm.x, IF(O$259&gt;$G271,"x",IFERROR(SUBSTITUTE(CELL("adres",OFFSET(INDIRECT(O271),,IF(LEFT(O271)="V",-1,1)*($G271-O$259),1,1)),"$",""),"x")),
_xlpm.y, IFERROR(IF(OR(COLUMN(INDIRECT(_xlpm.x))&gt;21, COLUMN(INDIRECT(_xlpm.x)) &lt;2), "x",_xlpm.x),"x"),
_xlpm.y)</f>
        <v>x</v>
      </c>
      <c r="AK271" s="31" t="str" cm="1">
        <f t="array" aca="1" ref="AK271" ca="1">_xlfn.LET(
_xlpm.x, IF(P$259&gt;$G271,"x",IFERROR(SUBSTITUTE(CELL("adres",OFFSET(INDIRECT(P271),,IF(LEFT(P271)="V",-1,1)*($G271-P$259),1,1)),"$",""),"x")),
_xlpm.y, IFERROR(IF(OR(COLUMN(INDIRECT(_xlpm.x))&gt;21, COLUMN(INDIRECT(_xlpm.x)) &lt;2), "x",_xlpm.x),"x"),
_xlpm.y)</f>
        <v>x</v>
      </c>
      <c r="AL271" s="31" t="str" cm="1">
        <f t="array" aca="1" ref="AL271" ca="1">_xlfn.LET(
_xlpm.x, IF(Q$259&gt;$G271,"x",IFERROR(SUBSTITUTE(CELL("adres",OFFSET(INDIRECT(Q271),,IF(LEFT(Q271)="V",-1,1)*($G271-Q$259),1,1)),"$",""),"x")),
_xlpm.y, IFERROR(IF(OR(COLUMN(INDIRECT(_xlpm.x))&gt;21, COLUMN(INDIRECT(_xlpm.x)) &lt;2), "x",_xlpm.x),"x"),
_xlpm.y)</f>
        <v>x</v>
      </c>
      <c r="AM271" s="31" t="str" cm="1">
        <f t="array" aca="1" ref="AM271" ca="1">_xlfn.LET(
_xlpm.x, IF(R$259&gt;$G271,"x",IFERROR(SUBSTITUTE(CELL("adres",OFFSET(INDIRECT(R271),,IF(LEFT(R271)="V",-1,1)*($G271-R$259),1,1)),"$",""),"x")),
_xlpm.y, IFERROR(IF(OR(COLUMN(INDIRECT(_xlpm.x))&gt;21, COLUMN(INDIRECT(_xlpm.x)) &lt;2), "x",_xlpm.x),"x"),
_xlpm.y)</f>
        <v>x</v>
      </c>
      <c r="AN271" s="31" t="str" cm="1">
        <f t="array" aca="1" ref="AN271" ca="1">_xlfn.LET(
_xlpm.x, IF(S$259&gt;$G271,"x",IFERROR(SUBSTITUTE(CELL("adres",OFFSET(INDIRECT(S271),,IF(LEFT(S271)="V",-1,1)*($G271-S$259),1,1)),"$",""),"x")),
_xlpm.y, IFERROR(IF(OR(COLUMN(INDIRECT(_xlpm.x))&gt;21, COLUMN(INDIRECT(_xlpm.x)) &lt;2), "x",_xlpm.x),"x"),
_xlpm.y)</f>
        <v>x</v>
      </c>
      <c r="AO271" s="31" t="str" cm="1">
        <f t="array" aca="1" ref="AO271" ca="1">_xlfn.LET(
_xlpm.x, IF(T$259&gt;$G271,"x",IFERROR(SUBSTITUTE(CELL("adres",OFFSET(INDIRECT(T271),,IF(LEFT(T271)="V",-1,1)*($G271-T$259),1,1)),"$",""),"x")),
_xlpm.y, IFERROR(IF(OR(COLUMN(INDIRECT(_xlpm.x))&gt;21, COLUMN(INDIRECT(_xlpm.x)) &lt;2), "x",_xlpm.x),"x"),
_xlpm.y)</f>
        <v>x</v>
      </c>
      <c r="AP271" s="31" t="str" cm="1">
        <f t="array" aca="1" ref="AP271" ca="1">_xlfn.LET(
_xlpm.x, IF(U$259&gt;$G271,"x",IFERROR(SUBSTITUTE(CELL("adres",OFFSET(INDIRECT(U271),,IF(LEFT(U271)="V",-1,1)*($G271-U$259),1,1)),"$",""),"x")),
_xlpm.y, IFERROR(IF(OR(COLUMN(INDIRECT(_xlpm.x))&gt;21, COLUMN(INDIRECT(_xlpm.x)) &lt;2), "x",_xlpm.x),"x"),
_xlpm.y)</f>
        <v>x</v>
      </c>
      <c r="AQ271" s="31" t="str" cm="1">
        <f t="array" aca="1" ref="AQ271" ca="1">_xlfn.LET(
_xlpm.x, IF(V$259&gt;$G271,"x",IFERROR(SUBSTITUTE(CELL("adres",OFFSET(INDIRECT(V271),,IF(LEFT(V271)="V",-1,1)*($G271-V$259),1,1)),"$",""),"x")),
_xlpm.y, IFERROR(IF(OR(COLUMN(INDIRECT(_xlpm.x))&gt;21, COLUMN(INDIRECT(_xlpm.x)) &lt;2), "x",_xlpm.x),"x"),
_xlpm.y)</f>
        <v>x</v>
      </c>
      <c r="AR271" s="31" t="str" cm="1">
        <f t="array" aca="1" ref="AR271" ca="1">_xlfn.LET(
_xlpm.x, IF(W$259&gt;$G271,"x",IFERROR(SUBSTITUTE(CELL("adres",OFFSET(INDIRECT(W271),,IF(LEFT(W271)="V",-1,1)*($G271-W$259),1,1)),"$",""),"x")),
_xlpm.y, IFERROR(IF(OR(COLUMN(INDIRECT(_xlpm.x))&gt;21, COLUMN(INDIRECT(_xlpm.x)) &lt;2), "x",_xlpm.x),"x"),
_xlpm.y)</f>
        <v>x</v>
      </c>
      <c r="AS271" s="31" t="str" cm="1">
        <f t="array" aca="1" ref="AS271" ca="1">_xlfn.LET(
_xlpm.x, IF(X$259&gt;$G271,"x",IFERROR(SUBSTITUTE(CELL("adres",OFFSET(INDIRECT(X271),,IF(LEFT(X271)="V",-1,1)*($G271-X$259),1,1)),"$",""),"x")),
_xlpm.y, IFERROR(IF(OR(COLUMN(INDIRECT(_xlpm.x))&gt;21, COLUMN(INDIRECT(_xlpm.x)) &lt;2), "x",_xlpm.x),"x"),
_xlpm.y)</f>
        <v>B6</v>
      </c>
      <c r="AT271" s="31" t="str" cm="1">
        <f t="array" aca="1" ref="AT271" ca="1">_xlfn.LET(
_xlpm.x, IF(Y$259&gt;$G271,"x",IFERROR(SUBSTITUTE(CELL("adres",OFFSET(INDIRECT(Y271),,IF(LEFT(Y271)="V",-1,1)*($G271-Y$259),1,1)),"$",""),"x")),
_xlpm.y, IFERROR(IF(OR(COLUMN(INDIRECT(_xlpm.x))&gt;21, COLUMN(INDIRECT(_xlpm.x)) &lt;2), "x",_xlpm.x),"x"),
_xlpm.y)</f>
        <v>T3</v>
      </c>
      <c r="AU271" s="31" t="str" cm="1">
        <f t="array" aca="1" ref="AU271" ca="1">_xlfn.LET(
_xlpm.x, IF(Z$259&gt;$G271,"x",IFERROR(SUBSTITUTE(CELL("adres",OFFSET(INDIRECT(Z271),,IF(LEFT(Z271)="V",-1,1)*($G271-Z$259),1,1)),"$",""),"x")),
_xlpm.y, IFERROR(IF(OR(COLUMN(INDIRECT(_xlpm.x))&gt;21, COLUMN(INDIRECT(_xlpm.x)) &lt;2), "x",_xlpm.x),"x"),
_xlpm.y)</f>
        <v>D23</v>
      </c>
      <c r="AV271" s="31" t="str" cm="1">
        <f t="array" aca="1" ref="AV271" ca="1">_xlfn.LET(
_xlpm.x, IF(AA$259&gt;$G271,"x",IFERROR(SUBSTITUTE(CELL("adres",OFFSET(INDIRECT(AA271),,IF(LEFT(AA271)="V",-1,1)*($G271-AA$259),1,1)),"$",""),"x")),
_xlpm.y, IFERROR(IF(OR(COLUMN(INDIRECT(_xlpm.x))&gt;21, COLUMN(INDIRECT(_xlpm.x)) &lt;2), "x",_xlpm.x),"x"),
_xlpm.y)</f>
        <v>R26</v>
      </c>
      <c r="AW271" s="31" t="str" cm="1">
        <f t="array" aca="1" ref="AW271" ca="1">_xlfn.LET(
_xlpm.x, IF(AB$259&gt;$G271,"x",IFERROR(SUBSTITUTE(CELL("adres",OFFSET(INDIRECT(AB271),,IF(LEFT(AB271)="V",-1,1)*($G271-AB$259),1,1)),"$",""),"x")),
_xlpm.y, IFERROR(IF(OR(COLUMN(INDIRECT(_xlpm.x))&gt;21, COLUMN(INDIRECT(_xlpm.x)) &lt;2), "x",_xlpm.x),"x"),
_xlpm.y)</f>
        <v>F17</v>
      </c>
      <c r="AX271" s="23" t="e" cm="1">
        <f t="array" aca="1" ref="AX271" ca="1">ROW(INDIRECT(AD271))</f>
        <v>#REF!</v>
      </c>
      <c r="AY271" s="23" cm="1">
        <f t="array" aca="1" ref="AY271" ca="1">ROW(INDIRECT(H271))</f>
        <v>2</v>
      </c>
      <c r="AZ271" s="23" t="e">
        <f t="shared" ca="1" si="12"/>
        <v>#REF!</v>
      </c>
      <c r="BA271" s="23" t="e" cm="1">
        <f t="array" aca="1" ref="BA271" ca="1">COLUMN(INDIRECT(AD271))</f>
        <v>#REF!</v>
      </c>
      <c r="BB271" s="23" cm="1">
        <f t="array" aca="1" ref="BB271" ca="1">COLUMN(INDIRECT(H271))</f>
        <v>16</v>
      </c>
      <c r="BC271" s="23" t="e">
        <f t="shared" ca="1" si="13"/>
        <v>#REF!</v>
      </c>
      <c r="BE271" s="23">
        <f t="shared" ca="1" si="14"/>
        <v>1000</v>
      </c>
      <c r="BH271" s="23">
        <v>1000</v>
      </c>
      <c r="BI271" s="23">
        <v>1000</v>
      </c>
      <c r="BJ271" s="23">
        <v>1000</v>
      </c>
      <c r="BK271" s="23">
        <v>1000</v>
      </c>
      <c r="BL271" s="23">
        <v>1000</v>
      </c>
      <c r="BM271" s="23">
        <v>1000</v>
      </c>
      <c r="BN271" s="23">
        <v>1000</v>
      </c>
      <c r="BO271" s="23">
        <v>1000</v>
      </c>
      <c r="BP271" s="23">
        <v>1000</v>
      </c>
      <c r="BQ271" s="23">
        <v>1000</v>
      </c>
      <c r="BR271" s="23">
        <v>1000</v>
      </c>
      <c r="BS271" s="23">
        <v>1000</v>
      </c>
      <c r="BT271" s="23">
        <v>1000</v>
      </c>
      <c r="BU271" s="23">
        <v>1000</v>
      </c>
      <c r="BV271" s="23">
        <v>1000</v>
      </c>
      <c r="BW271" s="23">
        <v>14</v>
      </c>
      <c r="BX271" s="23">
        <v>4</v>
      </c>
      <c r="BY271" s="23">
        <v>21</v>
      </c>
      <c r="BZ271" s="23">
        <v>24</v>
      </c>
      <c r="CA271" s="23">
        <v>15</v>
      </c>
      <c r="CC271" s="23">
        <f t="shared" si="15"/>
        <v>4</v>
      </c>
      <c r="CD271" s="23">
        <f t="shared" si="16"/>
        <v>1</v>
      </c>
      <c r="CE271" s="23">
        <f t="shared" si="17"/>
        <v>17</v>
      </c>
      <c r="CF271" s="23" t="str" cm="1">
        <f t="array" aca="1" ref="CF271" ca="1">INDEX(AD271:AW271,1,CE271)</f>
        <v>T3</v>
      </c>
      <c r="CI271" s="23" t="b">
        <f ca="1"/>
        <v>0</v>
      </c>
      <c r="CJ271" s="23" t="b">
        <f ca="1"/>
        <v>0</v>
      </c>
      <c r="CK271" s="23" t="b">
        <f ca="1"/>
        <v>0</v>
      </c>
      <c r="CL271" s="23" t="b">
        <f ca="1"/>
        <v>0</v>
      </c>
      <c r="CM271" s="23" t="b">
        <f ca="1"/>
        <v>0</v>
      </c>
      <c r="CN271" s="23" t="b">
        <f ca="1"/>
        <v>0</v>
      </c>
      <c r="CO271" s="23" t="b">
        <f ca="1"/>
        <v>0</v>
      </c>
      <c r="CP271" s="23" t="b">
        <f ca="1"/>
        <v>0</v>
      </c>
      <c r="CQ271" s="23" t="b">
        <f ca="1"/>
        <v>0</v>
      </c>
      <c r="CR271" s="23" t="b">
        <f ca="1"/>
        <v>0</v>
      </c>
      <c r="CS271" s="23" t="b">
        <f ca="1"/>
        <v>0</v>
      </c>
      <c r="CT271" s="23" t="b">
        <f ca="1"/>
        <v>0</v>
      </c>
      <c r="CU271" s="23" t="b">
        <f ca="1"/>
        <v>0</v>
      </c>
      <c r="CV271" s="23" t="b">
        <f ca="1"/>
        <v>0</v>
      </c>
      <c r="CW271" s="23" t="b">
        <f ca="1"/>
        <v>0</v>
      </c>
      <c r="CX271" s="23" t="b">
        <f ca="1"/>
        <v>0</v>
      </c>
      <c r="CY271" s="23" t="b">
        <f ca="1"/>
        <v>0</v>
      </c>
      <c r="CZ271" s="23" t="b">
        <f ca="1"/>
        <v>0</v>
      </c>
      <c r="DA271" s="23" t="b">
        <f ca="1"/>
        <v>0</v>
      </c>
      <c r="DB271" s="23" t="b">
        <f ca="1"/>
        <v>0</v>
      </c>
    </row>
    <row r="272" spans="2:106" ht="22.5" customHeight="1">
      <c r="B272" s="32">
        <f t="shared" si="18"/>
        <v>109</v>
      </c>
      <c r="C272" s="32">
        <v>6</v>
      </c>
      <c r="D272" s="30">
        <v>10</v>
      </c>
      <c r="E272" s="34" t="str">
        <f ca="1"/>
        <v>R18</v>
      </c>
      <c r="F272" s="103"/>
      <c r="G272" s="33">
        <v>29</v>
      </c>
      <c r="H272" s="33" t="s">
        <v>244</v>
      </c>
      <c r="I272" s="33" t="s">
        <v>56</v>
      </c>
      <c r="J272" s="33" t="s">
        <v>109</v>
      </c>
      <c r="K272" s="33" t="s">
        <v>89</v>
      </c>
      <c r="L272" s="33" t="s">
        <v>91</v>
      </c>
      <c r="M272" s="33" t="s">
        <v>178</v>
      </c>
      <c r="N272" s="33" t="s">
        <v>84</v>
      </c>
      <c r="O272" s="33" t="s">
        <v>192</v>
      </c>
      <c r="P272" s="33" t="s">
        <v>66</v>
      </c>
      <c r="Q272" s="33" t="s">
        <v>144</v>
      </c>
      <c r="R272" s="33" t="s">
        <v>114</v>
      </c>
      <c r="S272" s="33" t="s">
        <v>51</v>
      </c>
      <c r="T272" s="33" t="s">
        <v>51</v>
      </c>
      <c r="U272" s="33" t="s">
        <v>200</v>
      </c>
      <c r="V272" s="33" t="s">
        <v>53</v>
      </c>
      <c r="W272" s="33" t="s">
        <v>57</v>
      </c>
      <c r="X272" s="33" t="s">
        <v>144</v>
      </c>
      <c r="Y272" s="33" t="s">
        <v>63</v>
      </c>
      <c r="Z272" s="33" t="s">
        <v>81</v>
      </c>
      <c r="AA272" s="33" t="s">
        <v>86</v>
      </c>
      <c r="AB272" s="33" t="s">
        <v>59</v>
      </c>
      <c r="AC272" s="115"/>
      <c r="AD272" s="31" t="str" cm="1">
        <f t="array" aca="1" ref="AD272" ca="1">_xlfn.LET(
_xlpm.x, IF(I$259&gt;$G272,"x",IFERROR(SUBSTITUTE(CELL("adres",OFFSET(INDIRECT(I272),,IF(LEFT(I272)="V",-1,1)*($G272-I$259),1,1)),"$",""),"x")),
_xlpm.y, IFERROR(IF(OR(COLUMN(INDIRECT(_xlpm.x))&gt;21, COLUMN(INDIRECT(_xlpm.x)) &lt;2), "x",_xlpm.x),"x"),
_xlpm.y)</f>
        <v>x</v>
      </c>
      <c r="AE272" s="31" t="str" cm="1">
        <f t="array" aca="1" ref="AE272" ca="1">_xlfn.LET(
_xlpm.x, IF(J$259&gt;$G272,"x",IFERROR(SUBSTITUTE(CELL("adres",OFFSET(INDIRECT(J272),,IF(LEFT(J272)="V",-1,1)*($G272-J$259),1,1)),"$",""),"x")),
_xlpm.y, IFERROR(IF(OR(COLUMN(INDIRECT(_xlpm.x))&gt;21, COLUMN(INDIRECT(_xlpm.x)) &lt;2), "x",_xlpm.x),"x"),
_xlpm.y)</f>
        <v>x</v>
      </c>
      <c r="AF272" s="31" t="str" cm="1">
        <f t="array" aca="1" ref="AF272" ca="1">_xlfn.LET(
_xlpm.x, IF(K$259&gt;$G272,"x",IFERROR(SUBSTITUTE(CELL("adres",OFFSET(INDIRECT(K272),,IF(LEFT(K272)="V",-1,1)*($G272-K$259),1,1)),"$",""),"x")),
_xlpm.y, IFERROR(IF(OR(COLUMN(INDIRECT(_xlpm.x))&gt;21, COLUMN(INDIRECT(_xlpm.x)) &lt;2), "x",_xlpm.x),"x"),
_xlpm.y)</f>
        <v>x</v>
      </c>
      <c r="AG272" s="31" t="str" cm="1">
        <f t="array" aca="1" ref="AG272" ca="1">_xlfn.LET(
_xlpm.x, IF(L$259&gt;$G272,"x",IFERROR(SUBSTITUTE(CELL("adres",OFFSET(INDIRECT(L272),,IF(LEFT(L272)="V",-1,1)*($G272-L$259),1,1)),"$",""),"x")),
_xlpm.y, IFERROR(IF(OR(COLUMN(INDIRECT(_xlpm.x))&gt;21, COLUMN(INDIRECT(_xlpm.x)) &lt;2), "x",_xlpm.x),"x"),
_xlpm.y)</f>
        <v>x</v>
      </c>
      <c r="AH272" s="31" t="str" cm="1">
        <f t="array" aca="1" ref="AH272" ca="1">_xlfn.LET(
_xlpm.x, IF(M$259&gt;$G272,"x",IFERROR(SUBSTITUTE(CELL("adres",OFFSET(INDIRECT(M272),,IF(LEFT(M272)="V",-1,1)*($G272-M$259),1,1)),"$",""),"x")),
_xlpm.y, IFERROR(IF(OR(COLUMN(INDIRECT(_xlpm.x))&gt;21, COLUMN(INDIRECT(_xlpm.x)) &lt;2), "x",_xlpm.x),"x"),
_xlpm.y)</f>
        <v>x</v>
      </c>
      <c r="AI272" s="31" t="str" cm="1">
        <f t="array" aca="1" ref="AI272" ca="1">_xlfn.LET(
_xlpm.x, IF(N$259&gt;$G272,"x",IFERROR(SUBSTITUTE(CELL("adres",OFFSET(INDIRECT(N272),,IF(LEFT(N272)="V",-1,1)*($G272-N$259),1,1)),"$",""),"x")),
_xlpm.y, IFERROR(IF(OR(COLUMN(INDIRECT(_xlpm.x))&gt;21, COLUMN(INDIRECT(_xlpm.x)) &lt;2), "x",_xlpm.x),"x"),
_xlpm.y)</f>
        <v>x</v>
      </c>
      <c r="AJ272" s="31" t="str" cm="1">
        <f t="array" aca="1" ref="AJ272" ca="1">_xlfn.LET(
_xlpm.x, IF(O$259&gt;$G272,"x",IFERROR(SUBSTITUTE(CELL("adres",OFFSET(INDIRECT(O272),,IF(LEFT(O272)="V",-1,1)*($G272-O$259),1,1)),"$",""),"x")),
_xlpm.y, IFERROR(IF(OR(COLUMN(INDIRECT(_xlpm.x))&gt;21, COLUMN(INDIRECT(_xlpm.x)) &lt;2), "x",_xlpm.x),"x"),
_xlpm.y)</f>
        <v>x</v>
      </c>
      <c r="AK272" s="31" t="str" cm="1">
        <f t="array" aca="1" ref="AK272" ca="1">_xlfn.LET(
_xlpm.x, IF(P$259&gt;$G272,"x",IFERROR(SUBSTITUTE(CELL("adres",OFFSET(INDIRECT(P272),,IF(LEFT(P272)="V",-1,1)*($G272-P$259),1,1)),"$",""),"x")),
_xlpm.y, IFERROR(IF(OR(COLUMN(INDIRECT(_xlpm.x))&gt;21, COLUMN(INDIRECT(_xlpm.x)) &lt;2), "x",_xlpm.x),"x"),
_xlpm.y)</f>
        <v>x</v>
      </c>
      <c r="AL272" s="31" t="str" cm="1">
        <f t="array" aca="1" ref="AL272" ca="1">_xlfn.LET(
_xlpm.x, IF(Q$259&gt;$G272,"x",IFERROR(SUBSTITUTE(CELL("adres",OFFSET(INDIRECT(Q272),,IF(LEFT(Q272)="V",-1,1)*($G272-Q$259),1,1)),"$",""),"x")),
_xlpm.y, IFERROR(IF(OR(COLUMN(INDIRECT(_xlpm.x))&gt;21, COLUMN(INDIRECT(_xlpm.x)) &lt;2), "x",_xlpm.x),"x"),
_xlpm.y)</f>
        <v>x</v>
      </c>
      <c r="AM272" s="31" t="str" cm="1">
        <f t="array" aca="1" ref="AM272" ca="1">_xlfn.LET(
_xlpm.x, IF(R$259&gt;$G272,"x",IFERROR(SUBSTITUTE(CELL("adres",OFFSET(INDIRECT(R272),,IF(LEFT(R272)="V",-1,1)*($G272-R$259),1,1)),"$",""),"x")),
_xlpm.y, IFERROR(IF(OR(COLUMN(INDIRECT(_xlpm.x))&gt;21, COLUMN(INDIRECT(_xlpm.x)) &lt;2), "x",_xlpm.x),"x"),
_xlpm.y)</f>
        <v>B13</v>
      </c>
      <c r="AN272" s="31" t="str" cm="1">
        <f t="array" aca="1" ref="AN272" ca="1">_xlfn.LET(
_xlpm.x, IF(S$259&gt;$G272,"x",IFERROR(SUBSTITUTE(CELL("adres",OFFSET(INDIRECT(S272),,IF(LEFT(S272)="V",-1,1)*($G272-S$259),1,1)),"$",""),"x")),
_xlpm.y, IFERROR(IF(OR(COLUMN(INDIRECT(_xlpm.x))&gt;21, COLUMN(INDIRECT(_xlpm.x)) &lt;2), "x",_xlpm.x),"x"),
_xlpm.y)</f>
        <v>T10</v>
      </c>
      <c r="AO272" s="31" t="str" cm="1">
        <f t="array" aca="1" ref="AO272" ca="1">_xlfn.LET(
_xlpm.x, IF(T$259&gt;$G272,"x",IFERROR(SUBSTITUTE(CELL("adres",OFFSET(INDIRECT(T272),,IF(LEFT(T272)="V",-1,1)*($G272-T$259),1,1)),"$",""),"x")),
_xlpm.y, IFERROR(IF(OR(COLUMN(INDIRECT(_xlpm.x))&gt;21, COLUMN(INDIRECT(_xlpm.x)) &lt;2), "x",_xlpm.x),"x"),
_xlpm.y)</f>
        <v>S10</v>
      </c>
      <c r="AP272" s="31" t="str" cm="1">
        <f t="array" aca="1" ref="AP272" ca="1">_xlfn.LET(
_xlpm.x, IF(U$259&gt;$G272,"x",IFERROR(SUBSTITUTE(CELL("adres",OFFSET(INDIRECT(U272),,IF(LEFT(U272)="V",-1,1)*($G272-U$259),1,1)),"$",""),"x")),
_xlpm.y, IFERROR(IF(OR(COLUMN(INDIRECT(_xlpm.x))&gt;21, COLUMN(INDIRECT(_xlpm.x)) &lt;2), "x",_xlpm.x),"x"),
_xlpm.y)</f>
        <v>R18</v>
      </c>
      <c r="AQ272" s="31" t="str" cm="1">
        <f t="array" aca="1" ref="AQ272" ca="1">_xlfn.LET(
_xlpm.x, IF(V$259&gt;$G272,"x",IFERROR(SUBSTITUTE(CELL("adres",OFFSET(INDIRECT(V272),,IF(LEFT(V272)="V",-1,1)*($G272-V$259),1,1)),"$",""),"x")),
_xlpm.y, IFERROR(IF(OR(COLUMN(INDIRECT(_xlpm.x))&gt;21, COLUMN(INDIRECT(_xlpm.x)) &lt;2), "x",_xlpm.x),"x"),
_xlpm.y)</f>
        <v>Q4</v>
      </c>
      <c r="AR272" s="31" t="str" cm="1">
        <f t="array" aca="1" ref="AR272" ca="1">_xlfn.LET(
_xlpm.x, IF(W$259&gt;$G272,"x",IFERROR(SUBSTITUTE(CELL("adres",OFFSET(INDIRECT(W272),,IF(LEFT(W272)="V",-1,1)*($G272-W$259),1,1)),"$",""),"x")),
_xlpm.y, IFERROR(IF(OR(COLUMN(INDIRECT(_xlpm.x))&gt;21, COLUMN(INDIRECT(_xlpm.x)) &lt;2), "x",_xlpm.x),"x"),
_xlpm.y)</f>
        <v>P17</v>
      </c>
      <c r="AS272" s="31" t="str" cm="1">
        <f t="array" aca="1" ref="AS272" ca="1">_xlfn.LET(
_xlpm.x, IF(X$259&gt;$G272,"x",IFERROR(SUBSTITUTE(CELL("adres",OFFSET(INDIRECT(X272),,IF(LEFT(X272)="V",-1,1)*($G272-X$259),1,1)),"$",""),"x")),
_xlpm.y, IFERROR(IF(OR(COLUMN(INDIRECT(_xlpm.x))&gt;21, COLUMN(INDIRECT(_xlpm.x)) &lt;2), "x",_xlpm.x),"x"),
_xlpm.y)</f>
        <v>H11</v>
      </c>
      <c r="AT272" s="31" t="str" cm="1">
        <f t="array" aca="1" ref="AT272" ca="1">_xlfn.LET(
_xlpm.x, IF(Y$259&gt;$G272,"x",IFERROR(SUBSTITUTE(CELL("adres",OFFSET(INDIRECT(Y272),,IF(LEFT(Y272)="V",-1,1)*($G272-Y$259),1,1)),"$",""),"x")),
_xlpm.y, IFERROR(IF(OR(COLUMN(INDIRECT(_xlpm.x))&gt;21, COLUMN(INDIRECT(_xlpm.x)) &lt;2), "x",_xlpm.x),"x"),
_xlpm.y)</f>
        <v>N22</v>
      </c>
      <c r="AU272" s="31" t="str" cm="1">
        <f t="array" aca="1" ref="AU272" ca="1">_xlfn.LET(
_xlpm.x, IF(Z$259&gt;$G272,"x",IFERROR(SUBSTITUTE(CELL("adres",OFFSET(INDIRECT(Z272),,IF(LEFT(Z272)="V",-1,1)*($G272-Z$259),1,1)),"$",""),"x")),
_xlpm.y, IFERROR(IF(OR(COLUMN(INDIRECT(_xlpm.x))&gt;21, COLUMN(INDIRECT(_xlpm.x)) &lt;2), "x",_xlpm.x),"x"),
_xlpm.y)</f>
        <v>J12</v>
      </c>
      <c r="AV272" s="31" t="str" cm="1">
        <f t="array" aca="1" ref="AV272" ca="1">_xlfn.LET(
_xlpm.x, IF(AA$259&gt;$G272,"x",IFERROR(SUBSTITUTE(CELL("adres",OFFSET(INDIRECT(AA272),,IF(LEFT(AA272)="V",-1,1)*($G272-AA$259),1,1)),"$",""),"x")),
_xlpm.y, IFERROR(IF(OR(COLUMN(INDIRECT(_xlpm.x))&gt;21, COLUMN(INDIRECT(_xlpm.x)) &lt;2), "x",_xlpm.x),"x"),
_xlpm.y)</f>
        <v>K17</v>
      </c>
      <c r="AW272" s="31" t="str" cm="1">
        <f t="array" aca="1" ref="AW272" ca="1">_xlfn.LET(
_xlpm.x, IF(AB$259&gt;$G272,"x",IFERROR(SUBSTITUTE(CELL("adres",OFFSET(INDIRECT(AB272),,IF(LEFT(AB272)="V",-1,1)*($G272-AB$259),1,1)),"$",""),"x")),
_xlpm.y, IFERROR(IF(OR(COLUMN(INDIRECT(_xlpm.x))&gt;21, COLUMN(INDIRECT(_xlpm.x)) &lt;2), "x",_xlpm.x),"x"),
_xlpm.y)</f>
        <v>K7</v>
      </c>
      <c r="AX272" s="23" t="e" cm="1">
        <f t="array" aca="1" ref="AX272" ca="1">ROW(INDIRECT(AD272))</f>
        <v>#REF!</v>
      </c>
      <c r="AY272" s="23" cm="1">
        <f t="array" aca="1" ref="AY272" ca="1">ROW(INDIRECT(H272))</f>
        <v>21</v>
      </c>
      <c r="AZ272" s="23" t="e">
        <f t="shared" ca="1" si="12"/>
        <v>#REF!</v>
      </c>
      <c r="BA272" s="23" t="e" cm="1">
        <f t="array" aca="1" ref="BA272" ca="1">COLUMN(INDIRECT(AD272))</f>
        <v>#REF!</v>
      </c>
      <c r="BB272" s="23" cm="1">
        <f t="array" aca="1" ref="BB272" ca="1">COLUMN(INDIRECT(H272))</f>
        <v>19</v>
      </c>
      <c r="BC272" s="23" t="e">
        <f t="shared" ca="1" si="13"/>
        <v>#REF!</v>
      </c>
      <c r="BE272" s="23">
        <f t="shared" ca="1" si="14"/>
        <v>1000</v>
      </c>
      <c r="BH272" s="23">
        <v>1000</v>
      </c>
      <c r="BI272" s="23">
        <v>1000</v>
      </c>
      <c r="BJ272" s="23">
        <v>1000</v>
      </c>
      <c r="BK272" s="23">
        <v>1000</v>
      </c>
      <c r="BL272" s="23">
        <v>1000</v>
      </c>
      <c r="BM272" s="23">
        <v>1000</v>
      </c>
      <c r="BN272" s="23">
        <v>1000</v>
      </c>
      <c r="BO272" s="23">
        <v>1000</v>
      </c>
      <c r="BP272" s="23">
        <v>1000</v>
      </c>
      <c r="BQ272" s="23">
        <v>17</v>
      </c>
      <c r="BR272" s="23">
        <v>11</v>
      </c>
      <c r="BS272" s="23">
        <v>11</v>
      </c>
      <c r="BT272" s="23">
        <v>3</v>
      </c>
      <c r="BU272" s="23">
        <v>17</v>
      </c>
      <c r="BV272" s="23">
        <v>4</v>
      </c>
      <c r="BW272" s="23">
        <v>11</v>
      </c>
      <c r="BX272" s="23">
        <v>5</v>
      </c>
      <c r="BY272" s="23">
        <v>9</v>
      </c>
      <c r="BZ272" s="23">
        <v>8</v>
      </c>
      <c r="CA272" s="23">
        <v>14</v>
      </c>
      <c r="CC272" s="23">
        <f t="shared" si="15"/>
        <v>3</v>
      </c>
      <c r="CD272" s="23">
        <f t="shared" si="16"/>
        <v>1</v>
      </c>
      <c r="CE272" s="23">
        <f t="shared" si="17"/>
        <v>13</v>
      </c>
      <c r="CF272" s="23" t="str" cm="1">
        <f t="array" aca="1" ref="CF272" ca="1">INDEX(AD272:AW272,1,CE272)</f>
        <v>R18</v>
      </c>
      <c r="CI272" s="23" t="b">
        <f ca="1"/>
        <v>0</v>
      </c>
      <c r="CJ272" s="23" t="b">
        <f ca="1"/>
        <v>0</v>
      </c>
      <c r="CK272" s="23" t="b">
        <f ca="1"/>
        <v>0</v>
      </c>
      <c r="CL272" s="23" t="b">
        <f ca="1"/>
        <v>0</v>
      </c>
      <c r="CM272" s="23" t="b">
        <f ca="1"/>
        <v>0</v>
      </c>
      <c r="CN272" s="23" t="b">
        <f ca="1"/>
        <v>0</v>
      </c>
      <c r="CO272" s="23" t="b">
        <f ca="1"/>
        <v>0</v>
      </c>
      <c r="CP272" s="23" t="b">
        <f ca="1"/>
        <v>0</v>
      </c>
      <c r="CQ272" s="23" t="b">
        <f ca="1"/>
        <v>0</v>
      </c>
      <c r="CR272" s="23" t="b">
        <f ca="1"/>
        <v>0</v>
      </c>
      <c r="CS272" s="23" t="b">
        <f ca="1"/>
        <v>0</v>
      </c>
      <c r="CT272" s="23" t="b">
        <f ca="1"/>
        <v>0</v>
      </c>
      <c r="CU272" s="23" t="b">
        <f ca="1"/>
        <v>0</v>
      </c>
      <c r="CV272" s="23" t="b">
        <f ca="1"/>
        <v>0</v>
      </c>
      <c r="CW272" s="23" t="b">
        <f ca="1"/>
        <v>0</v>
      </c>
      <c r="CX272" s="23" t="b">
        <f ca="1"/>
        <v>0</v>
      </c>
      <c r="CY272" s="23" t="b">
        <f ca="1"/>
        <v>0</v>
      </c>
      <c r="CZ272" s="23" t="b">
        <f ca="1"/>
        <v>0</v>
      </c>
      <c r="DA272" s="23" t="b">
        <f ca="1"/>
        <v>0</v>
      </c>
      <c r="DB272" s="23" t="b">
        <f ca="1"/>
        <v>0</v>
      </c>
    </row>
    <row r="273" spans="2:106" ht="22.5" customHeight="1">
      <c r="B273" s="32">
        <f t="shared" si="18"/>
        <v>110</v>
      </c>
      <c r="C273" s="32">
        <v>6</v>
      </c>
      <c r="D273" s="30">
        <v>10</v>
      </c>
      <c r="E273" s="34" t="str">
        <f ca="1"/>
        <v>C23</v>
      </c>
      <c r="F273" s="103"/>
      <c r="G273" s="33">
        <v>33</v>
      </c>
      <c r="H273" s="33" t="s">
        <v>245</v>
      </c>
      <c r="I273" s="33" t="s">
        <v>110</v>
      </c>
      <c r="J273" s="33" t="s">
        <v>200</v>
      </c>
      <c r="K273" s="33" t="s">
        <v>66</v>
      </c>
      <c r="L273" s="33" t="s">
        <v>57</v>
      </c>
      <c r="M273" s="33" t="s">
        <v>60</v>
      </c>
      <c r="N273" s="33" t="s">
        <v>58</v>
      </c>
      <c r="O273" s="33" t="s">
        <v>192</v>
      </c>
      <c r="P273" s="33" t="s">
        <v>93</v>
      </c>
      <c r="Q273" s="33" t="s">
        <v>61</v>
      </c>
      <c r="R273" s="33" t="s">
        <v>50</v>
      </c>
      <c r="S273" s="33" t="s">
        <v>109</v>
      </c>
      <c r="T273" s="33" t="s">
        <v>144</v>
      </c>
      <c r="U273" s="33" t="s">
        <v>50</v>
      </c>
      <c r="V273" s="33" t="s">
        <v>62</v>
      </c>
      <c r="W273" s="33" t="s">
        <v>179</v>
      </c>
      <c r="X273" s="33" t="s">
        <v>83</v>
      </c>
      <c r="Y273" s="33" t="s">
        <v>80</v>
      </c>
      <c r="Z273" s="33" t="s">
        <v>86</v>
      </c>
      <c r="AA273" s="33" t="s">
        <v>53</v>
      </c>
      <c r="AB273" s="33" t="s">
        <v>155</v>
      </c>
      <c r="AC273" s="115"/>
      <c r="AD273" s="31" t="str" cm="1">
        <f t="array" aca="1" ref="AD273" ca="1">_xlfn.LET(
_xlpm.x, IF(I$259&gt;$G273,"x",IFERROR(SUBSTITUTE(CELL("adres",OFFSET(INDIRECT(I273),,IF(LEFT(I273)="V",-1,1)*($G273-I$259),1,1)),"$",""),"x")),
_xlpm.y, IFERROR(IF(OR(COLUMN(INDIRECT(_xlpm.x))&gt;21, COLUMN(INDIRECT(_xlpm.x)) &lt;2), "x",_xlpm.x),"x"),
_xlpm.y)</f>
        <v>x</v>
      </c>
      <c r="AE273" s="31" t="str" cm="1">
        <f t="array" aca="1" ref="AE273" ca="1">_xlfn.LET(
_xlpm.x, IF(J$259&gt;$G273,"x",IFERROR(SUBSTITUTE(CELL("adres",OFFSET(INDIRECT(J273),,IF(LEFT(J273)="V",-1,1)*($G273-J$259),1,1)),"$",""),"x")),
_xlpm.y, IFERROR(IF(OR(COLUMN(INDIRECT(_xlpm.x))&gt;21, COLUMN(INDIRECT(_xlpm.x)) &lt;2), "x",_xlpm.x),"x"),
_xlpm.y)</f>
        <v>x</v>
      </c>
      <c r="AF273" s="31" t="str" cm="1">
        <f t="array" aca="1" ref="AF273" ca="1">_xlfn.LET(
_xlpm.x, IF(K$259&gt;$G273,"x",IFERROR(SUBSTITUTE(CELL("adres",OFFSET(INDIRECT(K273),,IF(LEFT(K273)="V",-1,1)*($G273-K$259),1,1)),"$",""),"x")),
_xlpm.y, IFERROR(IF(OR(COLUMN(INDIRECT(_xlpm.x))&gt;21, COLUMN(INDIRECT(_xlpm.x)) &lt;2), "x",_xlpm.x),"x"),
_xlpm.y)</f>
        <v>x</v>
      </c>
      <c r="AG273" s="31" t="str" cm="1">
        <f t="array" aca="1" ref="AG273" ca="1">_xlfn.LET(
_xlpm.x, IF(L$259&gt;$G273,"x",IFERROR(SUBSTITUTE(CELL("adres",OFFSET(INDIRECT(L273),,IF(LEFT(L273)="V",-1,1)*($G273-L$259),1,1)),"$",""),"x")),
_xlpm.y, IFERROR(IF(OR(COLUMN(INDIRECT(_xlpm.x))&gt;21, COLUMN(INDIRECT(_xlpm.x)) &lt;2), "x",_xlpm.x),"x"),
_xlpm.y)</f>
        <v>x</v>
      </c>
      <c r="AH273" s="31" t="str" cm="1">
        <f t="array" aca="1" ref="AH273" ca="1">_xlfn.LET(
_xlpm.x, IF(M$259&gt;$G273,"x",IFERROR(SUBSTITUTE(CELL("adres",OFFSET(INDIRECT(M273),,IF(LEFT(M273)="V",-1,1)*($G273-M$259),1,1)),"$",""),"x")),
_xlpm.y, IFERROR(IF(OR(COLUMN(INDIRECT(_xlpm.x))&gt;21, COLUMN(INDIRECT(_xlpm.x)) &lt;2), "x",_xlpm.x),"x"),
_xlpm.y)</f>
        <v>x</v>
      </c>
      <c r="AI273" s="31" t="str" cm="1">
        <f t="array" aca="1" ref="AI273" ca="1">_xlfn.LET(
_xlpm.x, IF(N$259&gt;$G273,"x",IFERROR(SUBSTITUTE(CELL("adres",OFFSET(INDIRECT(N273),,IF(LEFT(N273)="V",-1,1)*($G273-N$259),1,1)),"$",""),"x")),
_xlpm.y, IFERROR(IF(OR(COLUMN(INDIRECT(_xlpm.x))&gt;21, COLUMN(INDIRECT(_xlpm.x)) &lt;2), "x",_xlpm.x),"x"),
_xlpm.y)</f>
        <v>x</v>
      </c>
      <c r="AJ273" s="31" t="str" cm="1">
        <f t="array" aca="1" ref="AJ273" ca="1">_xlfn.LET(
_xlpm.x, IF(O$259&gt;$G273,"x",IFERROR(SUBSTITUTE(CELL("adres",OFFSET(INDIRECT(O273),,IF(LEFT(O273)="V",-1,1)*($G273-O$259),1,1)),"$",""),"x")),
_xlpm.y, IFERROR(IF(OR(COLUMN(INDIRECT(_xlpm.x))&gt;21, COLUMN(INDIRECT(_xlpm.x)) &lt;2), "x",_xlpm.x),"x"),
_xlpm.y)</f>
        <v>x</v>
      </c>
      <c r="AK273" s="31" t="str" cm="1">
        <f t="array" aca="1" ref="AK273" ca="1">_xlfn.LET(
_xlpm.x, IF(P$259&gt;$G273,"x",IFERROR(SUBSTITUTE(CELL("adres",OFFSET(INDIRECT(P273),,IF(LEFT(P273)="V",-1,1)*($G273-P$259),1,1)),"$",""),"x")),
_xlpm.y, IFERROR(IF(OR(COLUMN(INDIRECT(_xlpm.x))&gt;21, COLUMN(INDIRECT(_xlpm.x)) &lt;2), "x",_xlpm.x),"x"),
_xlpm.y)</f>
        <v>x</v>
      </c>
      <c r="AL273" s="31" t="str" cm="1">
        <f t="array" aca="1" ref="AL273" ca="1">_xlfn.LET(
_xlpm.x, IF(Q$259&gt;$G273,"x",IFERROR(SUBSTITUTE(CELL("adres",OFFSET(INDIRECT(Q273),,IF(LEFT(Q273)="V",-1,1)*($G273-Q$259),1,1)),"$",""),"x")),
_xlpm.y, IFERROR(IF(OR(COLUMN(INDIRECT(_xlpm.x))&gt;21, COLUMN(INDIRECT(_xlpm.x)) &lt;2), "x",_xlpm.x),"x"),
_xlpm.y)</f>
        <v>x</v>
      </c>
      <c r="AM273" s="31" t="str" cm="1">
        <f t="array" aca="1" ref="AM273" ca="1">_xlfn.LET(
_xlpm.x, IF(R$259&gt;$G273,"x",IFERROR(SUBSTITUTE(CELL("adres",OFFSET(INDIRECT(R273),,IF(LEFT(R273)="V",-1,1)*($G273-R$259),1,1)),"$",""),"x")),
_xlpm.y, IFERROR(IF(OR(COLUMN(INDIRECT(_xlpm.x))&gt;21, COLUMN(INDIRECT(_xlpm.x)) &lt;2), "x",_xlpm.x),"x"),
_xlpm.y)</f>
        <v>x</v>
      </c>
      <c r="AN273" s="31" t="str" cm="1">
        <f t="array" aca="1" ref="AN273" ca="1">_xlfn.LET(
_xlpm.x, IF(S$259&gt;$G273,"x",IFERROR(SUBSTITUTE(CELL("adres",OFFSET(INDIRECT(S273),,IF(LEFT(S273)="V",-1,1)*($G273-S$259),1,1)),"$",""),"x")),
_xlpm.y, IFERROR(IF(OR(COLUMN(INDIRECT(_xlpm.x))&gt;21, COLUMN(INDIRECT(_xlpm.x)) &lt;2), "x",_xlpm.x),"x"),
_xlpm.y)</f>
        <v>x</v>
      </c>
      <c r="AO273" s="31" t="str" cm="1">
        <f t="array" aca="1" ref="AO273" ca="1">_xlfn.LET(
_xlpm.x, IF(T$259&gt;$G273,"x",IFERROR(SUBSTITUTE(CELL("adres",OFFSET(INDIRECT(T273),,IF(LEFT(T273)="V",-1,1)*($G273-T$259),1,1)),"$",""),"x")),
_xlpm.y, IFERROR(IF(OR(COLUMN(INDIRECT(_xlpm.x))&gt;21, COLUMN(INDIRECT(_xlpm.x)) &lt;2), "x",_xlpm.x),"x"),
_xlpm.y)</f>
        <v>x</v>
      </c>
      <c r="AP273" s="31" t="str" cm="1">
        <f t="array" aca="1" ref="AP273" ca="1">_xlfn.LET(
_xlpm.x, IF(U$259&gt;$G273,"x",IFERROR(SUBSTITUTE(CELL("adres",OFFSET(INDIRECT(U273),,IF(LEFT(U273)="V",-1,1)*($G273-U$259),1,1)),"$",""),"x")),
_xlpm.y, IFERROR(IF(OR(COLUMN(INDIRECT(_xlpm.x))&gt;21, COLUMN(INDIRECT(_xlpm.x)) &lt;2), "x",_xlpm.x),"x"),
_xlpm.y)</f>
        <v>x</v>
      </c>
      <c r="AQ273" s="31" t="str" cm="1">
        <f t="array" aca="1" ref="AQ273" ca="1">_xlfn.LET(
_xlpm.x, IF(V$259&gt;$G273,"x",IFERROR(SUBSTITUTE(CELL("adres",OFFSET(INDIRECT(V273),,IF(LEFT(V273)="V",-1,1)*($G273-V$259),1,1)),"$",""),"x")),
_xlpm.y, IFERROR(IF(OR(COLUMN(INDIRECT(_xlpm.x))&gt;21, COLUMN(INDIRECT(_xlpm.x)) &lt;2), "x",_xlpm.x),"x"),
_xlpm.y)</f>
        <v>U6</v>
      </c>
      <c r="AR273" s="31" t="str" cm="1">
        <f t="array" aca="1" ref="AR273" ca="1">_xlfn.LET(
_xlpm.x, IF(W$259&gt;$G273,"x",IFERROR(SUBSTITUTE(CELL("adres",OFFSET(INDIRECT(W273),,IF(LEFT(W273)="V",-1,1)*($G273-W$259),1,1)),"$",""),"x")),
_xlpm.y, IFERROR(IF(OR(COLUMN(INDIRECT(_xlpm.x))&gt;21, COLUMN(INDIRECT(_xlpm.x)) &lt;2), "x",_xlpm.x),"x"),
_xlpm.y)</f>
        <v>C23</v>
      </c>
      <c r="AS273" s="31" t="str" cm="1">
        <f t="array" aca="1" ref="AS273" ca="1">_xlfn.LET(
_xlpm.x, IF(X$259&gt;$G273,"x",IFERROR(SUBSTITUTE(CELL("adres",OFFSET(INDIRECT(X273),,IF(LEFT(X273)="V",-1,1)*($G273-X$259),1,1)),"$",""),"x")),
_xlpm.y, IFERROR(IF(OR(COLUMN(INDIRECT(_xlpm.x))&gt;21, COLUMN(INDIRECT(_xlpm.x)) &lt;2), "x",_xlpm.x),"x"),
_xlpm.y)</f>
        <v>D21</v>
      </c>
      <c r="AT273" s="31" t="str" cm="1">
        <f t="array" aca="1" ref="AT273" ca="1">_xlfn.LET(
_xlpm.x, IF(Y$259&gt;$G273,"x",IFERROR(SUBSTITUTE(CELL("adres",OFFSET(INDIRECT(Y273),,IF(LEFT(Y273)="V",-1,1)*($G273-Y$259),1,1)),"$",""),"x")),
_xlpm.y, IFERROR(IF(OR(COLUMN(INDIRECT(_xlpm.x))&gt;21, COLUMN(INDIRECT(_xlpm.x)) &lt;2), "x",_xlpm.x),"x"),
_xlpm.y)</f>
        <v>E6</v>
      </c>
      <c r="AU273" s="31" t="str" cm="1">
        <f t="array" aca="1" ref="AU273" ca="1">_xlfn.LET(
_xlpm.x, IF(Z$259&gt;$G273,"x",IFERROR(SUBSTITUTE(CELL("adres",OFFSET(INDIRECT(Z273),,IF(LEFT(Z273)="V",-1,1)*($G273-Z$259),1,1)),"$",""),"x")),
_xlpm.y, IFERROR(IF(OR(COLUMN(INDIRECT(_xlpm.x))&gt;21, COLUMN(INDIRECT(_xlpm.x)) &lt;2), "x",_xlpm.x),"x"),
_xlpm.y)</f>
        <v>F17</v>
      </c>
      <c r="AV273" s="31" t="str" cm="1">
        <f t="array" aca="1" ref="AV273" ca="1">_xlfn.LET(
_xlpm.x, IF(AA$259&gt;$G273,"x",IFERROR(SUBSTITUTE(CELL("adres",OFFSET(INDIRECT(AA273),,IF(LEFT(AA273)="V",-1,1)*($G273-AA$259),1,1)),"$",""),"x")),
_xlpm.y, IFERROR(IF(OR(COLUMN(INDIRECT(_xlpm.x))&gt;21, COLUMN(INDIRECT(_xlpm.x)) &lt;2), "x",_xlpm.x),"x"),
_xlpm.y)</f>
        <v>P4</v>
      </c>
      <c r="AW273" s="31" t="str" cm="1">
        <f t="array" aca="1" ref="AW273" ca="1">_xlfn.LET(
_xlpm.x, IF(AB$259&gt;$G273,"x",IFERROR(SUBSTITUTE(CELL("adres",OFFSET(INDIRECT(AB273),,IF(LEFT(AB273)="V",-1,1)*($G273-AB$259),1,1)),"$",""),"x")),
_xlpm.y, IFERROR(IF(OR(COLUMN(INDIRECT(_xlpm.x))&gt;21, COLUMN(INDIRECT(_xlpm.x)) &lt;2), "x",_xlpm.x),"x"),
_xlpm.y)</f>
        <v>H20</v>
      </c>
      <c r="AX273" s="23" t="e" cm="1">
        <f t="array" aca="1" ref="AX273" ca="1">ROW(INDIRECT(AD273))</f>
        <v>#REF!</v>
      </c>
      <c r="AY273" s="23" cm="1">
        <f t="array" aca="1" ref="AY273" ca="1">ROW(INDIRECT(H273))</f>
        <v>24</v>
      </c>
      <c r="AZ273" s="23" t="e">
        <f t="shared" ca="1" si="12"/>
        <v>#REF!</v>
      </c>
      <c r="BA273" s="23" t="e" cm="1">
        <f t="array" aca="1" ref="BA273" ca="1">COLUMN(INDIRECT(AD273))</f>
        <v>#REF!</v>
      </c>
      <c r="BB273" s="23" cm="1">
        <f t="array" aca="1" ref="BB273" ca="1">COLUMN(INDIRECT(H273))</f>
        <v>4</v>
      </c>
      <c r="BC273" s="23" t="e">
        <f t="shared" ca="1" si="13"/>
        <v>#REF!</v>
      </c>
      <c r="BE273" s="23">
        <f t="shared" ca="1" si="14"/>
        <v>1000</v>
      </c>
      <c r="BH273" s="23">
        <v>1000</v>
      </c>
      <c r="BI273" s="23">
        <v>1000</v>
      </c>
      <c r="BJ273" s="23">
        <v>1000</v>
      </c>
      <c r="BK273" s="23">
        <v>1000</v>
      </c>
      <c r="BL273" s="23">
        <v>1000</v>
      </c>
      <c r="BM273" s="23">
        <v>1000</v>
      </c>
      <c r="BN273" s="23">
        <v>1000</v>
      </c>
      <c r="BO273" s="23">
        <v>1000</v>
      </c>
      <c r="BP273" s="23">
        <v>1000</v>
      </c>
      <c r="BQ273" s="23">
        <v>1000</v>
      </c>
      <c r="BR273" s="23">
        <v>1000</v>
      </c>
      <c r="BS273" s="23">
        <v>1000</v>
      </c>
      <c r="BT273" s="23">
        <v>1000</v>
      </c>
      <c r="BU273" s="23">
        <v>18</v>
      </c>
      <c r="BV273" s="23">
        <v>1</v>
      </c>
      <c r="BW273" s="23">
        <v>3</v>
      </c>
      <c r="BX273" s="23">
        <v>18</v>
      </c>
      <c r="BY273" s="23">
        <v>7</v>
      </c>
      <c r="BZ273" s="23">
        <v>20</v>
      </c>
      <c r="CA273" s="23">
        <v>4</v>
      </c>
      <c r="CC273" s="23">
        <f t="shared" si="15"/>
        <v>1</v>
      </c>
      <c r="CD273" s="23">
        <f t="shared" si="16"/>
        <v>1</v>
      </c>
      <c r="CE273" s="23">
        <f t="shared" si="17"/>
        <v>15</v>
      </c>
      <c r="CF273" s="23" t="str" cm="1">
        <f t="array" aca="1" ref="CF273" ca="1">INDEX(AD273:AW273,1,CE273)</f>
        <v>C23</v>
      </c>
      <c r="CI273" s="23" t="b">
        <f ca="1"/>
        <v>0</v>
      </c>
      <c r="CJ273" s="23" t="b">
        <f ca="1"/>
        <v>0</v>
      </c>
      <c r="CK273" s="23" t="b">
        <f ca="1"/>
        <v>0</v>
      </c>
      <c r="CL273" s="23" t="b">
        <f ca="1"/>
        <v>0</v>
      </c>
      <c r="CM273" s="23" t="b">
        <f ca="1"/>
        <v>0</v>
      </c>
      <c r="CN273" s="23" t="b">
        <f ca="1"/>
        <v>0</v>
      </c>
      <c r="CO273" s="23" t="b">
        <f ca="1"/>
        <v>0</v>
      </c>
      <c r="CP273" s="23" t="b">
        <f ca="1"/>
        <v>0</v>
      </c>
      <c r="CQ273" s="23" t="b">
        <f ca="1"/>
        <v>0</v>
      </c>
      <c r="CR273" s="23" t="b">
        <f ca="1"/>
        <v>0</v>
      </c>
      <c r="CS273" s="23" t="b">
        <f ca="1"/>
        <v>0</v>
      </c>
      <c r="CT273" s="23" t="b">
        <f ca="1"/>
        <v>0</v>
      </c>
      <c r="CU273" s="23" t="b">
        <f ca="1"/>
        <v>0</v>
      </c>
      <c r="CV273" s="23" t="b">
        <f ca="1"/>
        <v>0</v>
      </c>
      <c r="CW273" s="23" t="b">
        <f ca="1"/>
        <v>0</v>
      </c>
      <c r="CX273" s="23" t="b">
        <f ca="1"/>
        <v>0</v>
      </c>
      <c r="CY273" s="23" t="b">
        <f ca="1"/>
        <v>0</v>
      </c>
      <c r="CZ273" s="23" t="b">
        <f ca="1"/>
        <v>0</v>
      </c>
      <c r="DA273" s="23" t="b">
        <f ca="1"/>
        <v>0</v>
      </c>
      <c r="DB273" s="23" t="b">
        <f ca="1"/>
        <v>0</v>
      </c>
    </row>
    <row r="274" spans="2:106" ht="22.5" customHeight="1">
      <c r="B274" s="32">
        <f t="shared" si="18"/>
        <v>111</v>
      </c>
      <c r="C274" s="32">
        <v>6</v>
      </c>
      <c r="D274" s="30">
        <v>10</v>
      </c>
      <c r="E274" s="34" t="str">
        <f ca="1"/>
        <v>F17</v>
      </c>
      <c r="F274" s="103"/>
      <c r="G274" s="33">
        <v>34</v>
      </c>
      <c r="H274" s="33" t="s">
        <v>246</v>
      </c>
      <c r="I274" s="33" t="s">
        <v>65</v>
      </c>
      <c r="J274" s="33" t="s">
        <v>63</v>
      </c>
      <c r="K274" s="33" t="s">
        <v>55</v>
      </c>
      <c r="L274" s="33" t="s">
        <v>61</v>
      </c>
      <c r="M274" s="33" t="s">
        <v>82</v>
      </c>
      <c r="N274" s="33" t="s">
        <v>110</v>
      </c>
      <c r="O274" s="33" t="s">
        <v>178</v>
      </c>
      <c r="P274" s="33" t="s">
        <v>178</v>
      </c>
      <c r="Q274" s="33" t="s">
        <v>178</v>
      </c>
      <c r="R274" s="33" t="s">
        <v>178</v>
      </c>
      <c r="S274" s="33" t="s">
        <v>109</v>
      </c>
      <c r="T274" s="33" t="s">
        <v>58</v>
      </c>
      <c r="U274" s="33" t="s">
        <v>110</v>
      </c>
      <c r="V274" s="33" t="s">
        <v>137</v>
      </c>
      <c r="W274" s="33" t="s">
        <v>114</v>
      </c>
      <c r="X274" s="33" t="s">
        <v>110</v>
      </c>
      <c r="Y274" s="33" t="s">
        <v>181</v>
      </c>
      <c r="Z274" s="33" t="s">
        <v>50</v>
      </c>
      <c r="AA274" s="33" t="s">
        <v>86</v>
      </c>
      <c r="AB274" s="33" t="s">
        <v>92</v>
      </c>
      <c r="AC274" s="115"/>
      <c r="AD274" s="31" t="str" cm="1">
        <f t="array" aca="1" ref="AD274" ca="1">_xlfn.LET(
_xlpm.x, IF(I$259&gt;$G274,"x",IFERROR(SUBSTITUTE(CELL("adres",OFFSET(INDIRECT(I274),,IF(LEFT(I274)="V",-1,1)*($G274-I$259),1,1)),"$",""),"x")),
_xlpm.y, IFERROR(IF(OR(COLUMN(INDIRECT(_xlpm.x))&gt;21, COLUMN(INDIRECT(_xlpm.x)) &lt;2), "x",_xlpm.x),"x"),
_xlpm.y)</f>
        <v>x</v>
      </c>
      <c r="AE274" s="31" t="str" cm="1">
        <f t="array" aca="1" ref="AE274" ca="1">_xlfn.LET(
_xlpm.x, IF(J$259&gt;$G274,"x",IFERROR(SUBSTITUTE(CELL("adres",OFFSET(INDIRECT(J274),,IF(LEFT(J274)="V",-1,1)*($G274-J$259),1,1)),"$",""),"x")),
_xlpm.y, IFERROR(IF(OR(COLUMN(INDIRECT(_xlpm.x))&gt;21, COLUMN(INDIRECT(_xlpm.x)) &lt;2), "x",_xlpm.x),"x"),
_xlpm.y)</f>
        <v>x</v>
      </c>
      <c r="AF274" s="31" t="str" cm="1">
        <f t="array" aca="1" ref="AF274" ca="1">_xlfn.LET(
_xlpm.x, IF(K$259&gt;$G274,"x",IFERROR(SUBSTITUTE(CELL("adres",OFFSET(INDIRECT(K274),,IF(LEFT(K274)="V",-1,1)*($G274-K$259),1,1)),"$",""),"x")),
_xlpm.y, IFERROR(IF(OR(COLUMN(INDIRECT(_xlpm.x))&gt;21, COLUMN(INDIRECT(_xlpm.x)) &lt;2), "x",_xlpm.x),"x"),
_xlpm.y)</f>
        <v>x</v>
      </c>
      <c r="AG274" s="31" t="str" cm="1">
        <f t="array" aca="1" ref="AG274" ca="1">_xlfn.LET(
_xlpm.x, IF(L$259&gt;$G274,"x",IFERROR(SUBSTITUTE(CELL("adres",OFFSET(INDIRECT(L274),,IF(LEFT(L274)="V",-1,1)*($G274-L$259),1,1)),"$",""),"x")),
_xlpm.y, IFERROR(IF(OR(COLUMN(INDIRECT(_xlpm.x))&gt;21, COLUMN(INDIRECT(_xlpm.x)) &lt;2), "x",_xlpm.x),"x"),
_xlpm.y)</f>
        <v>x</v>
      </c>
      <c r="AH274" s="31" t="str" cm="1">
        <f t="array" aca="1" ref="AH274" ca="1">_xlfn.LET(
_xlpm.x, IF(M$259&gt;$G274,"x",IFERROR(SUBSTITUTE(CELL("adres",OFFSET(INDIRECT(M274),,IF(LEFT(M274)="V",-1,1)*($G274-M$259),1,1)),"$",""),"x")),
_xlpm.y, IFERROR(IF(OR(COLUMN(INDIRECT(_xlpm.x))&gt;21, COLUMN(INDIRECT(_xlpm.x)) &lt;2), "x",_xlpm.x),"x"),
_xlpm.y)</f>
        <v>x</v>
      </c>
      <c r="AI274" s="31" t="str" cm="1">
        <f t="array" aca="1" ref="AI274" ca="1">_xlfn.LET(
_xlpm.x, IF(N$259&gt;$G274,"x",IFERROR(SUBSTITUTE(CELL("adres",OFFSET(INDIRECT(N274),,IF(LEFT(N274)="V",-1,1)*($G274-N$259),1,1)),"$",""),"x")),
_xlpm.y, IFERROR(IF(OR(COLUMN(INDIRECT(_xlpm.x))&gt;21, COLUMN(INDIRECT(_xlpm.x)) &lt;2), "x",_xlpm.x),"x"),
_xlpm.y)</f>
        <v>x</v>
      </c>
      <c r="AJ274" s="31" t="str" cm="1">
        <f t="array" aca="1" ref="AJ274" ca="1">_xlfn.LET(
_xlpm.x, IF(O$259&gt;$G274,"x",IFERROR(SUBSTITUTE(CELL("adres",OFFSET(INDIRECT(O274),,IF(LEFT(O274)="V",-1,1)*($G274-O$259),1,1)),"$",""),"x")),
_xlpm.y, IFERROR(IF(OR(COLUMN(INDIRECT(_xlpm.x))&gt;21, COLUMN(INDIRECT(_xlpm.x)) &lt;2), "x",_xlpm.x),"x"),
_xlpm.y)</f>
        <v>x</v>
      </c>
      <c r="AK274" s="31" t="str" cm="1">
        <f t="array" aca="1" ref="AK274" ca="1">_xlfn.LET(
_xlpm.x, IF(P$259&gt;$G274,"x",IFERROR(SUBSTITUTE(CELL("adres",OFFSET(INDIRECT(P274),,IF(LEFT(P274)="V",-1,1)*($G274-P$259),1,1)),"$",""),"x")),
_xlpm.y, IFERROR(IF(OR(COLUMN(INDIRECT(_xlpm.x))&gt;21, COLUMN(INDIRECT(_xlpm.x)) &lt;2), "x",_xlpm.x),"x"),
_xlpm.y)</f>
        <v>x</v>
      </c>
      <c r="AL274" s="31" t="str" cm="1">
        <f t="array" aca="1" ref="AL274" ca="1">_xlfn.LET(
_xlpm.x, IF(Q$259&gt;$G274,"x",IFERROR(SUBSTITUTE(CELL("adres",OFFSET(INDIRECT(Q274),,IF(LEFT(Q274)="V",-1,1)*($G274-Q$259),1,1)),"$",""),"x")),
_xlpm.y, IFERROR(IF(OR(COLUMN(INDIRECT(_xlpm.x))&gt;21, COLUMN(INDIRECT(_xlpm.x)) &lt;2), "x",_xlpm.x),"x"),
_xlpm.y)</f>
        <v>x</v>
      </c>
      <c r="AM274" s="31" t="str" cm="1">
        <f t="array" aca="1" ref="AM274" ca="1">_xlfn.LET(
_xlpm.x, IF(R$259&gt;$G274,"x",IFERROR(SUBSTITUTE(CELL("adres",OFFSET(INDIRECT(R274),,IF(LEFT(R274)="V",-1,1)*($G274-R$259),1,1)),"$",""),"x")),
_xlpm.y, IFERROR(IF(OR(COLUMN(INDIRECT(_xlpm.x))&gt;21, COLUMN(INDIRECT(_xlpm.x)) &lt;2), "x",_xlpm.x),"x"),
_xlpm.y)</f>
        <v>x</v>
      </c>
      <c r="AN274" s="31" t="str" cm="1">
        <f t="array" aca="1" ref="AN274" ca="1">_xlfn.LET(
_xlpm.x, IF(S$259&gt;$G274,"x",IFERROR(SUBSTITUTE(CELL("adres",OFFSET(INDIRECT(S274),,IF(LEFT(S274)="V",-1,1)*($G274-S$259),1,1)),"$",""),"x")),
_xlpm.y, IFERROR(IF(OR(COLUMN(INDIRECT(_xlpm.x))&gt;21, COLUMN(INDIRECT(_xlpm.x)) &lt;2), "x",_xlpm.x),"x"),
_xlpm.y)</f>
        <v>x</v>
      </c>
      <c r="AO274" s="31" t="str" cm="1">
        <f t="array" aca="1" ref="AO274" ca="1">_xlfn.LET(
_xlpm.x, IF(T$259&gt;$G274,"x",IFERROR(SUBSTITUTE(CELL("adres",OFFSET(INDIRECT(T274),,IF(LEFT(T274)="V",-1,1)*($G274-T$259),1,1)),"$",""),"x")),
_xlpm.y, IFERROR(IF(OR(COLUMN(INDIRECT(_xlpm.x))&gt;21, COLUMN(INDIRECT(_xlpm.x)) &lt;2), "x",_xlpm.x),"x"),
_xlpm.y)</f>
        <v>x</v>
      </c>
      <c r="AP274" s="31" t="str" cm="1">
        <f t="array" aca="1" ref="AP274" ca="1">_xlfn.LET(
_xlpm.x, IF(U$259&gt;$G274,"x",IFERROR(SUBSTITUTE(CELL("adres",OFFSET(INDIRECT(U274),,IF(LEFT(U274)="V",-1,1)*($G274-U$259),1,1)),"$",""),"x")),
_xlpm.y, IFERROR(IF(OR(COLUMN(INDIRECT(_xlpm.x))&gt;21, COLUMN(INDIRECT(_xlpm.x)) &lt;2), "x",_xlpm.x),"x"),
_xlpm.y)</f>
        <v>x</v>
      </c>
      <c r="AQ274" s="31" t="str" cm="1">
        <f t="array" aca="1" ref="AQ274" ca="1">_xlfn.LET(
_xlpm.x, IF(V$259&gt;$G274,"x",IFERROR(SUBSTITUTE(CELL("adres",OFFSET(INDIRECT(V274),,IF(LEFT(V274)="V",-1,1)*($G274-V$259),1,1)),"$",""),"x")),
_xlpm.y, IFERROR(IF(OR(COLUMN(INDIRECT(_xlpm.x))&gt;21, COLUMN(INDIRECT(_xlpm.x)) &lt;2), "x",_xlpm.x),"x"),
_xlpm.y)</f>
        <v>x</v>
      </c>
      <c r="AR274" s="31" t="str" cm="1">
        <f t="array" aca="1" ref="AR274" ca="1">_xlfn.LET(
_xlpm.x, IF(W$259&gt;$G274,"x",IFERROR(SUBSTITUTE(CELL("adres",OFFSET(INDIRECT(W274),,IF(LEFT(W274)="V",-1,1)*($G274-W$259),1,1)),"$",""),"x")),
_xlpm.y, IFERROR(IF(OR(COLUMN(INDIRECT(_xlpm.x))&gt;21, COLUMN(INDIRECT(_xlpm.x)) &lt;2), "x",_xlpm.x),"x"),
_xlpm.y)</f>
        <v>B13</v>
      </c>
      <c r="AS274" s="31" t="str" cm="1">
        <f t="array" aca="1" ref="AS274" ca="1">_xlfn.LET(
_xlpm.x, IF(X$259&gt;$G274,"x",IFERROR(SUBSTITUTE(CELL("adres",OFFSET(INDIRECT(X274),,IF(LEFT(X274)="V",-1,1)*($G274-X$259),1,1)),"$",""),"x")),
_xlpm.y, IFERROR(IF(OR(COLUMN(INDIRECT(_xlpm.x))&gt;21, COLUMN(INDIRECT(_xlpm.x)) &lt;2), "x",_xlpm.x),"x"),
_xlpm.y)</f>
        <v>T11</v>
      </c>
      <c r="AT274" s="31" t="str" cm="1">
        <f t="array" aca="1" ref="AT274" ca="1">_xlfn.LET(
_xlpm.x, IF(Y$259&gt;$G274,"x",IFERROR(SUBSTITUTE(CELL("adres",OFFSET(INDIRECT(Y274),,IF(LEFT(Y274)="V",-1,1)*($G274-Y$259),1,1)),"$",""),"x")),
_xlpm.y, IFERROR(IF(OR(COLUMN(INDIRECT(_xlpm.x))&gt;21, COLUMN(INDIRECT(_xlpm.x)) &lt;2), "x",_xlpm.x),"x"),
_xlpm.y)</f>
        <v>D14</v>
      </c>
      <c r="AU274" s="31" t="str" cm="1">
        <f t="array" aca="1" ref="AU274" ca="1">_xlfn.LET(
_xlpm.x, IF(Z$259&gt;$G274,"x",IFERROR(SUBSTITUTE(CELL("adres",OFFSET(INDIRECT(Z274),,IF(LEFT(Z274)="V",-1,1)*($G274-Z$259),1,1)),"$",""),"x")),
_xlpm.y, IFERROR(IF(OR(COLUMN(INDIRECT(_xlpm.x))&gt;21, COLUMN(INDIRECT(_xlpm.x)) &lt;2), "x",_xlpm.x),"x"),
_xlpm.y)</f>
        <v>R13</v>
      </c>
      <c r="AV274" s="31" t="str" cm="1">
        <f t="array" aca="1" ref="AV274" ca="1">_xlfn.LET(
_xlpm.x, IF(AA$259&gt;$G274,"x",IFERROR(SUBSTITUTE(CELL("adres",OFFSET(INDIRECT(AA274),,IF(LEFT(AA274)="V",-1,1)*($G274-AA$259),1,1)),"$",""),"x")),
_xlpm.y, IFERROR(IF(OR(COLUMN(INDIRECT(_xlpm.x))&gt;21, COLUMN(INDIRECT(_xlpm.x)) &lt;2), "x",_xlpm.x),"x"),
_xlpm.y)</f>
        <v>F17</v>
      </c>
      <c r="AW274" s="31" t="str" cm="1">
        <f t="array" aca="1" ref="AW274" ca="1">_xlfn.LET(
_xlpm.x, IF(AB$259&gt;$G274,"x",IFERROR(SUBSTITUTE(CELL("adres",OFFSET(INDIRECT(AB274),,IF(LEFT(AB274)="V",-1,1)*($G274-AB$259),1,1)),"$",""),"x")),
_xlpm.y, IFERROR(IF(OR(COLUMN(INDIRECT(_xlpm.x))&gt;21, COLUMN(INDIRECT(_xlpm.x)) &lt;2), "x",_xlpm.x),"x"),
_xlpm.y)</f>
        <v>G5</v>
      </c>
      <c r="AX274" s="23" t="e" cm="1">
        <f t="array" aca="1" ref="AX274" ca="1">ROW(INDIRECT(AD274))</f>
        <v>#REF!</v>
      </c>
      <c r="AY274" s="23" cm="1">
        <f t="array" aca="1" ref="AY274" ca="1">ROW(INDIRECT(H274))</f>
        <v>14</v>
      </c>
      <c r="AZ274" s="23" t="e">
        <f t="shared" ca="1" si="12"/>
        <v>#REF!</v>
      </c>
      <c r="BA274" s="23" t="e" cm="1">
        <f t="array" aca="1" ref="BA274" ca="1">COLUMN(INDIRECT(AD274))</f>
        <v>#REF!</v>
      </c>
      <c r="BB274" s="23" cm="1">
        <f t="array" aca="1" ref="BB274" ca="1">COLUMN(INDIRECT(H274))</f>
        <v>11</v>
      </c>
      <c r="BC274" s="23" t="e">
        <f t="shared" ca="1" si="13"/>
        <v>#REF!</v>
      </c>
      <c r="BE274" s="23">
        <f t="shared" ca="1" si="14"/>
        <v>1000</v>
      </c>
      <c r="BH274" s="23">
        <v>1000</v>
      </c>
      <c r="BI274" s="23">
        <v>1000</v>
      </c>
      <c r="BJ274" s="23">
        <v>1000</v>
      </c>
      <c r="BK274" s="23">
        <v>1000</v>
      </c>
      <c r="BL274" s="23">
        <v>1000</v>
      </c>
      <c r="BM274" s="23">
        <v>1000</v>
      </c>
      <c r="BN274" s="23">
        <v>1000</v>
      </c>
      <c r="BO274" s="23">
        <v>1000</v>
      </c>
      <c r="BP274" s="23">
        <v>1000</v>
      </c>
      <c r="BQ274" s="23">
        <v>1000</v>
      </c>
      <c r="BR274" s="23">
        <v>1000</v>
      </c>
      <c r="BS274" s="23">
        <v>1000</v>
      </c>
      <c r="BT274" s="23">
        <v>1000</v>
      </c>
      <c r="BU274" s="23">
        <v>1000</v>
      </c>
      <c r="BV274" s="23">
        <v>9</v>
      </c>
      <c r="BW274" s="23">
        <v>9</v>
      </c>
      <c r="BX274" s="23">
        <v>7</v>
      </c>
      <c r="BY274" s="23">
        <v>7</v>
      </c>
      <c r="BZ274" s="23">
        <v>5</v>
      </c>
      <c r="CA274" s="23">
        <v>9</v>
      </c>
      <c r="CC274" s="23">
        <f t="shared" si="15"/>
        <v>5</v>
      </c>
      <c r="CD274" s="23">
        <f t="shared" si="16"/>
        <v>1</v>
      </c>
      <c r="CE274" s="23">
        <f t="shared" si="17"/>
        <v>19</v>
      </c>
      <c r="CF274" s="23" t="str" cm="1">
        <f t="array" aca="1" ref="CF274" ca="1">INDEX(AD274:AW274,1,CE274)</f>
        <v>F17</v>
      </c>
      <c r="CI274" s="23" t="b">
        <f ca="1"/>
        <v>0</v>
      </c>
      <c r="CJ274" s="23" t="b">
        <f ca="1"/>
        <v>0</v>
      </c>
      <c r="CK274" s="23" t="b">
        <f ca="1"/>
        <v>0</v>
      </c>
      <c r="CL274" s="23" t="b">
        <f ca="1"/>
        <v>0</v>
      </c>
      <c r="CM274" s="23" t="b">
        <f ca="1"/>
        <v>0</v>
      </c>
      <c r="CN274" s="23" t="b">
        <f ca="1"/>
        <v>0</v>
      </c>
      <c r="CO274" s="23" t="b">
        <f ca="1"/>
        <v>0</v>
      </c>
      <c r="CP274" s="23" t="b">
        <f ca="1"/>
        <v>0</v>
      </c>
      <c r="CQ274" s="23" t="b">
        <f ca="1"/>
        <v>0</v>
      </c>
      <c r="CR274" s="23" t="b">
        <f ca="1"/>
        <v>0</v>
      </c>
      <c r="CS274" s="23" t="b">
        <f ca="1"/>
        <v>0</v>
      </c>
      <c r="CT274" s="23" t="b">
        <f ca="1"/>
        <v>0</v>
      </c>
      <c r="CU274" s="23" t="b">
        <f ca="1"/>
        <v>0</v>
      </c>
      <c r="CV274" s="23" t="b">
        <f ca="1"/>
        <v>0</v>
      </c>
      <c r="CW274" s="23" t="b">
        <f ca="1"/>
        <v>0</v>
      </c>
      <c r="CX274" s="23" t="b">
        <f ca="1"/>
        <v>0</v>
      </c>
      <c r="CY274" s="23" t="b">
        <f ca="1"/>
        <v>0</v>
      </c>
      <c r="CZ274" s="23" t="b">
        <f ca="1"/>
        <v>0</v>
      </c>
      <c r="DA274" s="23" t="b">
        <f ca="1"/>
        <v>0</v>
      </c>
      <c r="DB274" s="23" t="b">
        <f ca="1"/>
        <v>0</v>
      </c>
    </row>
    <row r="275" spans="2:106" ht="22.5" customHeight="1">
      <c r="B275" s="32">
        <f t="shared" si="18"/>
        <v>112</v>
      </c>
      <c r="C275" s="32">
        <v>6</v>
      </c>
      <c r="D275" s="30">
        <v>10</v>
      </c>
      <c r="E275" s="34" t="str">
        <f ca="1"/>
        <v>O15</v>
      </c>
      <c r="F275" s="103"/>
      <c r="G275" s="33">
        <v>20</v>
      </c>
      <c r="H275" s="33" t="s">
        <v>247</v>
      </c>
      <c r="I275" s="33" t="s">
        <v>114</v>
      </c>
      <c r="J275" s="33" t="s">
        <v>81</v>
      </c>
      <c r="K275" s="33" t="s">
        <v>178</v>
      </c>
      <c r="L275" s="33" t="s">
        <v>184</v>
      </c>
      <c r="M275" s="33" t="s">
        <v>83</v>
      </c>
      <c r="N275" s="33" t="s">
        <v>54</v>
      </c>
      <c r="O275" s="33" t="s">
        <v>60</v>
      </c>
      <c r="P275" s="33" t="s">
        <v>181</v>
      </c>
      <c r="Q275" s="33" t="s">
        <v>137</v>
      </c>
      <c r="R275" s="33" t="s">
        <v>85</v>
      </c>
      <c r="S275" s="33" t="s">
        <v>62</v>
      </c>
      <c r="T275" s="33" t="s">
        <v>88</v>
      </c>
      <c r="U275" s="33" t="s">
        <v>89</v>
      </c>
      <c r="V275" s="33" t="s">
        <v>186</v>
      </c>
      <c r="W275" s="33" t="s">
        <v>89</v>
      </c>
      <c r="X275" s="33" t="s">
        <v>113</v>
      </c>
      <c r="Y275" s="33" t="s">
        <v>144</v>
      </c>
      <c r="Z275" s="33" t="s">
        <v>109</v>
      </c>
      <c r="AA275" s="33" t="s">
        <v>62</v>
      </c>
      <c r="AB275" s="33" t="s">
        <v>93</v>
      </c>
      <c r="AC275" s="115"/>
      <c r="AD275" s="31" t="str" cm="1">
        <f t="array" aca="1" ref="AD275" ca="1">_xlfn.LET(
_xlpm.x, IF(I$259&gt;$G275,"x",IFERROR(SUBSTITUTE(CELL("adres",OFFSET(INDIRECT(I275),,IF(LEFT(I275)="V",-1,1)*($G275-I$259),1,1)),"$",""),"x")),
_xlpm.y, IFERROR(IF(OR(COLUMN(INDIRECT(_xlpm.x))&gt;21, COLUMN(INDIRECT(_xlpm.x)) &lt;2), "x",_xlpm.x),"x"),
_xlpm.y)</f>
        <v>B13</v>
      </c>
      <c r="AE275" s="31" t="str" cm="1">
        <f t="array" aca="1" ref="AE275" ca="1">_xlfn.LET(
_xlpm.x, IF(J$259&gt;$G275,"x",IFERROR(SUBSTITUTE(CELL("adres",OFFSET(INDIRECT(J275),,IF(LEFT(J275)="V",-1,1)*($G275-J$259),1,1)),"$",""),"x")),
_xlpm.y, IFERROR(IF(OR(COLUMN(INDIRECT(_xlpm.x))&gt;21, COLUMN(INDIRECT(_xlpm.x)) &lt;2), "x",_xlpm.x),"x"),
_xlpm.y)</f>
        <v>C12</v>
      </c>
      <c r="AF275" s="31" t="str" cm="1">
        <f t="array" aca="1" ref="AF275" ca="1">_xlfn.LET(
_xlpm.x, IF(K$259&gt;$G275,"x",IFERROR(SUBSTITUTE(CELL("adres",OFFSET(INDIRECT(K275),,IF(LEFT(K275)="V",-1,1)*($G275-K$259),1,1)),"$",""),"x")),
_xlpm.y, IFERROR(IF(OR(COLUMN(INDIRECT(_xlpm.x))&gt;21, COLUMN(INDIRECT(_xlpm.x)) &lt;2), "x",_xlpm.x),"x"),
_xlpm.y)</f>
        <v>S15</v>
      </c>
      <c r="AG275" s="31" t="str" cm="1">
        <f t="array" aca="1" ref="AG275" ca="1">_xlfn.LET(
_xlpm.x, IF(L$259&gt;$G275,"x",IFERROR(SUBSTITUTE(CELL("adres",OFFSET(INDIRECT(L275),,IF(LEFT(L275)="V",-1,1)*($G275-L$259),1,1)),"$",""),"x")),
_xlpm.y, IFERROR(IF(OR(COLUMN(INDIRECT(_xlpm.x))&gt;21, COLUMN(INDIRECT(_xlpm.x)) &lt;2), "x",_xlpm.x),"x"),
_xlpm.y)</f>
        <v>E19</v>
      </c>
      <c r="AH275" s="31" t="str" cm="1">
        <f t="array" aca="1" ref="AH275" ca="1">_xlfn.LET(
_xlpm.x, IF(M$259&gt;$G275,"x",IFERROR(SUBSTITUTE(CELL("adres",OFFSET(INDIRECT(M275),,IF(LEFT(M275)="V",-1,1)*($G275-M$259),1,1)),"$",""),"x")),
_xlpm.y, IFERROR(IF(OR(COLUMN(INDIRECT(_xlpm.x))&gt;21, COLUMN(INDIRECT(_xlpm.x)) &lt;2), "x",_xlpm.x),"x"),
_xlpm.y)</f>
        <v>F21</v>
      </c>
      <c r="AI275" s="31" t="str" cm="1">
        <f t="array" aca="1" ref="AI275" ca="1">_xlfn.LET(
_xlpm.x, IF(N$259&gt;$G275,"x",IFERROR(SUBSTITUTE(CELL("adres",OFFSET(INDIRECT(N275),,IF(LEFT(N275)="V",-1,1)*($G275-N$259),1,1)),"$",""),"x")),
_xlpm.y, IFERROR(IF(OR(COLUMN(INDIRECT(_xlpm.x))&gt;21, COLUMN(INDIRECT(_xlpm.x)) &lt;2), "x",_xlpm.x),"x"),
_xlpm.y)</f>
        <v>P19</v>
      </c>
      <c r="AJ275" s="31" t="str" cm="1">
        <f t="array" aca="1" ref="AJ275" ca="1">_xlfn.LET(
_xlpm.x, IF(O$259&gt;$G275,"x",IFERROR(SUBSTITUTE(CELL("adres",OFFSET(INDIRECT(O275),,IF(LEFT(O275)="V",-1,1)*($G275-O$259),1,1)),"$",""),"x")),
_xlpm.y, IFERROR(IF(OR(COLUMN(INDIRECT(_xlpm.x))&gt;21, COLUMN(INDIRECT(_xlpm.x)) &lt;2), "x",_xlpm.x),"x"),
_xlpm.y)</f>
        <v>O21</v>
      </c>
      <c r="AK275" s="31" t="str" cm="1">
        <f t="array" aca="1" ref="AK275" ca="1">_xlfn.LET(
_xlpm.x, IF(P$259&gt;$G275,"x",IFERROR(SUBSTITUTE(CELL("adres",OFFSET(INDIRECT(P275),,IF(LEFT(P275)="V",-1,1)*($G275-P$259),1,1)),"$",""),"x")),
_xlpm.y, IFERROR(IF(OR(COLUMN(INDIRECT(_xlpm.x))&gt;21, COLUMN(INDIRECT(_xlpm.x)) &lt;2), "x",_xlpm.x),"x"),
_xlpm.y)</f>
        <v>I14</v>
      </c>
      <c r="AL275" s="31" t="str" cm="1">
        <f t="array" aca="1" ref="AL275" ca="1">_xlfn.LET(
_xlpm.x, IF(Q$259&gt;$G275,"x",IFERROR(SUBSTITUTE(CELL("adres",OFFSET(INDIRECT(Q275),,IF(LEFT(Q275)="V",-1,1)*($G275-Q$259),1,1)),"$",""),"x")),
_xlpm.y, IFERROR(IF(OR(COLUMN(INDIRECT(_xlpm.x))&gt;21, COLUMN(INDIRECT(_xlpm.x)) &lt;2), "x",_xlpm.x),"x"),
_xlpm.y)</f>
        <v>J4</v>
      </c>
      <c r="AM275" s="31" t="str" cm="1">
        <f t="array" aca="1" ref="AM275" ca="1">_xlfn.LET(
_xlpm.x, IF(R$259&gt;$G275,"x",IFERROR(SUBSTITUTE(CELL("adres",OFFSET(INDIRECT(R275),,IF(LEFT(R275)="V",-1,1)*($G275-R$259),1,1)),"$",""),"x")),
_xlpm.y, IFERROR(IF(OR(COLUMN(INDIRECT(_xlpm.x))&gt;21, COLUMN(INDIRECT(_xlpm.x)) &lt;2), "x",_xlpm.x),"x"),
_xlpm.y)</f>
        <v>K25</v>
      </c>
      <c r="AN275" s="31" t="str" cm="1">
        <f t="array" aca="1" ref="AN275" ca="1">_xlfn.LET(
_xlpm.x, IF(S$259&gt;$G275,"x",IFERROR(SUBSTITUTE(CELL("adres",OFFSET(INDIRECT(S275),,IF(LEFT(S275)="V",-1,1)*($G275-S$259),1,1)),"$",""),"x")),
_xlpm.y, IFERROR(IF(OR(COLUMN(INDIRECT(_xlpm.x))&gt;21, COLUMN(INDIRECT(_xlpm.x)) &lt;2), "x",_xlpm.x),"x"),
_xlpm.y)</f>
        <v>K6</v>
      </c>
      <c r="AO275" s="31" t="str" cm="1">
        <f t="array" aca="1" ref="AO275" ca="1">_xlfn.LET(
_xlpm.x, IF(T$259&gt;$G275,"x",IFERROR(SUBSTITUTE(CELL("adres",OFFSET(INDIRECT(T275),,IF(LEFT(T275)="V",-1,1)*($G275-T$259),1,1)),"$",""),"x")),
_xlpm.y, IFERROR(IF(OR(COLUMN(INDIRECT(_xlpm.x))&gt;21, COLUMN(INDIRECT(_xlpm.x)) &lt;2), "x",_xlpm.x),"x"),
_xlpm.y)</f>
        <v>M9</v>
      </c>
      <c r="AP275" s="31" t="str" cm="1">
        <f t="array" aca="1" ref="AP275" ca="1">_xlfn.LET(
_xlpm.x, IF(U$259&gt;$G275,"x",IFERROR(SUBSTITUTE(CELL("adres",OFFSET(INDIRECT(U275),,IF(LEFT(U275)="V",-1,1)*($G275-U$259),1,1)),"$",""),"x")),
_xlpm.y, IFERROR(IF(OR(COLUMN(INDIRECT(_xlpm.x))&gt;21, COLUMN(INDIRECT(_xlpm.x)) &lt;2), "x",_xlpm.x),"x"),
_xlpm.y)</f>
        <v>N22</v>
      </c>
      <c r="AQ275" s="31" t="str" cm="1">
        <f t="array" aca="1" ref="AQ275" ca="1">_xlfn.LET(
_xlpm.x, IF(V$259&gt;$G275,"x",IFERROR(SUBSTITUTE(CELL("adres",OFFSET(INDIRECT(V275),,IF(LEFT(V275)="V",-1,1)*($G275-V$259),1,1)),"$",""),"x")),
_xlpm.y, IFERROR(IF(OR(COLUMN(INDIRECT(_xlpm.x))&gt;21, COLUMN(INDIRECT(_xlpm.x)) &lt;2), "x",_xlpm.x),"x"),
_xlpm.y)</f>
        <v>O15</v>
      </c>
      <c r="AR275" s="31" t="str" cm="1">
        <f t="array" aca="1" ref="AR275" ca="1">_xlfn.LET(
_xlpm.x, IF(W$259&gt;$G275,"x",IFERROR(SUBSTITUTE(CELL("adres",OFFSET(INDIRECT(W275),,IF(LEFT(W275)="V",-1,1)*($G275-W$259),1,1)),"$",""),"x")),
_xlpm.y, IFERROR(IF(OR(COLUMN(INDIRECT(_xlpm.x))&gt;21, COLUMN(INDIRECT(_xlpm.x)) &lt;2), "x",_xlpm.x),"x"),
_xlpm.y)</f>
        <v>P22</v>
      </c>
      <c r="AS275" s="31" t="str" cm="1">
        <f t="array" aca="1" ref="AS275" ca="1">_xlfn.LET(
_xlpm.x, IF(X$259&gt;$G275,"x",IFERROR(SUBSTITUTE(CELL("adres",OFFSET(INDIRECT(X275),,IF(LEFT(X275)="V",-1,1)*($G275-X$259),1,1)),"$",""),"x")),
_xlpm.y, IFERROR(IF(OR(COLUMN(INDIRECT(_xlpm.x))&gt;21, COLUMN(INDIRECT(_xlpm.x)) &lt;2), "x",_xlpm.x),"x"),
_xlpm.y)</f>
        <v>F14</v>
      </c>
      <c r="AT275" s="31" t="str" cm="1">
        <f t="array" aca="1" ref="AT275" ca="1">_xlfn.LET(
_xlpm.x, IF(Y$259&gt;$G275,"x",IFERROR(SUBSTITUTE(CELL("adres",OFFSET(INDIRECT(Y275),,IF(LEFT(Y275)="V",-1,1)*($G275-Y$259),1,1)),"$",""),"x")),
_xlpm.y, IFERROR(IF(OR(COLUMN(INDIRECT(_xlpm.x))&gt;21, COLUMN(INDIRECT(_xlpm.x)) &lt;2), "x",_xlpm.x),"x"),
_xlpm.y)</f>
        <v>R11</v>
      </c>
      <c r="AU275" s="31" t="str" cm="1">
        <f t="array" aca="1" ref="AU275" ca="1">_xlfn.LET(
_xlpm.x, IF(Z$259&gt;$G275,"x",IFERROR(SUBSTITUTE(CELL("adres",OFFSET(INDIRECT(Z275),,IF(LEFT(Z275)="V",-1,1)*($G275-Z$259),1,1)),"$",""),"x")),
_xlpm.y, IFERROR(IF(OR(COLUMN(INDIRECT(_xlpm.x))&gt;21, COLUMN(INDIRECT(_xlpm.x)) &lt;2), "x",_xlpm.x),"x"),
_xlpm.y)</f>
        <v>D5</v>
      </c>
      <c r="AV275" s="31" t="str" cm="1">
        <f t="array" aca="1" ref="AV275" ca="1">_xlfn.LET(
_xlpm.x, IF(AA$259&gt;$G275,"x",IFERROR(SUBSTITUTE(CELL("adres",OFFSET(INDIRECT(AA275),,IF(LEFT(AA275)="V",-1,1)*($G275-AA$259),1,1)),"$",""),"x")),
_xlpm.y, IFERROR(IF(OR(COLUMN(INDIRECT(_xlpm.x))&gt;21, COLUMN(INDIRECT(_xlpm.x)) &lt;2), "x",_xlpm.x),"x"),
_xlpm.y)</f>
        <v>C6</v>
      </c>
      <c r="AW275" s="31" t="str" cm="1">
        <f t="array" aca="1" ref="AW275" ca="1">_xlfn.LET(
_xlpm.x, IF(AB$259&gt;$G275,"x",IFERROR(SUBSTITUTE(CELL("adres",OFFSET(INDIRECT(AB275),,IF(LEFT(AB275)="V",-1,1)*($G275-AB$259),1,1)),"$",""),"x")),
_xlpm.y, IFERROR(IF(OR(COLUMN(INDIRECT(_xlpm.x))&gt;21, COLUMN(INDIRECT(_xlpm.x)) &lt;2), "x",_xlpm.x),"x"),
_xlpm.y)</f>
        <v>U10</v>
      </c>
      <c r="AX275" s="23" cm="1">
        <f t="array" aca="1" ref="AX275" ca="1">ROW(INDIRECT(AD275))</f>
        <v>13</v>
      </c>
      <c r="AY275" s="23" cm="1">
        <f t="array" aca="1" ref="AY275" ca="1">ROW(INDIRECT(H275))</f>
        <v>13</v>
      </c>
      <c r="AZ275" s="23">
        <f t="shared" ca="1" si="12"/>
        <v>0</v>
      </c>
      <c r="BA275" s="23" cm="1">
        <f t="array" aca="1" ref="BA275" ca="1">COLUMN(INDIRECT(AD275))</f>
        <v>2</v>
      </c>
      <c r="BB275" s="23" cm="1">
        <f t="array" aca="1" ref="BB275" ca="1">COLUMN(INDIRECT(H275))</f>
        <v>13</v>
      </c>
      <c r="BC275" s="23">
        <f t="shared" ca="1" si="13"/>
        <v>11</v>
      </c>
      <c r="BE275" s="23">
        <f t="shared" ca="1" si="14"/>
        <v>11</v>
      </c>
      <c r="BH275" s="23">
        <v>11</v>
      </c>
      <c r="BI275" s="23">
        <v>10</v>
      </c>
      <c r="BJ275" s="23">
        <v>6</v>
      </c>
      <c r="BK275" s="23">
        <v>8</v>
      </c>
      <c r="BL275" s="23">
        <v>8</v>
      </c>
      <c r="BM275" s="23">
        <v>6</v>
      </c>
      <c r="BN275" s="23">
        <v>8</v>
      </c>
      <c r="BO275" s="23">
        <v>4</v>
      </c>
      <c r="BP275" s="23">
        <v>9</v>
      </c>
      <c r="BQ275" s="23">
        <v>12</v>
      </c>
      <c r="BR275" s="23">
        <v>7</v>
      </c>
      <c r="BS275" s="23">
        <v>4</v>
      </c>
      <c r="BT275" s="23">
        <v>9</v>
      </c>
      <c r="BU275" s="23">
        <v>2</v>
      </c>
      <c r="BV275" s="23">
        <v>9</v>
      </c>
      <c r="BW275" s="23">
        <v>7</v>
      </c>
      <c r="BX275" s="23">
        <v>5</v>
      </c>
      <c r="BY275" s="23">
        <v>9</v>
      </c>
      <c r="BZ275" s="23">
        <v>10</v>
      </c>
      <c r="CA275" s="23">
        <v>8</v>
      </c>
      <c r="CC275" s="23">
        <f t="shared" si="15"/>
        <v>2</v>
      </c>
      <c r="CD275" s="23">
        <f t="shared" si="16"/>
        <v>1</v>
      </c>
      <c r="CE275" s="23">
        <f t="shared" si="17"/>
        <v>14</v>
      </c>
      <c r="CF275" s="23" t="str" cm="1">
        <f t="array" aca="1" ref="CF275" ca="1">INDEX(AD275:AW275,1,CE275)</f>
        <v>O15</v>
      </c>
      <c r="CI275" s="23" t="b">
        <f ca="1"/>
        <v>0</v>
      </c>
      <c r="CJ275" s="23" t="b">
        <f ca="1"/>
        <v>0</v>
      </c>
      <c r="CK275" s="23" t="b">
        <f ca="1"/>
        <v>0</v>
      </c>
      <c r="CL275" s="23" t="b">
        <f ca="1"/>
        <v>0</v>
      </c>
      <c r="CM275" s="23" t="b">
        <f ca="1"/>
        <v>0</v>
      </c>
      <c r="CN275" s="23" t="b">
        <f ca="1"/>
        <v>0</v>
      </c>
      <c r="CO275" s="23" t="b">
        <f ca="1"/>
        <v>0</v>
      </c>
      <c r="CP275" s="23" t="b">
        <f ca="1"/>
        <v>0</v>
      </c>
      <c r="CQ275" s="23" t="b">
        <f ca="1"/>
        <v>0</v>
      </c>
      <c r="CR275" s="23" t="b">
        <f ca="1"/>
        <v>0</v>
      </c>
      <c r="CS275" s="23" t="b">
        <f ca="1"/>
        <v>0</v>
      </c>
      <c r="CT275" s="23" t="b">
        <f ca="1"/>
        <v>0</v>
      </c>
      <c r="CU275" s="23" t="b">
        <f ca="1"/>
        <v>0</v>
      </c>
      <c r="CV275" s="23" t="b">
        <f ca="1"/>
        <v>0</v>
      </c>
      <c r="CW275" s="23" t="b">
        <f ca="1"/>
        <v>0</v>
      </c>
      <c r="CX275" s="23" t="b">
        <f ca="1"/>
        <v>0</v>
      </c>
      <c r="CY275" s="23" t="b">
        <f ca="1"/>
        <v>0</v>
      </c>
      <c r="CZ275" s="23" t="b">
        <f ca="1"/>
        <v>0</v>
      </c>
      <c r="DA275" s="23" t="b">
        <f ca="1"/>
        <v>0</v>
      </c>
      <c r="DB275" s="23" t="b">
        <f ca="1"/>
        <v>0</v>
      </c>
    </row>
    <row r="276" spans="2:106" ht="22.5" customHeight="1">
      <c r="B276" s="32">
        <f t="shared" si="18"/>
        <v>113</v>
      </c>
      <c r="C276" s="32">
        <v>6</v>
      </c>
      <c r="D276" s="30">
        <v>10</v>
      </c>
      <c r="E276" s="34" t="str">
        <f ca="1"/>
        <v>C7</v>
      </c>
      <c r="F276" s="103"/>
      <c r="G276" s="33">
        <v>28</v>
      </c>
      <c r="H276" s="33" t="s">
        <v>248</v>
      </c>
      <c r="I276" s="33" t="s">
        <v>89</v>
      </c>
      <c r="J276" s="33" t="s">
        <v>57</v>
      </c>
      <c r="K276" s="33" t="s">
        <v>137</v>
      </c>
      <c r="L276" s="33" t="s">
        <v>112</v>
      </c>
      <c r="M276" s="33" t="s">
        <v>190</v>
      </c>
      <c r="N276" s="33" t="s">
        <v>80</v>
      </c>
      <c r="O276" s="33" t="s">
        <v>115</v>
      </c>
      <c r="P276" s="33" t="s">
        <v>86</v>
      </c>
      <c r="Q276" s="33" t="s">
        <v>60</v>
      </c>
      <c r="R276" s="33" t="s">
        <v>191</v>
      </c>
      <c r="S276" s="33" t="s">
        <v>192</v>
      </c>
      <c r="T276" s="33" t="s">
        <v>89</v>
      </c>
      <c r="U276" s="33" t="s">
        <v>89</v>
      </c>
      <c r="V276" s="33" t="s">
        <v>54</v>
      </c>
      <c r="W276" s="33" t="s">
        <v>53</v>
      </c>
      <c r="X276" s="33" t="s">
        <v>110</v>
      </c>
      <c r="Y276" s="33" t="s">
        <v>137</v>
      </c>
      <c r="Z276" s="33" t="s">
        <v>86</v>
      </c>
      <c r="AA276" s="33" t="s">
        <v>114</v>
      </c>
      <c r="AB276" s="33" t="s">
        <v>190</v>
      </c>
      <c r="AC276" s="115"/>
      <c r="AD276" s="31" t="str" cm="1">
        <f t="array" aca="1" ref="AD276" ca="1">_xlfn.LET(
_xlpm.x, IF(I$259&gt;$G276,"x",IFERROR(SUBSTITUTE(CELL("adres",OFFSET(INDIRECT(I276),,IF(LEFT(I276)="V",-1,1)*($G276-I$259),1,1)),"$",""),"x")),
_xlpm.y, IFERROR(IF(OR(COLUMN(INDIRECT(_xlpm.x))&gt;21, COLUMN(INDIRECT(_xlpm.x)) &lt;2), "x",_xlpm.x),"x"),
_xlpm.y)</f>
        <v>x</v>
      </c>
      <c r="AE276" s="31" t="str" cm="1">
        <f t="array" aca="1" ref="AE276" ca="1">_xlfn.LET(
_xlpm.x, IF(J$259&gt;$G276,"x",IFERROR(SUBSTITUTE(CELL("adres",OFFSET(INDIRECT(J276),,IF(LEFT(J276)="V",-1,1)*($G276-J$259),1,1)),"$",""),"x")),
_xlpm.y, IFERROR(IF(OR(COLUMN(INDIRECT(_xlpm.x))&gt;21, COLUMN(INDIRECT(_xlpm.x)) &lt;2), "x",_xlpm.x),"x"),
_xlpm.y)</f>
        <v>x</v>
      </c>
      <c r="AF276" s="31" t="str" cm="1">
        <f t="array" aca="1" ref="AF276" ca="1">_xlfn.LET(
_xlpm.x, IF(K$259&gt;$G276,"x",IFERROR(SUBSTITUTE(CELL("adres",OFFSET(INDIRECT(K276),,IF(LEFT(K276)="V",-1,1)*($G276-K$259),1,1)),"$",""),"x")),
_xlpm.y, IFERROR(IF(OR(COLUMN(INDIRECT(_xlpm.x))&gt;21, COLUMN(INDIRECT(_xlpm.x)) &lt;2), "x",_xlpm.x),"x"),
_xlpm.y)</f>
        <v>x</v>
      </c>
      <c r="AG276" s="31" t="str" cm="1">
        <f t="array" aca="1" ref="AG276" ca="1">_xlfn.LET(
_xlpm.x, IF(L$259&gt;$G276,"x",IFERROR(SUBSTITUTE(CELL("adres",OFFSET(INDIRECT(L276),,IF(LEFT(L276)="V",-1,1)*($G276-L$259),1,1)),"$",""),"x")),
_xlpm.y, IFERROR(IF(OR(COLUMN(INDIRECT(_xlpm.x))&gt;21, COLUMN(INDIRECT(_xlpm.x)) &lt;2), "x",_xlpm.x),"x"),
_xlpm.y)</f>
        <v>x</v>
      </c>
      <c r="AH276" s="31" t="str" cm="1">
        <f t="array" aca="1" ref="AH276" ca="1">_xlfn.LET(
_xlpm.x, IF(M$259&gt;$G276,"x",IFERROR(SUBSTITUTE(CELL("adres",OFFSET(INDIRECT(M276),,IF(LEFT(M276)="V",-1,1)*($G276-M$259),1,1)),"$",""),"x")),
_xlpm.y, IFERROR(IF(OR(COLUMN(INDIRECT(_xlpm.x))&gt;21, COLUMN(INDIRECT(_xlpm.x)) &lt;2), "x",_xlpm.x),"x"),
_xlpm.y)</f>
        <v>x</v>
      </c>
      <c r="AI276" s="31" t="str" cm="1">
        <f t="array" aca="1" ref="AI276" ca="1">_xlfn.LET(
_xlpm.x, IF(N$259&gt;$G276,"x",IFERROR(SUBSTITUTE(CELL("adres",OFFSET(INDIRECT(N276),,IF(LEFT(N276)="V",-1,1)*($G276-N$259),1,1)),"$",""),"x")),
_xlpm.y, IFERROR(IF(OR(COLUMN(INDIRECT(_xlpm.x))&gt;21, COLUMN(INDIRECT(_xlpm.x)) &lt;2), "x",_xlpm.x),"x"),
_xlpm.y)</f>
        <v>x</v>
      </c>
      <c r="AJ276" s="31" t="str" cm="1">
        <f t="array" aca="1" ref="AJ276" ca="1">_xlfn.LET(
_xlpm.x, IF(O$259&gt;$G276,"x",IFERROR(SUBSTITUTE(CELL("adres",OFFSET(INDIRECT(O276),,IF(LEFT(O276)="V",-1,1)*($G276-O$259),1,1)),"$",""),"x")),
_xlpm.y, IFERROR(IF(OR(COLUMN(INDIRECT(_xlpm.x))&gt;21, COLUMN(INDIRECT(_xlpm.x)) &lt;2), "x",_xlpm.x),"x"),
_xlpm.y)</f>
        <v>x</v>
      </c>
      <c r="AK276" s="31" t="str" cm="1">
        <f t="array" aca="1" ref="AK276" ca="1">_xlfn.LET(
_xlpm.x, IF(P$259&gt;$G276,"x",IFERROR(SUBSTITUTE(CELL("adres",OFFSET(INDIRECT(P276),,IF(LEFT(P276)="V",-1,1)*($G276-P$259),1,1)),"$",""),"x")),
_xlpm.y, IFERROR(IF(OR(COLUMN(INDIRECT(_xlpm.x))&gt;21, COLUMN(INDIRECT(_xlpm.x)) &lt;2), "x",_xlpm.x),"x"),
_xlpm.y)</f>
        <v>x</v>
      </c>
      <c r="AL276" s="31" t="str" cm="1">
        <f t="array" aca="1" ref="AL276" ca="1">_xlfn.LET(
_xlpm.x, IF(Q$259&gt;$G276,"x",IFERROR(SUBSTITUTE(CELL("adres",OFFSET(INDIRECT(Q276),,IF(LEFT(Q276)="V",-1,1)*($G276-Q$259),1,1)),"$",""),"x")),
_xlpm.y, IFERROR(IF(OR(COLUMN(INDIRECT(_xlpm.x))&gt;21, COLUMN(INDIRECT(_xlpm.x)) &lt;2), "x",_xlpm.x),"x"),
_xlpm.y)</f>
        <v>U21</v>
      </c>
      <c r="AM276" s="31" t="str" cm="1">
        <f t="array" aca="1" ref="AM276" ca="1">_xlfn.LET(
_xlpm.x, IF(R$259&gt;$G276,"x",IFERROR(SUBSTITUTE(CELL("adres",OFFSET(INDIRECT(R276),,IF(LEFT(R276)="V",-1,1)*($G276-R$259),1,1)),"$",""),"x")),
_xlpm.y, IFERROR(IF(OR(COLUMN(INDIRECT(_xlpm.x))&gt;21, COLUMN(INDIRECT(_xlpm.x)) &lt;2), "x",_xlpm.x),"x"),
_xlpm.y)</f>
        <v>C7</v>
      </c>
      <c r="AN276" s="31" t="str" cm="1">
        <f t="array" aca="1" ref="AN276" ca="1">_xlfn.LET(
_xlpm.x, IF(S$259&gt;$G276,"x",IFERROR(SUBSTITUTE(CELL("adres",OFFSET(INDIRECT(S276),,IF(LEFT(S276)="V",-1,1)*($G276-S$259),1,1)),"$",""),"x")),
_xlpm.y, IFERROR(IF(OR(COLUMN(INDIRECT(_xlpm.x))&gt;21, COLUMN(INDIRECT(_xlpm.x)) &lt;2), "x",_xlpm.x),"x"),
_xlpm.y)</f>
        <v>S23</v>
      </c>
      <c r="AO276" s="31" t="str" cm="1">
        <f t="array" aca="1" ref="AO276" ca="1">_xlfn.LET(
_xlpm.x, IF(T$259&gt;$G276,"x",IFERROR(SUBSTITUTE(CELL("adres",OFFSET(INDIRECT(T276),,IF(LEFT(T276)="V",-1,1)*($G276-T$259),1,1)),"$",""),"x")),
_xlpm.y, IFERROR(IF(OR(COLUMN(INDIRECT(_xlpm.x))&gt;21, COLUMN(INDIRECT(_xlpm.x)) &lt;2), "x",_xlpm.x),"x"),
_xlpm.y)</f>
        <v>E22</v>
      </c>
      <c r="AP276" s="31" t="str" cm="1">
        <f t="array" aca="1" ref="AP276" ca="1">_xlfn.LET(
_xlpm.x, IF(U$259&gt;$G276,"x",IFERROR(SUBSTITUTE(CELL("adres",OFFSET(INDIRECT(U276),,IF(LEFT(U276)="V",-1,1)*($G276-U$259),1,1)),"$",""),"x")),
_xlpm.y, IFERROR(IF(OR(COLUMN(INDIRECT(_xlpm.x))&gt;21, COLUMN(INDIRECT(_xlpm.x)) &lt;2), "x",_xlpm.x),"x"),
_xlpm.y)</f>
        <v>F22</v>
      </c>
      <c r="AQ276" s="31" t="str" cm="1">
        <f t="array" aca="1" ref="AQ276" ca="1">_xlfn.LET(
_xlpm.x, IF(V$259&gt;$G276,"x",IFERROR(SUBSTITUTE(CELL("adres",OFFSET(INDIRECT(V276),,IF(LEFT(V276)="V",-1,1)*($G276-V$259),1,1)),"$",""),"x")),
_xlpm.y, IFERROR(IF(OR(COLUMN(INDIRECT(_xlpm.x))&gt;21, COLUMN(INDIRECT(_xlpm.x)) &lt;2), "x",_xlpm.x),"x"),
_xlpm.y)</f>
        <v>P19</v>
      </c>
      <c r="AR276" s="31" t="str" cm="1">
        <f t="array" aca="1" ref="AR276" ca="1">_xlfn.LET(
_xlpm.x, IF(W$259&gt;$G276,"x",IFERROR(SUBSTITUTE(CELL("adres",OFFSET(INDIRECT(W276),,IF(LEFT(W276)="V",-1,1)*($G276-W$259),1,1)),"$",""),"x")),
_xlpm.y, IFERROR(IF(OR(COLUMN(INDIRECT(_xlpm.x))&gt;21, COLUMN(INDIRECT(_xlpm.x)) &lt;2), "x",_xlpm.x),"x"),
_xlpm.y)</f>
        <v>O4</v>
      </c>
      <c r="AS276" s="31" t="str" cm="1">
        <f t="array" aca="1" ref="AS276" ca="1">_xlfn.LET(
_xlpm.x, IF(X$259&gt;$G276,"x",IFERROR(SUBSTITUTE(CELL("adres",OFFSET(INDIRECT(X276),,IF(LEFT(X276)="V",-1,1)*($G276-X$259),1,1)),"$",""),"x")),
_xlpm.y, IFERROR(IF(OR(COLUMN(INDIRECT(_xlpm.x))&gt;21, COLUMN(INDIRECT(_xlpm.x)) &lt;2), "x",_xlpm.x),"x"),
_xlpm.y)</f>
        <v>N11</v>
      </c>
      <c r="AT276" s="31" t="str" cm="1">
        <f t="array" aca="1" ref="AT276" ca="1">_xlfn.LET(
_xlpm.x, IF(Y$259&gt;$G276,"x",IFERROR(SUBSTITUTE(CELL("adres",OFFSET(INDIRECT(Y276),,IF(LEFT(Y276)="V",-1,1)*($G276-Y$259),1,1)),"$",""),"x")),
_xlpm.y, IFERROR(IF(OR(COLUMN(INDIRECT(_xlpm.x))&gt;21, COLUMN(INDIRECT(_xlpm.x)) &lt;2), "x",_xlpm.x),"x"),
_xlpm.y)</f>
        <v>J4</v>
      </c>
      <c r="AU276" s="31" t="str" cm="1">
        <f t="array" aca="1" ref="AU276" ca="1">_xlfn.LET(
_xlpm.x, IF(Z$259&gt;$G276,"x",IFERROR(SUBSTITUTE(CELL("adres",OFFSET(INDIRECT(Z276),,IF(LEFT(Z276)="V",-1,1)*($G276-Z$259),1,1)),"$",""),"x")),
_xlpm.y, IFERROR(IF(OR(COLUMN(INDIRECT(_xlpm.x))&gt;21, COLUMN(INDIRECT(_xlpm.x)) &lt;2), "x",_xlpm.x),"x"),
_xlpm.y)</f>
        <v>K17</v>
      </c>
      <c r="AV276" s="31" t="str" cm="1">
        <f t="array" aca="1" ref="AV276" ca="1">_xlfn.LET(
_xlpm.x, IF(AA$259&gt;$G276,"x",IFERROR(SUBSTITUTE(CELL("adres",OFFSET(INDIRECT(AA276),,IF(LEFT(AA276)="V",-1,1)*($G276-AA$259),1,1)),"$",""),"x")),
_xlpm.y, IFERROR(IF(OR(COLUMN(INDIRECT(_xlpm.x))&gt;21, COLUMN(INDIRECT(_xlpm.x)) &lt;2), "x",_xlpm.x),"x"),
_xlpm.y)</f>
        <v>L13</v>
      </c>
      <c r="AW276" s="31" t="str" cm="1">
        <f t="array" aca="1" ref="AW276" ca="1">_xlfn.LET(
_xlpm.x, IF(AB$259&gt;$G276,"x",IFERROR(SUBSTITUTE(CELL("adres",OFFSET(INDIRECT(AB276),,IF(LEFT(AB276)="V",-1,1)*($G276-AB$259),1,1)),"$",""),"x")),
_xlpm.y, IFERROR(IF(OR(COLUMN(INDIRECT(_xlpm.x))&gt;21, COLUMN(INDIRECT(_xlpm.x)) &lt;2), "x",_xlpm.x),"x"),
_xlpm.y)</f>
        <v>J24</v>
      </c>
      <c r="AX276" s="23" t="e" cm="1">
        <f t="array" aca="1" ref="AX276" ca="1">ROW(INDIRECT(AD276))</f>
        <v>#REF!</v>
      </c>
      <c r="AY276" s="23" cm="1">
        <f t="array" aca="1" ref="AY276" ca="1">ROW(INDIRECT(H276))</f>
        <v>7</v>
      </c>
      <c r="AZ276" s="23" t="e">
        <f t="shared" ca="1" si="12"/>
        <v>#REF!</v>
      </c>
      <c r="BA276" s="23" t="e" cm="1">
        <f t="array" aca="1" ref="BA276" ca="1">COLUMN(INDIRECT(AD276))</f>
        <v>#REF!</v>
      </c>
      <c r="BB276" s="23" cm="1">
        <f t="array" aca="1" ref="BB276" ca="1">COLUMN(INDIRECT(H276))</f>
        <v>5</v>
      </c>
      <c r="BC276" s="23" t="e">
        <f t="shared" ca="1" si="13"/>
        <v>#REF!</v>
      </c>
      <c r="BE276" s="23">
        <f t="shared" ca="1" si="14"/>
        <v>1000</v>
      </c>
      <c r="BH276" s="23">
        <v>1000</v>
      </c>
      <c r="BI276" s="23">
        <v>1000</v>
      </c>
      <c r="BJ276" s="23">
        <v>1000</v>
      </c>
      <c r="BK276" s="23">
        <v>1000</v>
      </c>
      <c r="BL276" s="23">
        <v>1000</v>
      </c>
      <c r="BM276" s="23">
        <v>1000</v>
      </c>
      <c r="BN276" s="23">
        <v>1000</v>
      </c>
      <c r="BO276" s="23">
        <v>1000</v>
      </c>
      <c r="BP276" s="23">
        <v>16</v>
      </c>
      <c r="BQ276" s="23">
        <v>2</v>
      </c>
      <c r="BR276" s="23">
        <v>16</v>
      </c>
      <c r="BS276" s="23">
        <v>15</v>
      </c>
      <c r="BT276" s="23">
        <v>15</v>
      </c>
      <c r="BU276" s="23">
        <v>12</v>
      </c>
      <c r="BV276" s="23">
        <v>10</v>
      </c>
      <c r="BW276" s="23">
        <v>9</v>
      </c>
      <c r="BX276" s="23">
        <v>5</v>
      </c>
      <c r="BY276" s="23">
        <v>10</v>
      </c>
      <c r="BZ276" s="23">
        <v>7</v>
      </c>
      <c r="CA276" s="23">
        <v>17</v>
      </c>
      <c r="CC276" s="23">
        <f t="shared" si="15"/>
        <v>2</v>
      </c>
      <c r="CD276" s="23">
        <f t="shared" si="16"/>
        <v>1</v>
      </c>
      <c r="CE276" s="23">
        <f t="shared" si="17"/>
        <v>10</v>
      </c>
      <c r="CF276" s="23" t="str" cm="1">
        <f t="array" aca="1" ref="CF276" ca="1">INDEX(AD276:AW276,1,CE276)</f>
        <v>C7</v>
      </c>
      <c r="CI276" s="23" t="b">
        <f ca="1"/>
        <v>0</v>
      </c>
      <c r="CJ276" s="23" t="b">
        <f ca="1"/>
        <v>0</v>
      </c>
      <c r="CK276" s="23" t="b">
        <f ca="1"/>
        <v>0</v>
      </c>
      <c r="CL276" s="23" t="b">
        <f ca="1"/>
        <v>0</v>
      </c>
      <c r="CM276" s="23" t="b">
        <f ca="1"/>
        <v>0</v>
      </c>
      <c r="CN276" s="23" t="b">
        <f ca="1"/>
        <v>0</v>
      </c>
      <c r="CO276" s="23" t="b">
        <f ca="1"/>
        <v>0</v>
      </c>
      <c r="CP276" s="23" t="b">
        <f ca="1"/>
        <v>0</v>
      </c>
      <c r="CQ276" s="23" t="b">
        <f ca="1"/>
        <v>0</v>
      </c>
      <c r="CR276" s="23" t="b">
        <f ca="1"/>
        <v>0</v>
      </c>
      <c r="CS276" s="23" t="b">
        <f ca="1"/>
        <v>0</v>
      </c>
      <c r="CT276" s="23" t="b">
        <f ca="1"/>
        <v>0</v>
      </c>
      <c r="CU276" s="23" t="b">
        <f ca="1"/>
        <v>0</v>
      </c>
      <c r="CV276" s="23" t="b">
        <f ca="1"/>
        <v>0</v>
      </c>
      <c r="CW276" s="23" t="b">
        <f ca="1"/>
        <v>0</v>
      </c>
      <c r="CX276" s="23" t="b">
        <f ca="1"/>
        <v>0</v>
      </c>
      <c r="CY276" s="23" t="b">
        <f ca="1"/>
        <v>0</v>
      </c>
      <c r="CZ276" s="23" t="b">
        <f ca="1"/>
        <v>0</v>
      </c>
      <c r="DA276" s="23" t="b">
        <f ca="1"/>
        <v>0</v>
      </c>
      <c r="DB276" s="23" t="b">
        <f ca="1"/>
        <v>0</v>
      </c>
    </row>
    <row r="277" spans="2:106" ht="22.5" customHeight="1">
      <c r="B277" s="32">
        <f t="shared" si="18"/>
        <v>114</v>
      </c>
      <c r="C277" s="32">
        <v>6</v>
      </c>
      <c r="D277" s="30">
        <v>10</v>
      </c>
      <c r="E277" s="34" t="str">
        <f ca="1"/>
        <v>C10</v>
      </c>
      <c r="F277" s="103"/>
      <c r="G277" s="33">
        <v>28</v>
      </c>
      <c r="H277" s="33" t="s">
        <v>249</v>
      </c>
      <c r="I277" s="33" t="s">
        <v>111</v>
      </c>
      <c r="J277" s="33" t="s">
        <v>192</v>
      </c>
      <c r="K277" s="33" t="s">
        <v>51</v>
      </c>
      <c r="L277" s="33" t="s">
        <v>112</v>
      </c>
      <c r="M277" s="33" t="s">
        <v>178</v>
      </c>
      <c r="N277" s="33" t="s">
        <v>59</v>
      </c>
      <c r="O277" s="33" t="s">
        <v>58</v>
      </c>
      <c r="P277" s="33" t="s">
        <v>90</v>
      </c>
      <c r="Q277" s="33" t="s">
        <v>60</v>
      </c>
      <c r="R277" s="33" t="s">
        <v>93</v>
      </c>
      <c r="S277" s="33" t="s">
        <v>181</v>
      </c>
      <c r="T277" s="33" t="s">
        <v>191</v>
      </c>
      <c r="U277" s="33" t="s">
        <v>55</v>
      </c>
      <c r="V277" s="33" t="s">
        <v>65</v>
      </c>
      <c r="W277" s="33" t="s">
        <v>86</v>
      </c>
      <c r="X277" s="33" t="s">
        <v>84</v>
      </c>
      <c r="Y277" s="33" t="s">
        <v>179</v>
      </c>
      <c r="Z277" s="33" t="s">
        <v>84</v>
      </c>
      <c r="AA277" s="33" t="s">
        <v>54</v>
      </c>
      <c r="AB277" s="33" t="s">
        <v>88</v>
      </c>
      <c r="AC277" s="115"/>
      <c r="AD277" s="31" t="str" cm="1">
        <f t="array" aca="1" ref="AD277" ca="1">_xlfn.LET(
_xlpm.x, IF(I$259&gt;$G277,"x",IFERROR(SUBSTITUTE(CELL("adres",OFFSET(INDIRECT(I277),,IF(LEFT(I277)="V",-1,1)*($G277-I$259),1,1)),"$",""),"x")),
_xlpm.y, IFERROR(IF(OR(COLUMN(INDIRECT(_xlpm.x))&gt;21, COLUMN(INDIRECT(_xlpm.x)) &lt;2), "x",_xlpm.x),"x"),
_xlpm.y)</f>
        <v>x</v>
      </c>
      <c r="AE277" s="31" t="str" cm="1">
        <f t="array" aca="1" ref="AE277" ca="1">_xlfn.LET(
_xlpm.x, IF(J$259&gt;$G277,"x",IFERROR(SUBSTITUTE(CELL("adres",OFFSET(INDIRECT(J277),,IF(LEFT(J277)="V",-1,1)*($G277-J$259),1,1)),"$",""),"x")),
_xlpm.y, IFERROR(IF(OR(COLUMN(INDIRECT(_xlpm.x))&gt;21, COLUMN(INDIRECT(_xlpm.x)) &lt;2), "x",_xlpm.x),"x"),
_xlpm.y)</f>
        <v>x</v>
      </c>
      <c r="AF277" s="31" t="str" cm="1">
        <f t="array" aca="1" ref="AF277" ca="1">_xlfn.LET(
_xlpm.x, IF(K$259&gt;$G277,"x",IFERROR(SUBSTITUTE(CELL("adres",OFFSET(INDIRECT(K277),,IF(LEFT(K277)="V",-1,1)*($G277-K$259),1,1)),"$",""),"x")),
_xlpm.y, IFERROR(IF(OR(COLUMN(INDIRECT(_xlpm.x))&gt;21, COLUMN(INDIRECT(_xlpm.x)) &lt;2), "x",_xlpm.x),"x"),
_xlpm.y)</f>
        <v>x</v>
      </c>
      <c r="AG277" s="31" t="str" cm="1">
        <f t="array" aca="1" ref="AG277" ca="1">_xlfn.LET(
_xlpm.x, IF(L$259&gt;$G277,"x",IFERROR(SUBSTITUTE(CELL("adres",OFFSET(INDIRECT(L277),,IF(LEFT(L277)="V",-1,1)*($G277-L$259),1,1)),"$",""),"x")),
_xlpm.y, IFERROR(IF(OR(COLUMN(INDIRECT(_xlpm.x))&gt;21, COLUMN(INDIRECT(_xlpm.x)) &lt;2), "x",_xlpm.x),"x"),
_xlpm.y)</f>
        <v>x</v>
      </c>
      <c r="AH277" s="31" t="str" cm="1">
        <f t="array" aca="1" ref="AH277" ca="1">_xlfn.LET(
_xlpm.x, IF(M$259&gt;$G277,"x",IFERROR(SUBSTITUTE(CELL("adres",OFFSET(INDIRECT(M277),,IF(LEFT(M277)="V",-1,1)*($G277-M$259),1,1)),"$",""),"x")),
_xlpm.y, IFERROR(IF(OR(COLUMN(INDIRECT(_xlpm.x))&gt;21, COLUMN(INDIRECT(_xlpm.x)) &lt;2), "x",_xlpm.x),"x"),
_xlpm.y)</f>
        <v>x</v>
      </c>
      <c r="AI277" s="31" t="str" cm="1">
        <f t="array" aca="1" ref="AI277" ca="1">_xlfn.LET(
_xlpm.x, IF(N$259&gt;$G277,"x",IFERROR(SUBSTITUTE(CELL("adres",OFFSET(INDIRECT(N277),,IF(LEFT(N277)="V",-1,1)*($G277-N$259),1,1)),"$",""),"x")),
_xlpm.y, IFERROR(IF(OR(COLUMN(INDIRECT(_xlpm.x))&gt;21, COLUMN(INDIRECT(_xlpm.x)) &lt;2), "x",_xlpm.x),"x"),
_xlpm.y)</f>
        <v>x</v>
      </c>
      <c r="AJ277" s="31" t="str" cm="1">
        <f t="array" aca="1" ref="AJ277" ca="1">_xlfn.LET(
_xlpm.x, IF(O$259&gt;$G277,"x",IFERROR(SUBSTITUTE(CELL("adres",OFFSET(INDIRECT(O277),,IF(LEFT(O277)="V",-1,1)*($G277-O$259),1,1)),"$",""),"x")),
_xlpm.y, IFERROR(IF(OR(COLUMN(INDIRECT(_xlpm.x))&gt;21, COLUMN(INDIRECT(_xlpm.x)) &lt;2), "x",_xlpm.x),"x"),
_xlpm.y)</f>
        <v>x</v>
      </c>
      <c r="AK277" s="31" t="str" cm="1">
        <f t="array" aca="1" ref="AK277" ca="1">_xlfn.LET(
_xlpm.x, IF(P$259&gt;$G277,"x",IFERROR(SUBSTITUTE(CELL("adres",OFFSET(INDIRECT(P277),,IF(LEFT(P277)="V",-1,1)*($G277-P$259),1,1)),"$",""),"x")),
_xlpm.y, IFERROR(IF(OR(COLUMN(INDIRECT(_xlpm.x))&gt;21, COLUMN(INDIRECT(_xlpm.x)) &lt;2), "x",_xlpm.x),"x"),
_xlpm.y)</f>
        <v>x</v>
      </c>
      <c r="AL277" s="31" t="str" cm="1">
        <f t="array" aca="1" ref="AL277" ca="1">_xlfn.LET(
_xlpm.x, IF(Q$259&gt;$G277,"x",IFERROR(SUBSTITUTE(CELL("adres",OFFSET(INDIRECT(Q277),,IF(LEFT(Q277)="V",-1,1)*($G277-Q$259),1,1)),"$",""),"x")),
_xlpm.y, IFERROR(IF(OR(COLUMN(INDIRECT(_xlpm.x))&gt;21, COLUMN(INDIRECT(_xlpm.x)) &lt;2), "x",_xlpm.x),"x"),
_xlpm.y)</f>
        <v>U21</v>
      </c>
      <c r="AM277" s="31" t="str" cm="1">
        <f t="array" aca="1" ref="AM277" ca="1">_xlfn.LET(
_xlpm.x, IF(R$259&gt;$G277,"x",IFERROR(SUBSTITUTE(CELL("adres",OFFSET(INDIRECT(R277),,IF(LEFT(R277)="V",-1,1)*($G277-R$259),1,1)),"$",""),"x")),
_xlpm.y, IFERROR(IF(OR(COLUMN(INDIRECT(_xlpm.x))&gt;21, COLUMN(INDIRECT(_xlpm.x)) &lt;2), "x",_xlpm.x),"x"),
_xlpm.y)</f>
        <v>C10</v>
      </c>
      <c r="AN277" s="31" t="str" cm="1">
        <f t="array" aca="1" ref="AN277" ca="1">_xlfn.LET(
_xlpm.x, IF(S$259&gt;$G277,"x",IFERROR(SUBSTITUTE(CELL("adres",OFFSET(INDIRECT(S277),,IF(LEFT(S277)="V",-1,1)*($G277-S$259),1,1)),"$",""),"x")),
_xlpm.y, IFERROR(IF(OR(COLUMN(INDIRECT(_xlpm.x))&gt;21, COLUMN(INDIRECT(_xlpm.x)) &lt;2), "x",_xlpm.x),"x"),
_xlpm.y)</f>
        <v>D14</v>
      </c>
      <c r="AO277" s="31" t="str" cm="1">
        <f t="array" aca="1" ref="AO277" ca="1">_xlfn.LET(
_xlpm.x, IF(T$259&gt;$G277,"x",IFERROR(SUBSTITUTE(CELL("adres",OFFSET(INDIRECT(T277),,IF(LEFT(T277)="V",-1,1)*($G277-T$259),1,1)),"$",""),"x")),
_xlpm.y, IFERROR(IF(OR(COLUMN(INDIRECT(_xlpm.x))&gt;21, COLUMN(INDIRECT(_xlpm.x)) &lt;2), "x",_xlpm.x),"x"),
_xlpm.y)</f>
        <v>E7</v>
      </c>
      <c r="AP277" s="31" t="str" cm="1">
        <f t="array" aca="1" ref="AP277" ca="1">_xlfn.LET(
_xlpm.x, IF(U$259&gt;$G277,"x",IFERROR(SUBSTITUTE(CELL("adres",OFFSET(INDIRECT(U277),,IF(LEFT(U277)="V",-1,1)*($G277-U$259),1,1)),"$",""),"x")),
_xlpm.y, IFERROR(IF(OR(COLUMN(INDIRECT(_xlpm.x))&gt;21, COLUMN(INDIRECT(_xlpm.x)) &lt;2), "x",_xlpm.x),"x"),
_xlpm.y)</f>
        <v>Q26</v>
      </c>
      <c r="AQ277" s="31" t="str" cm="1">
        <f t="array" aca="1" ref="AQ277" ca="1">_xlfn.LET(
_xlpm.x, IF(V$259&gt;$G277,"x",IFERROR(SUBSTITUTE(CELL("adres",OFFSET(INDIRECT(V277),,IF(LEFT(V277)="V",-1,1)*($G277-V$259),1,1)),"$",""),"x")),
_xlpm.y, IFERROR(IF(OR(COLUMN(INDIRECT(_xlpm.x))&gt;21, COLUMN(INDIRECT(_xlpm.x)) &lt;2), "x",_xlpm.x),"x"),
_xlpm.y)</f>
        <v>P12</v>
      </c>
      <c r="AR277" s="31" t="str" cm="1">
        <f t="array" aca="1" ref="AR277" ca="1">_xlfn.LET(
_xlpm.x, IF(W$259&gt;$G277,"x",IFERROR(SUBSTITUTE(CELL("adres",OFFSET(INDIRECT(W277),,IF(LEFT(W277)="V",-1,1)*($G277-W$259),1,1)),"$",""),"x")),
_xlpm.y, IFERROR(IF(OR(COLUMN(INDIRECT(_xlpm.x))&gt;21, COLUMN(INDIRECT(_xlpm.x)) &lt;2), "x",_xlpm.x),"x"),
_xlpm.y)</f>
        <v>H17</v>
      </c>
      <c r="AS277" s="31" t="str" cm="1">
        <f t="array" aca="1" ref="AS277" ca="1">_xlfn.LET(
_xlpm.x, IF(X$259&gt;$G277,"x",IFERROR(SUBSTITUTE(CELL("adres",OFFSET(INDIRECT(X277),,IF(LEFT(X277)="V",-1,1)*($G277-X$259),1,1)),"$",""),"x")),
_xlpm.y, IFERROR(IF(OR(COLUMN(INDIRECT(_xlpm.x))&gt;21, COLUMN(INDIRECT(_xlpm.x)) &lt;2), "x",_xlpm.x),"x"),
_xlpm.y)</f>
        <v>I26</v>
      </c>
      <c r="AT277" s="31" t="str" cm="1">
        <f t="array" aca="1" ref="AT277" ca="1">_xlfn.LET(
_xlpm.x, IF(Y$259&gt;$G277,"x",IFERROR(SUBSTITUTE(CELL("adres",OFFSET(INDIRECT(Y277),,IF(LEFT(Y277)="V",-1,1)*($G277-Y$259),1,1)),"$",""),"x")),
_xlpm.y, IFERROR(IF(OR(COLUMN(INDIRECT(_xlpm.x))&gt;21, COLUMN(INDIRECT(_xlpm.x)) &lt;2), "x",_xlpm.x),"x"),
_xlpm.y)</f>
        <v>J23</v>
      </c>
      <c r="AU277" s="31" t="str" cm="1">
        <f t="array" aca="1" ref="AU277" ca="1">_xlfn.LET(
_xlpm.x, IF(Z$259&gt;$G277,"x",IFERROR(SUBSTITUTE(CELL("adres",OFFSET(INDIRECT(Z277),,IF(LEFT(Z277)="V",-1,1)*($G277-Z$259),1,1)),"$",""),"x")),
_xlpm.y, IFERROR(IF(OR(COLUMN(INDIRECT(_xlpm.x))&gt;21, COLUMN(INDIRECT(_xlpm.x)) &lt;2), "x",_xlpm.x),"x"),
_xlpm.y)</f>
        <v>K26</v>
      </c>
      <c r="AV277" s="31" t="str" cm="1">
        <f t="array" aca="1" ref="AV277" ca="1">_xlfn.LET(
_xlpm.x, IF(AA$259&gt;$G277,"x",IFERROR(SUBSTITUTE(CELL("adres",OFFSET(INDIRECT(AA277),,IF(LEFT(AA277)="V",-1,1)*($G277-AA$259),1,1)),"$",""),"x")),
_xlpm.y, IFERROR(IF(OR(COLUMN(INDIRECT(_xlpm.x))&gt;21, COLUMN(INDIRECT(_xlpm.x)) &lt;2), "x",_xlpm.x),"x"),
_xlpm.y)</f>
        <v>K19</v>
      </c>
      <c r="AW277" s="31" t="str" cm="1">
        <f t="array" aca="1" ref="AW277" ca="1">_xlfn.LET(
_xlpm.x, IF(AB$259&gt;$G277,"x",IFERROR(SUBSTITUTE(CELL("adres",OFFSET(INDIRECT(AB277),,IF(LEFT(AB277)="V",-1,1)*($G277-AB$259),1,1)),"$",""),"x")),
_xlpm.y, IFERROR(IF(OR(COLUMN(INDIRECT(_xlpm.x))&gt;21, COLUMN(INDIRECT(_xlpm.x)) &lt;2), "x",_xlpm.x),"x"),
_xlpm.y)</f>
        <v>M9</v>
      </c>
      <c r="AX277" s="23" t="e" cm="1">
        <f t="array" aca="1" ref="AX277" ca="1">ROW(INDIRECT(AD277))</f>
        <v>#REF!</v>
      </c>
      <c r="AY277" s="23" cm="1">
        <f t="array" aca="1" ref="AY277" ca="1">ROW(INDIRECT(H277))</f>
        <v>10</v>
      </c>
      <c r="AZ277" s="23" t="e">
        <f t="shared" ca="1" si="12"/>
        <v>#REF!</v>
      </c>
      <c r="BA277" s="23" t="e" cm="1">
        <f t="array" aca="1" ref="BA277" ca="1">COLUMN(INDIRECT(AD277))</f>
        <v>#REF!</v>
      </c>
      <c r="BB277" s="23" cm="1">
        <f t="array" aca="1" ref="BB277" ca="1">COLUMN(INDIRECT(H277))</f>
        <v>4</v>
      </c>
      <c r="BC277" s="23" t="e">
        <f t="shared" ca="1" si="13"/>
        <v>#REF!</v>
      </c>
      <c r="BE277" s="23">
        <f t="shared" ca="1" si="14"/>
        <v>1000</v>
      </c>
      <c r="BH277" s="23">
        <v>1000</v>
      </c>
      <c r="BI277" s="23">
        <v>1000</v>
      </c>
      <c r="BJ277" s="23">
        <v>1000</v>
      </c>
      <c r="BK277" s="23">
        <v>1000</v>
      </c>
      <c r="BL277" s="23">
        <v>1000</v>
      </c>
      <c r="BM277" s="23">
        <v>1000</v>
      </c>
      <c r="BN277" s="23">
        <v>1000</v>
      </c>
      <c r="BO277" s="23">
        <v>1000</v>
      </c>
      <c r="BP277" s="23">
        <v>17</v>
      </c>
      <c r="BQ277" s="23">
        <v>1</v>
      </c>
      <c r="BR277" s="23">
        <v>4</v>
      </c>
      <c r="BS277" s="23">
        <v>3</v>
      </c>
      <c r="BT277" s="23">
        <v>16</v>
      </c>
      <c r="BU277" s="23">
        <v>12</v>
      </c>
      <c r="BV277" s="23">
        <v>7</v>
      </c>
      <c r="BW277" s="23">
        <v>16</v>
      </c>
      <c r="BX277" s="23">
        <v>13</v>
      </c>
      <c r="BY277" s="23">
        <v>16</v>
      </c>
      <c r="BZ277" s="23">
        <v>9</v>
      </c>
      <c r="CA277" s="23">
        <v>9</v>
      </c>
      <c r="CC277" s="23">
        <f t="shared" si="15"/>
        <v>1</v>
      </c>
      <c r="CD277" s="23">
        <f t="shared" si="16"/>
        <v>1</v>
      </c>
      <c r="CE277" s="23">
        <f t="shared" si="17"/>
        <v>10</v>
      </c>
      <c r="CF277" s="23" t="str" cm="1">
        <f t="array" aca="1" ref="CF277" ca="1">INDEX(AD277:AW277,1,CE277)</f>
        <v>C10</v>
      </c>
      <c r="CI277" s="23" t="b">
        <f ca="1"/>
        <v>0</v>
      </c>
      <c r="CJ277" s="23" t="b">
        <f ca="1"/>
        <v>0</v>
      </c>
      <c r="CK277" s="23" t="b">
        <f ca="1"/>
        <v>0</v>
      </c>
      <c r="CL277" s="23" t="b">
        <f ca="1"/>
        <v>0</v>
      </c>
      <c r="CM277" s="23" t="b">
        <f ca="1"/>
        <v>0</v>
      </c>
      <c r="CN277" s="23" t="b">
        <f ca="1"/>
        <v>0</v>
      </c>
      <c r="CO277" s="23" t="b">
        <f ca="1"/>
        <v>0</v>
      </c>
      <c r="CP277" s="23" t="b">
        <f ca="1"/>
        <v>0</v>
      </c>
      <c r="CQ277" s="23" t="b">
        <f ca="1"/>
        <v>0</v>
      </c>
      <c r="CR277" s="23" t="b">
        <f ca="1"/>
        <v>0</v>
      </c>
      <c r="CS277" s="23" t="b">
        <f ca="1"/>
        <v>0</v>
      </c>
      <c r="CT277" s="23" t="b">
        <f ca="1"/>
        <v>0</v>
      </c>
      <c r="CU277" s="23" t="b">
        <f ca="1"/>
        <v>0</v>
      </c>
      <c r="CV277" s="23" t="b">
        <f ca="1"/>
        <v>0</v>
      </c>
      <c r="CW277" s="23" t="b">
        <f ca="1"/>
        <v>0</v>
      </c>
      <c r="CX277" s="23" t="b">
        <f ca="1"/>
        <v>0</v>
      </c>
      <c r="CY277" s="23" t="b">
        <f ca="1"/>
        <v>0</v>
      </c>
      <c r="CZ277" s="23" t="b">
        <f ca="1"/>
        <v>0</v>
      </c>
      <c r="DA277" s="23" t="b">
        <f ca="1"/>
        <v>0</v>
      </c>
      <c r="DB277" s="23" t="b">
        <f ca="1"/>
        <v>0</v>
      </c>
    </row>
    <row r="278" spans="2:106" ht="22.5" customHeight="1">
      <c r="B278" s="32">
        <f t="shared" si="18"/>
        <v>115</v>
      </c>
      <c r="C278" s="32">
        <v>6</v>
      </c>
      <c r="D278" s="30">
        <v>10</v>
      </c>
      <c r="E278" s="34" t="str">
        <f ca="1"/>
        <v>K9</v>
      </c>
      <c r="F278" s="103"/>
      <c r="G278" s="33">
        <v>11</v>
      </c>
      <c r="H278" s="33" t="s">
        <v>250</v>
      </c>
      <c r="I278" s="33" t="s">
        <v>84</v>
      </c>
      <c r="J278" s="33" t="s">
        <v>64</v>
      </c>
      <c r="K278" s="33" t="s">
        <v>84</v>
      </c>
      <c r="L278" s="33" t="s">
        <v>84</v>
      </c>
      <c r="M278" s="33" t="s">
        <v>155</v>
      </c>
      <c r="N278" s="33" t="s">
        <v>63</v>
      </c>
      <c r="O278" s="33" t="s">
        <v>52</v>
      </c>
      <c r="P278" s="33" t="s">
        <v>191</v>
      </c>
      <c r="Q278" s="33" t="s">
        <v>144</v>
      </c>
      <c r="R278" s="33" t="s">
        <v>114</v>
      </c>
      <c r="S278" s="33" t="s">
        <v>55</v>
      </c>
      <c r="T278" s="33" t="s">
        <v>192</v>
      </c>
      <c r="U278" s="33" t="s">
        <v>65</v>
      </c>
      <c r="V278" s="33" t="s">
        <v>63</v>
      </c>
      <c r="W278" s="33" t="s">
        <v>89</v>
      </c>
      <c r="X278" s="33" t="s">
        <v>88</v>
      </c>
      <c r="Y278" s="33" t="s">
        <v>56</v>
      </c>
      <c r="Z278" s="33" t="s">
        <v>81</v>
      </c>
      <c r="AA278" s="33" t="s">
        <v>144</v>
      </c>
      <c r="AB278" s="33" t="s">
        <v>190</v>
      </c>
      <c r="AC278" s="115"/>
      <c r="AD278" s="31" t="str" cm="1">
        <f t="array" aca="1" ref="AD278" ca="1">_xlfn.LET(
_xlpm.x, IF(I$259&gt;$G278,"x",IFERROR(SUBSTITUTE(CELL("adres",OFFSET(INDIRECT(I278),,IF(LEFT(I278)="V",-1,1)*($G278-I$259),1,1)),"$",""),"x")),
_xlpm.y, IFERROR(IF(OR(COLUMN(INDIRECT(_xlpm.x))&gt;21, COLUMN(INDIRECT(_xlpm.x)) &lt;2), "x",_xlpm.x),"x"),
_xlpm.y)</f>
        <v>K26</v>
      </c>
      <c r="AE278" s="31" t="str" cm="1">
        <f t="array" aca="1" ref="AE278" ca="1">_xlfn.LET(
_xlpm.x, IF(J$259&gt;$G278,"x",IFERROR(SUBSTITUTE(CELL("adres",OFFSET(INDIRECT(J278),,IF(LEFT(J278)="V",-1,1)*($G278-J$259),1,1)),"$",""),"x")),
_xlpm.y, IFERROR(IF(OR(COLUMN(INDIRECT(_xlpm.x))&gt;21, COLUMN(INDIRECT(_xlpm.x)) &lt;2), "x",_xlpm.x),"x"),
_xlpm.y)</f>
        <v>K9</v>
      </c>
      <c r="AF278" s="31" t="str" cm="1">
        <f t="array" aca="1" ref="AF278" ca="1">_xlfn.LET(
_xlpm.x, IF(K$259&gt;$G278,"x",IFERROR(SUBSTITUTE(CELL("adres",OFFSET(INDIRECT(K278),,IF(LEFT(K278)="V",-1,1)*($G278-K$259),1,1)),"$",""),"x")),
_xlpm.y, IFERROR(IF(OR(COLUMN(INDIRECT(_xlpm.x))&gt;21, COLUMN(INDIRECT(_xlpm.x)) &lt;2), "x",_xlpm.x),"x"),
_xlpm.y)</f>
        <v>M26</v>
      </c>
      <c r="AG278" s="31" t="str" cm="1">
        <f t="array" aca="1" ref="AG278" ca="1">_xlfn.LET(
_xlpm.x, IF(L$259&gt;$G278,"x",IFERROR(SUBSTITUTE(CELL("adres",OFFSET(INDIRECT(L278),,IF(LEFT(L278)="V",-1,1)*($G278-L$259),1,1)),"$",""),"x")),
_xlpm.y, IFERROR(IF(OR(COLUMN(INDIRECT(_xlpm.x))&gt;21, COLUMN(INDIRECT(_xlpm.x)) &lt;2), "x",_xlpm.x),"x"),
_xlpm.y)</f>
        <v>N26</v>
      </c>
      <c r="AH278" s="31" t="str" cm="1">
        <f t="array" aca="1" ref="AH278" ca="1">_xlfn.LET(
_xlpm.x, IF(M$259&gt;$G278,"x",IFERROR(SUBSTITUTE(CELL("adres",OFFSET(INDIRECT(M278),,IF(LEFT(M278)="V",-1,1)*($G278-M$259),1,1)),"$",""),"x")),
_xlpm.y, IFERROR(IF(OR(COLUMN(INDIRECT(_xlpm.x))&gt;21, COLUMN(INDIRECT(_xlpm.x)) &lt;2), "x",_xlpm.x),"x"),
_xlpm.y)</f>
        <v>O20</v>
      </c>
      <c r="AI278" s="31" t="str" cm="1">
        <f t="array" aca="1" ref="AI278" ca="1">_xlfn.LET(
_xlpm.x, IF(N$259&gt;$G278,"x",IFERROR(SUBSTITUTE(CELL("adres",OFFSET(INDIRECT(N278),,IF(LEFT(N278)="V",-1,1)*($G278-N$259),1,1)),"$",""),"x")),
_xlpm.y, IFERROR(IF(OR(COLUMN(INDIRECT(_xlpm.x))&gt;21, COLUMN(INDIRECT(_xlpm.x)) &lt;2), "x",_xlpm.x),"x"),
_xlpm.y)</f>
        <v>G22</v>
      </c>
      <c r="AJ278" s="31" t="str" cm="1">
        <f t="array" aca="1" ref="AJ278" ca="1">_xlfn.LET(
_xlpm.x, IF(O$259&gt;$G278,"x",IFERROR(SUBSTITUTE(CELL("adres",OFFSET(INDIRECT(O278),,IF(LEFT(O278)="V",-1,1)*($G278-O$259),1,1)),"$",""),"x")),
_xlpm.y, IFERROR(IF(OR(COLUMN(INDIRECT(_xlpm.x))&gt;21, COLUMN(INDIRECT(_xlpm.x)) &lt;2), "x",_xlpm.x),"x"),
_xlpm.y)</f>
        <v>F25</v>
      </c>
      <c r="AK278" s="31" t="str" cm="1">
        <f t="array" aca="1" ref="AK278" ca="1">_xlfn.LET(
_xlpm.x, IF(P$259&gt;$G278,"x",IFERROR(SUBSTITUTE(CELL("adres",OFFSET(INDIRECT(P278),,IF(LEFT(P278)="V",-1,1)*($G278-P$259),1,1)),"$",""),"x")),
_xlpm.y, IFERROR(IF(OR(COLUMN(INDIRECT(_xlpm.x))&gt;21, COLUMN(INDIRECT(_xlpm.x)) &lt;2), "x",_xlpm.x),"x"),
_xlpm.y)</f>
        <v>R7</v>
      </c>
      <c r="AL278" s="31" t="str" cm="1">
        <f t="array" aca="1" ref="AL278" ca="1">_xlfn.LET(
_xlpm.x, IF(Q$259&gt;$G278,"x",IFERROR(SUBSTITUTE(CELL("adres",OFFSET(INDIRECT(Q278),,IF(LEFT(Q278)="V",-1,1)*($G278-Q$259),1,1)),"$",""),"x")),
_xlpm.y, IFERROR(IF(OR(COLUMN(INDIRECT(_xlpm.x))&gt;21, COLUMN(INDIRECT(_xlpm.x)) &lt;2), "x",_xlpm.x),"x"),
_xlpm.y)</f>
        <v>S11</v>
      </c>
      <c r="AM278" s="31" t="str" cm="1">
        <f t="array" aca="1" ref="AM278" ca="1">_xlfn.LET(
_xlpm.x, IF(R$259&gt;$G278,"x",IFERROR(SUBSTITUTE(CELL("adres",OFFSET(INDIRECT(R278),,IF(LEFT(R278)="V",-1,1)*($G278-R$259),1,1)),"$",""),"x")),
_xlpm.y, IFERROR(IF(OR(COLUMN(INDIRECT(_xlpm.x))&gt;21, COLUMN(INDIRECT(_xlpm.x)) &lt;2), "x",_xlpm.x),"x"),
_xlpm.y)</f>
        <v>T13</v>
      </c>
      <c r="AN278" s="31" t="str" cm="1">
        <f t="array" aca="1" ref="AN278" ca="1">_xlfn.LET(
_xlpm.x, IF(S$259&gt;$G278,"x",IFERROR(SUBSTITUTE(CELL("adres",OFFSET(INDIRECT(S278),,IF(LEFT(S278)="V",-1,1)*($G278-S$259),1,1)),"$",""),"x")),
_xlpm.y, IFERROR(IF(OR(COLUMN(INDIRECT(_xlpm.x))&gt;21, COLUMN(INDIRECT(_xlpm.x)) &lt;2), "x",_xlpm.x),"x"),
_xlpm.y)</f>
        <v>B26</v>
      </c>
      <c r="AO278" s="31" t="str" cm="1">
        <f t="array" aca="1" ref="AO278" ca="1">_xlfn.LET(
_xlpm.x, IF(T$259&gt;$G278,"x",IFERROR(SUBSTITUTE(CELL("adres",OFFSET(INDIRECT(T278),,IF(LEFT(T278)="V",-1,1)*($G278-T$259),1,1)),"$",""),"x")),
_xlpm.y, IFERROR(IF(OR(COLUMN(INDIRECT(_xlpm.x))&gt;21, COLUMN(INDIRECT(_xlpm.x)) &lt;2), "x",_xlpm.x),"x"),
_xlpm.y)</f>
        <v>x</v>
      </c>
      <c r="AP278" s="31" t="str" cm="1">
        <f t="array" aca="1" ref="AP278" ca="1">_xlfn.LET(
_xlpm.x, IF(U$259&gt;$G278,"x",IFERROR(SUBSTITUTE(CELL("adres",OFFSET(INDIRECT(U278),,IF(LEFT(U278)="V",-1,1)*($G278-U$259),1,1)),"$",""),"x")),
_xlpm.y, IFERROR(IF(OR(COLUMN(INDIRECT(_xlpm.x))&gt;21, COLUMN(INDIRECT(_xlpm.x)) &lt;2), "x",_xlpm.x),"x"),
_xlpm.y)</f>
        <v>x</v>
      </c>
      <c r="AQ278" s="31" t="str" cm="1">
        <f t="array" aca="1" ref="AQ278" ca="1">_xlfn.LET(
_xlpm.x, IF(V$259&gt;$G278,"x",IFERROR(SUBSTITUTE(CELL("adres",OFFSET(INDIRECT(V278),,IF(LEFT(V278)="V",-1,1)*($G278-V$259),1,1)),"$",""),"x")),
_xlpm.y, IFERROR(IF(OR(COLUMN(INDIRECT(_xlpm.x))&gt;21, COLUMN(INDIRECT(_xlpm.x)) &lt;2), "x",_xlpm.x),"x"),
_xlpm.y)</f>
        <v>x</v>
      </c>
      <c r="AR278" s="31" t="str" cm="1">
        <f t="array" aca="1" ref="AR278" ca="1">_xlfn.LET(
_xlpm.x, IF(W$259&gt;$G278,"x",IFERROR(SUBSTITUTE(CELL("adres",OFFSET(INDIRECT(W278),,IF(LEFT(W278)="V",-1,1)*($G278-W$259),1,1)),"$",""),"x")),
_xlpm.y, IFERROR(IF(OR(COLUMN(INDIRECT(_xlpm.x))&gt;21, COLUMN(INDIRECT(_xlpm.x)) &lt;2), "x",_xlpm.x),"x"),
_xlpm.y)</f>
        <v>x</v>
      </c>
      <c r="AS278" s="31" t="str" cm="1">
        <f t="array" aca="1" ref="AS278" ca="1">_xlfn.LET(
_xlpm.x, IF(X$259&gt;$G278,"x",IFERROR(SUBSTITUTE(CELL("adres",OFFSET(INDIRECT(X278),,IF(LEFT(X278)="V",-1,1)*($G278-X$259),1,1)),"$",""),"x")),
_xlpm.y, IFERROR(IF(OR(COLUMN(INDIRECT(_xlpm.x))&gt;21, COLUMN(INDIRECT(_xlpm.x)) &lt;2), "x",_xlpm.x),"x"),
_xlpm.y)</f>
        <v>x</v>
      </c>
      <c r="AT278" s="31" t="str" cm="1">
        <f t="array" aca="1" ref="AT278" ca="1">_xlfn.LET(
_xlpm.x, IF(Y$259&gt;$G278,"x",IFERROR(SUBSTITUTE(CELL("adres",OFFSET(INDIRECT(Y278),,IF(LEFT(Y278)="V",-1,1)*($G278-Y$259),1,1)),"$",""),"x")),
_xlpm.y, IFERROR(IF(OR(COLUMN(INDIRECT(_xlpm.x))&gt;21, COLUMN(INDIRECT(_xlpm.x)) &lt;2), "x",_xlpm.x),"x"),
_xlpm.y)</f>
        <v>x</v>
      </c>
      <c r="AU278" s="31" t="str" cm="1">
        <f t="array" aca="1" ref="AU278" ca="1">_xlfn.LET(
_xlpm.x, IF(Z$259&gt;$G278,"x",IFERROR(SUBSTITUTE(CELL("adres",OFFSET(INDIRECT(Z278),,IF(LEFT(Z278)="V",-1,1)*($G278-Z$259),1,1)),"$",""),"x")),
_xlpm.y, IFERROR(IF(OR(COLUMN(INDIRECT(_xlpm.x))&gt;21, COLUMN(INDIRECT(_xlpm.x)) &lt;2), "x",_xlpm.x),"x"),
_xlpm.y)</f>
        <v>x</v>
      </c>
      <c r="AV278" s="31" t="str" cm="1">
        <f t="array" aca="1" ref="AV278" ca="1">_xlfn.LET(
_xlpm.x, IF(AA$259&gt;$G278,"x",IFERROR(SUBSTITUTE(CELL("adres",OFFSET(INDIRECT(AA278),,IF(LEFT(AA278)="V",-1,1)*($G278-AA$259),1,1)),"$",""),"x")),
_xlpm.y, IFERROR(IF(OR(COLUMN(INDIRECT(_xlpm.x))&gt;21, COLUMN(INDIRECT(_xlpm.x)) &lt;2), "x",_xlpm.x),"x"),
_xlpm.y)</f>
        <v>x</v>
      </c>
      <c r="AW278" s="31" t="str" cm="1">
        <f t="array" aca="1" ref="AW278" ca="1">_xlfn.LET(
_xlpm.x, IF(AB$259&gt;$G278,"x",IFERROR(SUBSTITUTE(CELL("adres",OFFSET(INDIRECT(AB278),,IF(LEFT(AB278)="V",-1,1)*($G278-AB$259),1,1)),"$",""),"x")),
_xlpm.y, IFERROR(IF(OR(COLUMN(INDIRECT(_xlpm.x))&gt;21, COLUMN(INDIRECT(_xlpm.x)) &lt;2), "x",_xlpm.x),"x"),
_xlpm.y)</f>
        <v>x</v>
      </c>
      <c r="AX278" s="23" cm="1">
        <f t="array" aca="1" ref="AX278" ca="1">ROW(INDIRECT(AD278))</f>
        <v>26</v>
      </c>
      <c r="AY278" s="23" cm="1">
        <f t="array" aca="1" ref="AY278" ca="1">ROW(INDIRECT(H278))</f>
        <v>11</v>
      </c>
      <c r="AZ278" s="23">
        <f t="shared" ca="1" si="12"/>
        <v>15</v>
      </c>
      <c r="BA278" s="23" cm="1">
        <f t="array" aca="1" ref="BA278" ca="1">COLUMN(INDIRECT(AD278))</f>
        <v>11</v>
      </c>
      <c r="BB278" s="23" cm="1">
        <f t="array" aca="1" ref="BB278" ca="1">COLUMN(INDIRECT(H278))</f>
        <v>6</v>
      </c>
      <c r="BC278" s="23">
        <f t="shared" ca="1" si="13"/>
        <v>5</v>
      </c>
      <c r="BE278" s="23">
        <f t="shared" ca="1" si="14"/>
        <v>15</v>
      </c>
      <c r="BH278" s="23">
        <v>15</v>
      </c>
      <c r="BI278" s="23">
        <v>5</v>
      </c>
      <c r="BJ278" s="23">
        <v>15</v>
      </c>
      <c r="BK278" s="23">
        <v>15</v>
      </c>
      <c r="BL278" s="23">
        <v>9</v>
      </c>
      <c r="BM278" s="23">
        <v>11</v>
      </c>
      <c r="BN278" s="23">
        <v>14</v>
      </c>
      <c r="BO278" s="23">
        <v>12</v>
      </c>
      <c r="BP278" s="23">
        <v>13</v>
      </c>
      <c r="BQ278" s="23">
        <v>14</v>
      </c>
      <c r="BR278" s="23">
        <v>15</v>
      </c>
      <c r="BS278" s="23">
        <v>1000</v>
      </c>
      <c r="BT278" s="23">
        <v>1000</v>
      </c>
      <c r="BU278" s="23">
        <v>1000</v>
      </c>
      <c r="BV278" s="23">
        <v>1000</v>
      </c>
      <c r="BW278" s="23">
        <v>1000</v>
      </c>
      <c r="BX278" s="23">
        <v>1000</v>
      </c>
      <c r="BY278" s="23">
        <v>1000</v>
      </c>
      <c r="BZ278" s="23">
        <v>1000</v>
      </c>
      <c r="CA278" s="23">
        <v>1000</v>
      </c>
      <c r="CC278" s="23">
        <f t="shared" si="15"/>
        <v>5</v>
      </c>
      <c r="CD278" s="23">
        <f t="shared" si="16"/>
        <v>1</v>
      </c>
      <c r="CE278" s="23">
        <f t="shared" si="17"/>
        <v>2</v>
      </c>
      <c r="CF278" s="23" t="str" cm="1">
        <f t="array" aca="1" ref="CF278" ca="1">INDEX(AD278:AW278,1,CE278)</f>
        <v>K9</v>
      </c>
      <c r="CI278" s="23" t="b">
        <f ca="1"/>
        <v>0</v>
      </c>
      <c r="CJ278" s="23" t="b">
        <f ca="1"/>
        <v>0</v>
      </c>
      <c r="CK278" s="23" t="b">
        <f ca="1"/>
        <v>0</v>
      </c>
      <c r="CL278" s="23" t="b">
        <f ca="1"/>
        <v>0</v>
      </c>
      <c r="CM278" s="23" t="b">
        <f ca="1"/>
        <v>0</v>
      </c>
      <c r="CN278" s="23" t="b">
        <f ca="1"/>
        <v>0</v>
      </c>
      <c r="CO278" s="23" t="b">
        <f ca="1"/>
        <v>0</v>
      </c>
      <c r="CP278" s="23" t="b">
        <f ca="1"/>
        <v>0</v>
      </c>
      <c r="CQ278" s="23" t="b">
        <f ca="1"/>
        <v>0</v>
      </c>
      <c r="CR278" s="23" t="b">
        <f ca="1"/>
        <v>0</v>
      </c>
      <c r="CS278" s="23" t="b">
        <f ca="1"/>
        <v>0</v>
      </c>
      <c r="CT278" s="23" t="b">
        <f ca="1"/>
        <v>0</v>
      </c>
      <c r="CU278" s="23" t="b">
        <f ca="1"/>
        <v>0</v>
      </c>
      <c r="CV278" s="23" t="b">
        <f ca="1"/>
        <v>0</v>
      </c>
      <c r="CW278" s="23" t="b">
        <f ca="1"/>
        <v>0</v>
      </c>
      <c r="CX278" s="23" t="b">
        <f ca="1"/>
        <v>0</v>
      </c>
      <c r="CY278" s="23" t="b">
        <f ca="1"/>
        <v>0</v>
      </c>
      <c r="CZ278" s="23" t="b">
        <f ca="1"/>
        <v>0</v>
      </c>
      <c r="DA278" s="23" t="b">
        <f ca="1"/>
        <v>0</v>
      </c>
      <c r="DB278" s="23" t="b">
        <f ca="1"/>
        <v>0</v>
      </c>
    </row>
    <row r="279" spans="2:106" ht="22.5" customHeight="1">
      <c r="B279" s="32">
        <f t="shared" si="18"/>
        <v>116</v>
      </c>
      <c r="C279" s="32">
        <v>6</v>
      </c>
      <c r="D279" s="30">
        <v>10</v>
      </c>
      <c r="E279" s="34" t="str">
        <f ca="1"/>
        <v>P3</v>
      </c>
      <c r="F279" s="103"/>
      <c r="G279" s="33">
        <v>17</v>
      </c>
      <c r="H279" s="33" t="s">
        <v>251</v>
      </c>
      <c r="I279" s="33" t="s">
        <v>91</v>
      </c>
      <c r="J279" s="33" t="s">
        <v>54</v>
      </c>
      <c r="K279" s="33" t="s">
        <v>56</v>
      </c>
      <c r="L279" s="33" t="s">
        <v>111</v>
      </c>
      <c r="M279" s="33" t="s">
        <v>86</v>
      </c>
      <c r="N279" s="33" t="s">
        <v>113</v>
      </c>
      <c r="O279" s="33" t="s">
        <v>59</v>
      </c>
      <c r="P279" s="33" t="s">
        <v>92</v>
      </c>
      <c r="Q279" s="33" t="s">
        <v>155</v>
      </c>
      <c r="R279" s="33" t="s">
        <v>83</v>
      </c>
      <c r="S279" s="33" t="s">
        <v>55</v>
      </c>
      <c r="T279" s="33" t="s">
        <v>55</v>
      </c>
      <c r="U279" s="33" t="s">
        <v>50</v>
      </c>
      <c r="V279" s="33" t="s">
        <v>155</v>
      </c>
      <c r="W279" s="33" t="s">
        <v>56</v>
      </c>
      <c r="X279" s="33" t="s">
        <v>186</v>
      </c>
      <c r="Y279" s="33" t="s">
        <v>88</v>
      </c>
      <c r="Z279" s="33" t="s">
        <v>86</v>
      </c>
      <c r="AA279" s="33" t="s">
        <v>85</v>
      </c>
      <c r="AB279" s="33" t="s">
        <v>64</v>
      </c>
      <c r="AC279" s="115"/>
      <c r="AD279" s="31" t="str" cm="1">
        <f t="array" aca="1" ref="AD279" ca="1">_xlfn.LET(
_xlpm.x, IF(I$259&gt;$G279,"x",IFERROR(SUBSTITUTE(CELL("adres",OFFSET(INDIRECT(I279),,IF(LEFT(I279)="V",-1,1)*($G279-I$259),1,1)),"$",""),"x")),
_xlpm.y, IFERROR(IF(OR(COLUMN(INDIRECT(_xlpm.x))&gt;21, COLUMN(INDIRECT(_xlpm.x)) &lt;2), "x",_xlpm.x),"x"),
_xlpm.y)</f>
        <v>E3</v>
      </c>
      <c r="AE279" s="31" t="str" cm="1">
        <f t="array" aca="1" ref="AE279" ca="1">_xlfn.LET(
_xlpm.x, IF(J$259&gt;$G279,"x",IFERROR(SUBSTITUTE(CELL("adres",OFFSET(INDIRECT(J279),,IF(LEFT(J279)="V",-1,1)*($G279-J$259),1,1)),"$",""),"x")),
_xlpm.y, IFERROR(IF(OR(COLUMN(INDIRECT(_xlpm.x))&gt;21, COLUMN(INDIRECT(_xlpm.x)) &lt;2), "x",_xlpm.x),"x"),
_xlpm.y)</f>
        <v>Q19</v>
      </c>
      <c r="AF279" s="31" t="str" cm="1">
        <f t="array" aca="1" ref="AF279" ca="1">_xlfn.LET(
_xlpm.x, IF(K$259&gt;$G279,"x",IFERROR(SUBSTITUTE(CELL("adres",OFFSET(INDIRECT(K279),,IF(LEFT(K279)="V",-1,1)*($G279-K$259),1,1)),"$",""),"x")),
_xlpm.y, IFERROR(IF(OR(COLUMN(INDIRECT(_xlpm.x))&gt;21, COLUMN(INDIRECT(_xlpm.x)) &lt;2), "x",_xlpm.x),"x"),
_xlpm.y)</f>
        <v>P3</v>
      </c>
      <c r="AG279" s="31" t="str" cm="1">
        <f t="array" aca="1" ref="AG279" ca="1">_xlfn.LET(
_xlpm.x, IF(L$259&gt;$G279,"x",IFERROR(SUBSTITUTE(CELL("adres",OFFSET(INDIRECT(L279),,IF(LEFT(L279)="V",-1,1)*($G279-L$259),1,1)),"$",""),"x")),
_xlpm.y, IFERROR(IF(OR(COLUMN(INDIRECT(_xlpm.x))&gt;21, COLUMN(INDIRECT(_xlpm.x)) &lt;2), "x",_xlpm.x),"x"),
_xlpm.y)</f>
        <v>H18</v>
      </c>
      <c r="AH279" s="31" t="str" cm="1">
        <f t="array" aca="1" ref="AH279" ca="1">_xlfn.LET(
_xlpm.x, IF(M$259&gt;$G279,"x",IFERROR(SUBSTITUTE(CELL("adres",OFFSET(INDIRECT(M279),,IF(LEFT(M279)="V",-1,1)*($G279-M$259),1,1)),"$",""),"x")),
_xlpm.y, IFERROR(IF(OR(COLUMN(INDIRECT(_xlpm.x))&gt;21, COLUMN(INDIRECT(_xlpm.x)) &lt;2), "x",_xlpm.x),"x"),
_xlpm.y)</f>
        <v>I17</v>
      </c>
      <c r="AI279" s="31" t="str" cm="1">
        <f t="array" aca="1" ref="AI279" ca="1">_xlfn.LET(
_xlpm.x, IF(N$259&gt;$G279,"x",IFERROR(SUBSTITUTE(CELL("adres",OFFSET(INDIRECT(N279),,IF(LEFT(N279)="V",-1,1)*($G279-N$259),1,1)),"$",""),"x")),
_xlpm.y, IFERROR(IF(OR(COLUMN(INDIRECT(_xlpm.x))&gt;21, COLUMN(INDIRECT(_xlpm.x)) &lt;2), "x",_xlpm.x),"x"),
_xlpm.y)</f>
        <v>M14</v>
      </c>
      <c r="AJ279" s="31" t="str" cm="1">
        <f t="array" aca="1" ref="AJ279" ca="1">_xlfn.LET(
_xlpm.x, IF(O$259&gt;$G279,"x",IFERROR(SUBSTITUTE(CELL("adres",OFFSET(INDIRECT(O279),,IF(LEFT(O279)="V",-1,1)*($G279-O$259),1,1)),"$",""),"x")),
_xlpm.y, IFERROR(IF(OR(COLUMN(INDIRECT(_xlpm.x))&gt;21, COLUMN(INDIRECT(_xlpm.x)) &lt;2), "x",_xlpm.x),"x"),
_xlpm.y)</f>
        <v>L7</v>
      </c>
      <c r="AK279" s="31" t="str" cm="1">
        <f t="array" aca="1" ref="AK279" ca="1">_xlfn.LET(
_xlpm.x, IF(P$259&gt;$G279,"x",IFERROR(SUBSTITUTE(CELL("adres",OFFSET(INDIRECT(P279),,IF(LEFT(P279)="V",-1,1)*($G279-P$259),1,1)),"$",""),"x")),
_xlpm.y, IFERROR(IF(OR(COLUMN(INDIRECT(_xlpm.x))&gt;21, COLUMN(INDIRECT(_xlpm.x)) &lt;2), "x",_xlpm.x),"x"),
_xlpm.y)</f>
        <v>L5</v>
      </c>
      <c r="AL279" s="31" t="str" cm="1">
        <f t="array" aca="1" ref="AL279" ca="1">_xlfn.LET(
_xlpm.x, IF(Q$259&gt;$G279,"x",IFERROR(SUBSTITUTE(CELL("adres",OFFSET(INDIRECT(Q279),,IF(LEFT(Q279)="V",-1,1)*($G279-Q$259),1,1)),"$",""),"x")),
_xlpm.y, IFERROR(IF(OR(COLUMN(INDIRECT(_xlpm.x))&gt;21, COLUMN(INDIRECT(_xlpm.x)) &lt;2), "x",_xlpm.x),"x"),
_xlpm.y)</f>
        <v>M20</v>
      </c>
      <c r="AM279" s="31" t="str" cm="1">
        <f t="array" aca="1" ref="AM279" ca="1">_xlfn.LET(
_xlpm.x, IF(R$259&gt;$G279,"x",IFERROR(SUBSTITUTE(CELL("adres",OFFSET(INDIRECT(R279),,IF(LEFT(R279)="V",-1,1)*($G279-R$259),1,1)),"$",""),"x")),
_xlpm.y, IFERROR(IF(OR(COLUMN(INDIRECT(_xlpm.x))&gt;21, COLUMN(INDIRECT(_xlpm.x)) &lt;2), "x",_xlpm.x),"x"),
_xlpm.y)</f>
        <v>N21</v>
      </c>
      <c r="AN279" s="31" t="str" cm="1">
        <f t="array" aca="1" ref="AN279" ca="1">_xlfn.LET(
_xlpm.x, IF(S$259&gt;$G279,"x",IFERROR(SUBSTITUTE(CELL("adres",OFFSET(INDIRECT(S279),,IF(LEFT(S279)="V",-1,1)*($G279-S$259),1,1)),"$",""),"x")),
_xlpm.y, IFERROR(IF(OR(COLUMN(INDIRECT(_xlpm.x))&gt;21, COLUMN(INDIRECT(_xlpm.x)) &lt;2), "x",_xlpm.x),"x"),
_xlpm.y)</f>
        <v>H26</v>
      </c>
      <c r="AO279" s="31" t="str" cm="1">
        <f t="array" aca="1" ref="AO279" ca="1">_xlfn.LET(
_xlpm.x, IF(T$259&gt;$G279,"x",IFERROR(SUBSTITUTE(CELL("adres",OFFSET(INDIRECT(T279),,IF(LEFT(T279)="V",-1,1)*($G279-T$259),1,1)),"$",""),"x")),
_xlpm.y, IFERROR(IF(OR(COLUMN(INDIRECT(_xlpm.x))&gt;21, COLUMN(INDIRECT(_xlpm.x)) &lt;2), "x",_xlpm.x),"x"),
_xlpm.y)</f>
        <v>G26</v>
      </c>
      <c r="AP279" s="31" t="str" cm="1">
        <f t="array" aca="1" ref="AP279" ca="1">_xlfn.LET(
_xlpm.x, IF(U$259&gt;$G279,"x",IFERROR(SUBSTITUTE(CELL("adres",OFFSET(INDIRECT(U279),,IF(LEFT(U279)="V",-1,1)*($G279-U$259),1,1)),"$",""),"x")),
_xlpm.y, IFERROR(IF(OR(COLUMN(INDIRECT(_xlpm.x))&gt;21, COLUMN(INDIRECT(_xlpm.x)) &lt;2), "x",_xlpm.x),"x"),
_xlpm.y)</f>
        <v>F13</v>
      </c>
      <c r="AQ279" s="31" t="str" cm="1">
        <f t="array" aca="1" ref="AQ279" ca="1">_xlfn.LET(
_xlpm.x, IF(V$259&gt;$G279,"x",IFERROR(SUBSTITUTE(CELL("adres",OFFSET(INDIRECT(V279),,IF(LEFT(V279)="V",-1,1)*($G279-V$259),1,1)),"$",""),"x")),
_xlpm.y, IFERROR(IF(OR(COLUMN(INDIRECT(_xlpm.x))&gt;21, COLUMN(INDIRECT(_xlpm.x)) &lt;2), "x",_xlpm.x),"x"),
_xlpm.y)</f>
        <v>R20</v>
      </c>
      <c r="AR279" s="31" t="str" cm="1">
        <f t="array" aca="1" ref="AR279" ca="1">_xlfn.LET(
_xlpm.x, IF(W$259&gt;$G279,"x",IFERROR(SUBSTITUTE(CELL("adres",OFFSET(INDIRECT(W279),,IF(LEFT(W279)="V",-1,1)*($G279-W$259),1,1)),"$",""),"x")),
_xlpm.y, IFERROR(IF(OR(COLUMN(INDIRECT(_xlpm.x))&gt;21, COLUMN(INDIRECT(_xlpm.x)) &lt;2), "x",_xlpm.x),"x"),
_xlpm.y)</f>
        <v>D3</v>
      </c>
      <c r="AS279" s="31" t="str" cm="1">
        <f t="array" aca="1" ref="AS279" ca="1">_xlfn.LET(
_xlpm.x, IF(X$259&gt;$G279,"x",IFERROR(SUBSTITUTE(CELL("adres",OFFSET(INDIRECT(X279),,IF(LEFT(X279)="V",-1,1)*($G279-X$259),1,1)),"$",""),"x")),
_xlpm.y, IFERROR(IF(OR(COLUMN(INDIRECT(_xlpm.x))&gt;21, COLUMN(INDIRECT(_xlpm.x)) &lt;2), "x",_xlpm.x),"x"),
_xlpm.y)</f>
        <v>T15</v>
      </c>
      <c r="AT279" s="31" t="str" cm="1">
        <f t="array" aca="1" ref="AT279" ca="1">_xlfn.LET(
_xlpm.x, IF(Y$259&gt;$G279,"x",IFERROR(SUBSTITUTE(CELL("adres",OFFSET(INDIRECT(Y279),,IF(LEFT(Y279)="V",-1,1)*($G279-Y$259),1,1)),"$",""),"x")),
_xlpm.y, IFERROR(IF(OR(COLUMN(INDIRECT(_xlpm.x))&gt;21, COLUMN(INDIRECT(_xlpm.x)) &lt;2), "x",_xlpm.x),"x"),
_xlpm.y)</f>
        <v>U9</v>
      </c>
      <c r="AU279" s="31" t="str" cm="1">
        <f t="array" aca="1" ref="AU279" ca="1">_xlfn.LET(
_xlpm.x, IF(Z$259&gt;$G279,"x",IFERROR(SUBSTITUTE(CELL("adres",OFFSET(INDIRECT(Z279),,IF(LEFT(Z279)="V",-1,1)*($G279-Z$259),1,1)),"$",""),"x")),
_xlpm.y, IFERROR(IF(OR(COLUMN(INDIRECT(_xlpm.x))&gt;21, COLUMN(INDIRECT(_xlpm.x)) &lt;2), "x",_xlpm.x),"x"),
_xlpm.y)</f>
        <v>x</v>
      </c>
      <c r="AV279" s="31" t="str" cm="1">
        <f t="array" aca="1" ref="AV279" ca="1">_xlfn.LET(
_xlpm.x, IF(AA$259&gt;$G279,"x",IFERROR(SUBSTITUTE(CELL("adres",OFFSET(INDIRECT(AA279),,IF(LEFT(AA279)="V",-1,1)*($G279-AA$259),1,1)),"$",""),"x")),
_xlpm.y, IFERROR(IF(OR(COLUMN(INDIRECT(_xlpm.x))&gt;21, COLUMN(INDIRECT(_xlpm.x)) &lt;2), "x",_xlpm.x),"x"),
_xlpm.y)</f>
        <v>x</v>
      </c>
      <c r="AW279" s="31" t="str" cm="1">
        <f t="array" aca="1" ref="AW279" ca="1">_xlfn.LET(
_xlpm.x, IF(AB$259&gt;$G279,"x",IFERROR(SUBSTITUTE(CELL("adres",OFFSET(INDIRECT(AB279),,IF(LEFT(AB279)="V",-1,1)*($G279-AB$259),1,1)),"$",""),"x")),
_xlpm.y, IFERROR(IF(OR(COLUMN(INDIRECT(_xlpm.x))&gt;21, COLUMN(INDIRECT(_xlpm.x)) &lt;2), "x",_xlpm.x),"x"),
_xlpm.y)</f>
        <v>x</v>
      </c>
      <c r="AX279" s="23" cm="1">
        <f t="array" aca="1" ref="AX279" ca="1">ROW(INDIRECT(AD279))</f>
        <v>3</v>
      </c>
      <c r="AY279" s="23" cm="1">
        <f t="array" aca="1" ref="AY279" ca="1">ROW(INDIRECT(H279))</f>
        <v>2</v>
      </c>
      <c r="AZ279" s="23">
        <f t="shared" ca="1" si="12"/>
        <v>1</v>
      </c>
      <c r="BA279" s="23" cm="1">
        <f t="array" aca="1" ref="BA279" ca="1">COLUMN(INDIRECT(AD279))</f>
        <v>5</v>
      </c>
      <c r="BB279" s="23" cm="1">
        <f t="array" aca="1" ref="BB279" ca="1">COLUMN(INDIRECT(H279))</f>
        <v>21</v>
      </c>
      <c r="BC279" s="23">
        <f t="shared" ca="1" si="13"/>
        <v>16</v>
      </c>
      <c r="BE279" s="23">
        <f t="shared" ca="1" si="14"/>
        <v>16</v>
      </c>
      <c r="BH279" s="23">
        <v>16</v>
      </c>
      <c r="BI279" s="23">
        <v>17</v>
      </c>
      <c r="BJ279" s="23">
        <v>5</v>
      </c>
      <c r="BK279" s="23">
        <v>16</v>
      </c>
      <c r="BL279" s="23">
        <v>15</v>
      </c>
      <c r="BM279" s="23">
        <v>12</v>
      </c>
      <c r="BN279" s="23">
        <v>9</v>
      </c>
      <c r="BO279" s="23">
        <v>9</v>
      </c>
      <c r="BP279" s="23">
        <v>18</v>
      </c>
      <c r="BQ279" s="23">
        <v>19</v>
      </c>
      <c r="BR279" s="23">
        <v>24</v>
      </c>
      <c r="BS279" s="23">
        <v>24</v>
      </c>
      <c r="BT279" s="23">
        <v>15</v>
      </c>
      <c r="BU279" s="23">
        <v>18</v>
      </c>
      <c r="BV279" s="23">
        <v>17</v>
      </c>
      <c r="BW279" s="23">
        <v>13</v>
      </c>
      <c r="BX279" s="23">
        <v>7</v>
      </c>
      <c r="BY279" s="23">
        <v>1000</v>
      </c>
      <c r="BZ279" s="23">
        <v>1000</v>
      </c>
      <c r="CA279" s="23">
        <v>1000</v>
      </c>
      <c r="CC279" s="23">
        <f t="shared" si="15"/>
        <v>5</v>
      </c>
      <c r="CD279" s="23">
        <f t="shared" si="16"/>
        <v>1</v>
      </c>
      <c r="CE279" s="23">
        <f t="shared" si="17"/>
        <v>3</v>
      </c>
      <c r="CF279" s="23" t="str" cm="1">
        <f t="array" aca="1" ref="CF279" ca="1">INDEX(AD279:AW279,1,CE279)</f>
        <v>P3</v>
      </c>
      <c r="CI279" s="23" t="b">
        <f ca="1"/>
        <v>0</v>
      </c>
      <c r="CJ279" s="23" t="b">
        <f ca="1"/>
        <v>0</v>
      </c>
      <c r="CK279" s="23" t="b">
        <f ca="1"/>
        <v>0</v>
      </c>
      <c r="CL279" s="23" t="b">
        <f ca="1"/>
        <v>0</v>
      </c>
      <c r="CM279" s="23" t="b">
        <f ca="1"/>
        <v>0</v>
      </c>
      <c r="CN279" s="23" t="b">
        <f ca="1"/>
        <v>0</v>
      </c>
      <c r="CO279" s="23" t="b">
        <f ca="1"/>
        <v>0</v>
      </c>
      <c r="CP279" s="23" t="b">
        <f ca="1"/>
        <v>0</v>
      </c>
      <c r="CQ279" s="23" t="b">
        <f ca="1"/>
        <v>0</v>
      </c>
      <c r="CR279" s="23" t="b">
        <f ca="1"/>
        <v>0</v>
      </c>
      <c r="CS279" s="23" t="b">
        <f ca="1"/>
        <v>0</v>
      </c>
      <c r="CT279" s="23" t="b">
        <f ca="1"/>
        <v>0</v>
      </c>
      <c r="CU279" s="23" t="b">
        <f ca="1"/>
        <v>0</v>
      </c>
      <c r="CV279" s="23" t="b">
        <f ca="1"/>
        <v>0</v>
      </c>
      <c r="CW279" s="23" t="b">
        <f ca="1"/>
        <v>0</v>
      </c>
      <c r="CX279" s="23" t="b">
        <f ca="1"/>
        <v>0</v>
      </c>
      <c r="CY279" s="23" t="b">
        <f ca="1"/>
        <v>0</v>
      </c>
      <c r="CZ279" s="23" t="b">
        <f ca="1"/>
        <v>0</v>
      </c>
      <c r="DA279" s="23" t="b">
        <f ca="1"/>
        <v>0</v>
      </c>
      <c r="DB279" s="23" t="b">
        <f ca="1"/>
        <v>0</v>
      </c>
    </row>
    <row r="280" spans="2:106" ht="22.5" customHeight="1">
      <c r="B280" s="32">
        <f t="shared" si="18"/>
        <v>117</v>
      </c>
      <c r="C280" s="32">
        <v>6</v>
      </c>
      <c r="D280" s="30">
        <v>10</v>
      </c>
      <c r="E280" s="34" t="str">
        <f ca="1"/>
        <v>U4</v>
      </c>
      <c r="F280" s="103"/>
      <c r="G280" s="33">
        <v>28</v>
      </c>
      <c r="H280" s="33" t="s">
        <v>252</v>
      </c>
      <c r="I280" s="33" t="s">
        <v>190</v>
      </c>
      <c r="J280" s="33" t="s">
        <v>88</v>
      </c>
      <c r="K280" s="33" t="s">
        <v>178</v>
      </c>
      <c r="L280" s="33" t="s">
        <v>62</v>
      </c>
      <c r="M280" s="33" t="s">
        <v>63</v>
      </c>
      <c r="N280" s="33" t="s">
        <v>83</v>
      </c>
      <c r="O280" s="33" t="s">
        <v>200</v>
      </c>
      <c r="P280" s="33" t="s">
        <v>54</v>
      </c>
      <c r="Q280" s="33" t="s">
        <v>53</v>
      </c>
      <c r="R280" s="33" t="s">
        <v>184</v>
      </c>
      <c r="S280" s="33" t="s">
        <v>179</v>
      </c>
      <c r="T280" s="33" t="s">
        <v>111</v>
      </c>
      <c r="U280" s="33" t="s">
        <v>155</v>
      </c>
      <c r="V280" s="33" t="s">
        <v>50</v>
      </c>
      <c r="W280" s="33" t="s">
        <v>60</v>
      </c>
      <c r="X280" s="33" t="s">
        <v>190</v>
      </c>
      <c r="Y280" s="33" t="s">
        <v>192</v>
      </c>
      <c r="Z280" s="33" t="s">
        <v>113</v>
      </c>
      <c r="AA280" s="33" t="s">
        <v>86</v>
      </c>
      <c r="AB280" s="33" t="s">
        <v>62</v>
      </c>
      <c r="AC280" s="115"/>
      <c r="AD280" s="31" t="str" cm="1">
        <f t="array" aca="1" ref="AD280" ca="1">_xlfn.LET(
_xlpm.x, IF(I$259&gt;$G280,"x",IFERROR(SUBSTITUTE(CELL("adres",OFFSET(INDIRECT(I280),,IF(LEFT(I280)="V",-1,1)*($G280-I$259),1,1)),"$",""),"x")),
_xlpm.y, IFERROR(IF(OR(COLUMN(INDIRECT(_xlpm.x))&gt;21, COLUMN(INDIRECT(_xlpm.x)) &lt;2), "x",_xlpm.x),"x"),
_xlpm.y)</f>
        <v>x</v>
      </c>
      <c r="AE280" s="31" t="str" cm="1">
        <f t="array" aca="1" ref="AE280" ca="1">_xlfn.LET(
_xlpm.x, IF(J$259&gt;$G280,"x",IFERROR(SUBSTITUTE(CELL("adres",OFFSET(INDIRECT(J280),,IF(LEFT(J280)="V",-1,1)*($G280-J$259),1,1)),"$",""),"x")),
_xlpm.y, IFERROR(IF(OR(COLUMN(INDIRECT(_xlpm.x))&gt;21, COLUMN(INDIRECT(_xlpm.x)) &lt;2), "x",_xlpm.x),"x"),
_xlpm.y)</f>
        <v>x</v>
      </c>
      <c r="AF280" s="31" t="str" cm="1">
        <f t="array" aca="1" ref="AF280" ca="1">_xlfn.LET(
_xlpm.x, IF(K$259&gt;$G280,"x",IFERROR(SUBSTITUTE(CELL("adres",OFFSET(INDIRECT(K280),,IF(LEFT(K280)="V",-1,1)*($G280-K$259),1,1)),"$",""),"x")),
_xlpm.y, IFERROR(IF(OR(COLUMN(INDIRECT(_xlpm.x))&gt;21, COLUMN(INDIRECT(_xlpm.x)) &lt;2), "x",_xlpm.x),"x"),
_xlpm.y)</f>
        <v>x</v>
      </c>
      <c r="AG280" s="31" t="str" cm="1">
        <f t="array" aca="1" ref="AG280" ca="1">_xlfn.LET(
_xlpm.x, IF(L$259&gt;$G280,"x",IFERROR(SUBSTITUTE(CELL("adres",OFFSET(INDIRECT(L280),,IF(LEFT(L280)="V",-1,1)*($G280-L$259),1,1)),"$",""),"x")),
_xlpm.y, IFERROR(IF(OR(COLUMN(INDIRECT(_xlpm.x))&gt;21, COLUMN(INDIRECT(_xlpm.x)) &lt;2), "x",_xlpm.x),"x"),
_xlpm.y)</f>
        <v>x</v>
      </c>
      <c r="AH280" s="31" t="str" cm="1">
        <f t="array" aca="1" ref="AH280" ca="1">_xlfn.LET(
_xlpm.x, IF(M$259&gt;$G280,"x",IFERROR(SUBSTITUTE(CELL("adres",OFFSET(INDIRECT(M280),,IF(LEFT(M280)="V",-1,1)*($G280-M$259),1,1)),"$",""),"x")),
_xlpm.y, IFERROR(IF(OR(COLUMN(INDIRECT(_xlpm.x))&gt;21, COLUMN(INDIRECT(_xlpm.x)) &lt;2), "x",_xlpm.x),"x"),
_xlpm.y)</f>
        <v>x</v>
      </c>
      <c r="AI280" s="31" t="str" cm="1">
        <f t="array" aca="1" ref="AI280" ca="1">_xlfn.LET(
_xlpm.x, IF(N$259&gt;$G280,"x",IFERROR(SUBSTITUTE(CELL("adres",OFFSET(INDIRECT(N280),,IF(LEFT(N280)="V",-1,1)*($G280-N$259),1,1)),"$",""),"x")),
_xlpm.y, IFERROR(IF(OR(COLUMN(INDIRECT(_xlpm.x))&gt;21, COLUMN(INDIRECT(_xlpm.x)) &lt;2), "x",_xlpm.x),"x"),
_xlpm.y)</f>
        <v>x</v>
      </c>
      <c r="AJ280" s="31" t="str" cm="1">
        <f t="array" aca="1" ref="AJ280" ca="1">_xlfn.LET(
_xlpm.x, IF(O$259&gt;$G280,"x",IFERROR(SUBSTITUTE(CELL("adres",OFFSET(INDIRECT(O280),,IF(LEFT(O280)="V",-1,1)*($G280-O$259),1,1)),"$",""),"x")),
_xlpm.y, IFERROR(IF(OR(COLUMN(INDIRECT(_xlpm.x))&gt;21, COLUMN(INDIRECT(_xlpm.x)) &lt;2), "x",_xlpm.x),"x"),
_xlpm.y)</f>
        <v>x</v>
      </c>
      <c r="AK280" s="31" t="str" cm="1">
        <f t="array" aca="1" ref="AK280" ca="1">_xlfn.LET(
_xlpm.x, IF(P$259&gt;$G280,"x",IFERROR(SUBSTITUTE(CELL("adres",OFFSET(INDIRECT(P280),,IF(LEFT(P280)="V",-1,1)*($G280-P$259),1,1)),"$",""),"x")),
_xlpm.y, IFERROR(IF(OR(COLUMN(INDIRECT(_xlpm.x))&gt;21, COLUMN(INDIRECT(_xlpm.x)) &lt;2), "x",_xlpm.x),"x"),
_xlpm.y)</f>
        <v>x</v>
      </c>
      <c r="AL280" s="31" t="str" cm="1">
        <f t="array" aca="1" ref="AL280" ca="1">_xlfn.LET(
_xlpm.x, IF(Q$259&gt;$G280,"x",IFERROR(SUBSTITUTE(CELL("adres",OFFSET(INDIRECT(Q280),,IF(LEFT(Q280)="V",-1,1)*($G280-Q$259),1,1)),"$",""),"x")),
_xlpm.y, IFERROR(IF(OR(COLUMN(INDIRECT(_xlpm.x))&gt;21, COLUMN(INDIRECT(_xlpm.x)) &lt;2), "x",_xlpm.x),"x"),
_xlpm.y)</f>
        <v>U4</v>
      </c>
      <c r="AM280" s="31" t="str" cm="1">
        <f t="array" aca="1" ref="AM280" ca="1">_xlfn.LET(
_xlpm.x, IF(R$259&gt;$G280,"x",IFERROR(SUBSTITUTE(CELL("adres",OFFSET(INDIRECT(R280),,IF(LEFT(R280)="V",-1,1)*($G280-R$259),1,1)),"$",""),"x")),
_xlpm.y, IFERROR(IF(OR(COLUMN(INDIRECT(_xlpm.x))&gt;21, COLUMN(INDIRECT(_xlpm.x)) &lt;2), "x",_xlpm.x),"x"),
_xlpm.y)</f>
        <v>C19</v>
      </c>
      <c r="AN280" s="31" t="str" cm="1">
        <f t="array" aca="1" ref="AN280" ca="1">_xlfn.LET(
_xlpm.x, IF(S$259&gt;$G280,"x",IFERROR(SUBSTITUTE(CELL("adres",OFFSET(INDIRECT(S280),,IF(LEFT(S280)="V",-1,1)*($G280-S$259),1,1)),"$",""),"x")),
_xlpm.y, IFERROR(IF(OR(COLUMN(INDIRECT(_xlpm.x))&gt;21, COLUMN(INDIRECT(_xlpm.x)) &lt;2), "x",_xlpm.x),"x"),
_xlpm.y)</f>
        <v>D23</v>
      </c>
      <c r="AO280" s="31" t="str" cm="1">
        <f t="array" aca="1" ref="AO280" ca="1">_xlfn.LET(
_xlpm.x, IF(T$259&gt;$G280,"x",IFERROR(SUBSTITUTE(CELL("adres",OFFSET(INDIRECT(T280),,IF(LEFT(T280)="V",-1,1)*($G280-T$259),1,1)),"$",""),"x")),
_xlpm.y, IFERROR(IF(OR(COLUMN(INDIRECT(_xlpm.x))&gt;21, COLUMN(INDIRECT(_xlpm.x)) &lt;2), "x",_xlpm.x),"x"),
_xlpm.y)</f>
        <v>E18</v>
      </c>
      <c r="AP280" s="31" t="str" cm="1">
        <f t="array" aca="1" ref="AP280" ca="1">_xlfn.LET(
_xlpm.x, IF(U$259&gt;$G280,"x",IFERROR(SUBSTITUTE(CELL("adres",OFFSET(INDIRECT(U280),,IF(LEFT(U280)="V",-1,1)*($G280-U$259),1,1)),"$",""),"x")),
_xlpm.y, IFERROR(IF(OR(COLUMN(INDIRECT(_xlpm.x))&gt;21, COLUMN(INDIRECT(_xlpm.x)) &lt;2), "x",_xlpm.x),"x"),
_xlpm.y)</f>
        <v>F20</v>
      </c>
      <c r="AQ280" s="31" t="str" cm="1">
        <f t="array" aca="1" ref="AQ280" ca="1">_xlfn.LET(
_xlpm.x, IF(V$259&gt;$G280,"x",IFERROR(SUBSTITUTE(CELL("adres",OFFSET(INDIRECT(V280),,IF(LEFT(V280)="V",-1,1)*($G280-V$259),1,1)),"$",""),"x")),
_xlpm.y, IFERROR(IF(OR(COLUMN(INDIRECT(_xlpm.x))&gt;21, COLUMN(INDIRECT(_xlpm.x)) &lt;2), "x",_xlpm.x),"x"),
_xlpm.y)</f>
        <v>P13</v>
      </c>
      <c r="AR280" s="31" t="str" cm="1">
        <f t="array" aca="1" ref="AR280" ca="1">_xlfn.LET(
_xlpm.x, IF(W$259&gt;$G280,"x",IFERROR(SUBSTITUTE(CELL("adres",OFFSET(INDIRECT(W280),,IF(LEFT(W280)="V",-1,1)*($G280-W$259),1,1)),"$",""),"x")),
_xlpm.y, IFERROR(IF(OR(COLUMN(INDIRECT(_xlpm.x))&gt;21, COLUMN(INDIRECT(_xlpm.x)) &lt;2), "x",_xlpm.x),"x"),
_xlpm.y)</f>
        <v>O21</v>
      </c>
      <c r="AS280" s="31" t="str" cm="1">
        <f t="array" aca="1" ref="AS280" ca="1">_xlfn.LET(
_xlpm.x, IF(X$259&gt;$G280,"x",IFERROR(SUBSTITUTE(CELL("adres",OFFSET(INDIRECT(X280),,IF(LEFT(X280)="V",-1,1)*($G280-X$259),1,1)),"$",""),"x")),
_xlpm.y, IFERROR(IF(OR(COLUMN(INDIRECT(_xlpm.x))&gt;21, COLUMN(INDIRECT(_xlpm.x)) &lt;2), "x",_xlpm.x),"x"),
_xlpm.y)</f>
        <v>N24</v>
      </c>
      <c r="AT280" s="31" t="str" cm="1">
        <f t="array" aca="1" ref="AT280" ca="1">_xlfn.LET(
_xlpm.x, IF(Y$259&gt;$G280,"x",IFERROR(SUBSTITUTE(CELL("adres",OFFSET(INDIRECT(Y280),,IF(LEFT(Y280)="V",-1,1)*($G280-Y$259),1,1)),"$",""),"x")),
_xlpm.y, IFERROR(IF(OR(COLUMN(INDIRECT(_xlpm.x))&gt;21, COLUMN(INDIRECT(_xlpm.x)) &lt;2), "x",_xlpm.x),"x"),
_xlpm.y)</f>
        <v>M23</v>
      </c>
      <c r="AU280" s="31" t="str" cm="1">
        <f t="array" aca="1" ref="AU280" ca="1">_xlfn.LET(
_xlpm.x, IF(Z$259&gt;$G280,"x",IFERROR(SUBSTITUTE(CELL("adres",OFFSET(INDIRECT(Z280),,IF(LEFT(Z280)="V",-1,1)*($G280-Z$259),1,1)),"$",""),"x")),
_xlpm.y, IFERROR(IF(OR(COLUMN(INDIRECT(_xlpm.x))&gt;21, COLUMN(INDIRECT(_xlpm.x)) &lt;2), "x",_xlpm.x),"x"),
_xlpm.y)</f>
        <v>L14</v>
      </c>
      <c r="AV280" s="31" t="str" cm="1">
        <f t="array" aca="1" ref="AV280" ca="1">_xlfn.LET(
_xlpm.x, IF(AA$259&gt;$G280,"x",IFERROR(SUBSTITUTE(CELL("adres",OFFSET(INDIRECT(AA280),,IF(LEFT(AA280)="V",-1,1)*($G280-AA$259),1,1)),"$",""),"x")),
_xlpm.y, IFERROR(IF(OR(COLUMN(INDIRECT(_xlpm.x))&gt;21, COLUMN(INDIRECT(_xlpm.x)) &lt;2), "x",_xlpm.x),"x"),
_xlpm.y)</f>
        <v>L17</v>
      </c>
      <c r="AW280" s="31" t="str" cm="1">
        <f t="array" aca="1" ref="AW280" ca="1">_xlfn.LET(
_xlpm.x, IF(AB$259&gt;$G280,"x",IFERROR(SUBSTITUTE(CELL("adres",OFFSET(INDIRECT(AB280),,IF(LEFT(AB280)="V",-1,1)*($G280-AB$259),1,1)),"$",""),"x")),
_xlpm.y, IFERROR(IF(OR(COLUMN(INDIRECT(_xlpm.x))&gt;21, COLUMN(INDIRECT(_xlpm.x)) &lt;2), "x",_xlpm.x),"x"),
_xlpm.y)</f>
        <v>J6</v>
      </c>
      <c r="AX280" s="23" t="e" cm="1">
        <f t="array" aca="1" ref="AX280" ca="1">ROW(INDIRECT(AD280))</f>
        <v>#REF!</v>
      </c>
      <c r="AY280" s="23" cm="1">
        <f t="array" aca="1" ref="AY280" ca="1">ROW(INDIRECT(H280))</f>
        <v>8</v>
      </c>
      <c r="AZ280" s="23" t="e">
        <f t="shared" ca="1" si="12"/>
        <v>#REF!</v>
      </c>
      <c r="BA280" s="23" t="e" cm="1">
        <f t="array" aca="1" ref="BA280" ca="1">COLUMN(INDIRECT(AD280))</f>
        <v>#REF!</v>
      </c>
      <c r="BB280" s="23" cm="1">
        <f t="array" aca="1" ref="BB280" ca="1">COLUMN(INDIRECT(H280))</f>
        <v>20</v>
      </c>
      <c r="BC280" s="23" t="e">
        <f t="shared" ca="1" si="13"/>
        <v>#REF!</v>
      </c>
      <c r="BE280" s="23">
        <f t="shared" ca="1" si="14"/>
        <v>1000</v>
      </c>
      <c r="BH280" s="23">
        <v>1000</v>
      </c>
      <c r="BI280" s="23">
        <v>1000</v>
      </c>
      <c r="BJ280" s="23">
        <v>1000</v>
      </c>
      <c r="BK280" s="23">
        <v>1000</v>
      </c>
      <c r="BL280" s="23">
        <v>1000</v>
      </c>
      <c r="BM280" s="23">
        <v>1000</v>
      </c>
      <c r="BN280" s="23">
        <v>1000</v>
      </c>
      <c r="BO280" s="23">
        <v>1000</v>
      </c>
      <c r="BP280" s="23">
        <v>4</v>
      </c>
      <c r="BQ280" s="23">
        <v>17</v>
      </c>
      <c r="BR280" s="23">
        <v>16</v>
      </c>
      <c r="BS280" s="23">
        <v>15</v>
      </c>
      <c r="BT280" s="23">
        <v>14</v>
      </c>
      <c r="BU280" s="23">
        <v>5</v>
      </c>
      <c r="BV280" s="23">
        <v>13</v>
      </c>
      <c r="BW280" s="23">
        <v>16</v>
      </c>
      <c r="BX280" s="23">
        <v>15</v>
      </c>
      <c r="BY280" s="23">
        <v>8</v>
      </c>
      <c r="BZ280" s="23">
        <v>9</v>
      </c>
      <c r="CA280" s="23">
        <v>10</v>
      </c>
      <c r="CC280" s="23">
        <f t="shared" si="15"/>
        <v>4</v>
      </c>
      <c r="CD280" s="23">
        <f t="shared" si="16"/>
        <v>1</v>
      </c>
      <c r="CE280" s="23">
        <f t="shared" si="17"/>
        <v>9</v>
      </c>
      <c r="CF280" s="23" t="str" cm="1">
        <f t="array" aca="1" ref="CF280" ca="1">INDEX(AD280:AW280,1,CE280)</f>
        <v>U4</v>
      </c>
      <c r="CI280" s="23" t="b">
        <f ca="1"/>
        <v>0</v>
      </c>
      <c r="CJ280" s="23" t="b">
        <f ca="1"/>
        <v>0</v>
      </c>
      <c r="CK280" s="23" t="b">
        <f ca="1"/>
        <v>0</v>
      </c>
      <c r="CL280" s="23" t="b">
        <f ca="1"/>
        <v>0</v>
      </c>
      <c r="CM280" s="23" t="b">
        <f ca="1"/>
        <v>0</v>
      </c>
      <c r="CN280" s="23" t="b">
        <f ca="1"/>
        <v>0</v>
      </c>
      <c r="CO280" s="23" t="b">
        <f ca="1"/>
        <v>0</v>
      </c>
      <c r="CP280" s="23" t="b">
        <f ca="1"/>
        <v>0</v>
      </c>
      <c r="CQ280" s="23" t="b">
        <f ca="1"/>
        <v>0</v>
      </c>
      <c r="CR280" s="23" t="b">
        <f ca="1"/>
        <v>0</v>
      </c>
      <c r="CS280" s="23" t="b">
        <f ca="1"/>
        <v>0</v>
      </c>
      <c r="CT280" s="23" t="b">
        <f ca="1"/>
        <v>0</v>
      </c>
      <c r="CU280" s="23" t="b">
        <f ca="1"/>
        <v>0</v>
      </c>
      <c r="CV280" s="23" t="b">
        <f ca="1"/>
        <v>0</v>
      </c>
      <c r="CW280" s="23" t="b">
        <f ca="1"/>
        <v>0</v>
      </c>
      <c r="CX280" s="23" t="b">
        <f ca="1"/>
        <v>0</v>
      </c>
      <c r="CY280" s="23" t="b">
        <f ca="1"/>
        <v>0</v>
      </c>
      <c r="CZ280" s="23" t="b">
        <f ca="1"/>
        <v>0</v>
      </c>
      <c r="DA280" s="23" t="b">
        <f ca="1"/>
        <v>0</v>
      </c>
      <c r="DB280" s="23" t="b">
        <f ca="1"/>
        <v>0</v>
      </c>
    </row>
    <row r="281" spans="2:106" ht="22.5" customHeight="1">
      <c r="B281" s="32">
        <f t="shared" si="18"/>
        <v>118</v>
      </c>
      <c r="C281" s="32">
        <v>6</v>
      </c>
      <c r="D281" s="30">
        <v>10</v>
      </c>
      <c r="E281" s="34" t="str">
        <f ca="1"/>
        <v>Q10</v>
      </c>
      <c r="F281" s="103"/>
      <c r="G281" s="33">
        <v>31</v>
      </c>
      <c r="H281" s="33" t="s">
        <v>253</v>
      </c>
      <c r="I281" s="33" t="s">
        <v>50</v>
      </c>
      <c r="J281" s="33" t="s">
        <v>115</v>
      </c>
      <c r="K281" s="33" t="s">
        <v>88</v>
      </c>
      <c r="L281" s="33" t="s">
        <v>84</v>
      </c>
      <c r="M281" s="33" t="s">
        <v>181</v>
      </c>
      <c r="N281" s="33" t="s">
        <v>52</v>
      </c>
      <c r="O281" s="33" t="s">
        <v>192</v>
      </c>
      <c r="P281" s="33" t="s">
        <v>80</v>
      </c>
      <c r="Q281" s="33" t="s">
        <v>80</v>
      </c>
      <c r="R281" s="33" t="s">
        <v>92</v>
      </c>
      <c r="S281" s="33" t="s">
        <v>64</v>
      </c>
      <c r="T281" s="33" t="s">
        <v>82</v>
      </c>
      <c r="U281" s="33" t="s">
        <v>80</v>
      </c>
      <c r="V281" s="33" t="s">
        <v>54</v>
      </c>
      <c r="W281" s="33" t="s">
        <v>91</v>
      </c>
      <c r="X281" s="33" t="s">
        <v>51</v>
      </c>
      <c r="Y281" s="33" t="s">
        <v>66</v>
      </c>
      <c r="Z281" s="33" t="s">
        <v>82</v>
      </c>
      <c r="AA281" s="33" t="s">
        <v>200</v>
      </c>
      <c r="AB281" s="33" t="s">
        <v>53</v>
      </c>
      <c r="AC281" s="115"/>
      <c r="AD281" s="31" t="str" cm="1">
        <f t="array" aca="1" ref="AD281" ca="1">_xlfn.LET(
_xlpm.x, IF(I$259&gt;$G281,"x",IFERROR(SUBSTITUTE(CELL("adres",OFFSET(INDIRECT(I281),,IF(LEFT(I281)="V",-1,1)*($G281-I$259),1,1)),"$",""),"x")),
_xlpm.y, IFERROR(IF(OR(COLUMN(INDIRECT(_xlpm.x))&gt;21, COLUMN(INDIRECT(_xlpm.x)) &lt;2), "x",_xlpm.x),"x"),
_xlpm.y)</f>
        <v>x</v>
      </c>
      <c r="AE281" s="31" t="str" cm="1">
        <f t="array" aca="1" ref="AE281" ca="1">_xlfn.LET(
_xlpm.x, IF(J$259&gt;$G281,"x",IFERROR(SUBSTITUTE(CELL("adres",OFFSET(INDIRECT(J281),,IF(LEFT(J281)="V",-1,1)*($G281-J$259),1,1)),"$",""),"x")),
_xlpm.y, IFERROR(IF(OR(COLUMN(INDIRECT(_xlpm.x))&gt;21, COLUMN(INDIRECT(_xlpm.x)) &lt;2), "x",_xlpm.x),"x"),
_xlpm.y)</f>
        <v>x</v>
      </c>
      <c r="AF281" s="31" t="str" cm="1">
        <f t="array" aca="1" ref="AF281" ca="1">_xlfn.LET(
_xlpm.x, IF(K$259&gt;$G281,"x",IFERROR(SUBSTITUTE(CELL("adres",OFFSET(INDIRECT(K281),,IF(LEFT(K281)="V",-1,1)*($G281-K$259),1,1)),"$",""),"x")),
_xlpm.y, IFERROR(IF(OR(COLUMN(INDIRECT(_xlpm.x))&gt;21, COLUMN(INDIRECT(_xlpm.x)) &lt;2), "x",_xlpm.x),"x"),
_xlpm.y)</f>
        <v>x</v>
      </c>
      <c r="AG281" s="31" t="str" cm="1">
        <f t="array" aca="1" ref="AG281" ca="1">_xlfn.LET(
_xlpm.x, IF(L$259&gt;$G281,"x",IFERROR(SUBSTITUTE(CELL("adres",OFFSET(INDIRECT(L281),,IF(LEFT(L281)="V",-1,1)*($G281-L$259),1,1)),"$",""),"x")),
_xlpm.y, IFERROR(IF(OR(COLUMN(INDIRECT(_xlpm.x))&gt;21, COLUMN(INDIRECT(_xlpm.x)) &lt;2), "x",_xlpm.x),"x"),
_xlpm.y)</f>
        <v>x</v>
      </c>
      <c r="AH281" s="31" t="str" cm="1">
        <f t="array" aca="1" ref="AH281" ca="1">_xlfn.LET(
_xlpm.x, IF(M$259&gt;$G281,"x",IFERROR(SUBSTITUTE(CELL("adres",OFFSET(INDIRECT(M281),,IF(LEFT(M281)="V",-1,1)*($G281-M$259),1,1)),"$",""),"x")),
_xlpm.y, IFERROR(IF(OR(COLUMN(INDIRECT(_xlpm.x))&gt;21, COLUMN(INDIRECT(_xlpm.x)) &lt;2), "x",_xlpm.x),"x"),
_xlpm.y)</f>
        <v>x</v>
      </c>
      <c r="AI281" s="31" t="str" cm="1">
        <f t="array" aca="1" ref="AI281" ca="1">_xlfn.LET(
_xlpm.x, IF(N$259&gt;$G281,"x",IFERROR(SUBSTITUTE(CELL("adres",OFFSET(INDIRECT(N281),,IF(LEFT(N281)="V",-1,1)*($G281-N$259),1,1)),"$",""),"x")),
_xlpm.y, IFERROR(IF(OR(COLUMN(INDIRECT(_xlpm.x))&gt;21, COLUMN(INDIRECT(_xlpm.x)) &lt;2), "x",_xlpm.x),"x"),
_xlpm.y)</f>
        <v>x</v>
      </c>
      <c r="AJ281" s="31" t="str" cm="1">
        <f t="array" aca="1" ref="AJ281" ca="1">_xlfn.LET(
_xlpm.x, IF(O$259&gt;$G281,"x",IFERROR(SUBSTITUTE(CELL("adres",OFFSET(INDIRECT(O281),,IF(LEFT(O281)="V",-1,1)*($G281-O$259),1,1)),"$",""),"x")),
_xlpm.y, IFERROR(IF(OR(COLUMN(INDIRECT(_xlpm.x))&gt;21, COLUMN(INDIRECT(_xlpm.x)) &lt;2), "x",_xlpm.x),"x"),
_xlpm.y)</f>
        <v>x</v>
      </c>
      <c r="AK281" s="31" t="str" cm="1">
        <f t="array" aca="1" ref="AK281" ca="1">_xlfn.LET(
_xlpm.x, IF(P$259&gt;$G281,"x",IFERROR(SUBSTITUTE(CELL("adres",OFFSET(INDIRECT(P281),,IF(LEFT(P281)="V",-1,1)*($G281-P$259),1,1)),"$",""),"x")),
_xlpm.y, IFERROR(IF(OR(COLUMN(INDIRECT(_xlpm.x))&gt;21, COLUMN(INDIRECT(_xlpm.x)) &lt;2), "x",_xlpm.x),"x"),
_xlpm.y)</f>
        <v>x</v>
      </c>
      <c r="AL281" s="31" t="str" cm="1">
        <f t="array" aca="1" ref="AL281" ca="1">_xlfn.LET(
_xlpm.x, IF(Q$259&gt;$G281,"x",IFERROR(SUBSTITUTE(CELL("adres",OFFSET(INDIRECT(Q281),,IF(LEFT(Q281)="V",-1,1)*($G281-Q$259),1,1)),"$",""),"x")),
_xlpm.y, IFERROR(IF(OR(COLUMN(INDIRECT(_xlpm.x))&gt;21, COLUMN(INDIRECT(_xlpm.x)) &lt;2), "x",_xlpm.x),"x"),
_xlpm.y)</f>
        <v>x</v>
      </c>
      <c r="AM281" s="31" t="str" cm="1">
        <f t="array" aca="1" ref="AM281" ca="1">_xlfn.LET(
_xlpm.x, IF(R$259&gt;$G281,"x",IFERROR(SUBSTITUTE(CELL("adres",OFFSET(INDIRECT(R281),,IF(LEFT(R281)="V",-1,1)*($G281-R$259),1,1)),"$",""),"x")),
_xlpm.y, IFERROR(IF(OR(COLUMN(INDIRECT(_xlpm.x))&gt;21, COLUMN(INDIRECT(_xlpm.x)) &lt;2), "x",_xlpm.x),"x"),
_xlpm.y)</f>
        <v>x</v>
      </c>
      <c r="AN281" s="31" t="str" cm="1">
        <f t="array" aca="1" ref="AN281" ca="1">_xlfn.LET(
_xlpm.x, IF(S$259&gt;$G281,"x",IFERROR(SUBSTITUTE(CELL("adres",OFFSET(INDIRECT(S281),,IF(LEFT(S281)="V",-1,1)*($G281-S$259),1,1)),"$",""),"x")),
_xlpm.y, IFERROR(IF(OR(COLUMN(INDIRECT(_xlpm.x))&gt;21, COLUMN(INDIRECT(_xlpm.x)) &lt;2), "x",_xlpm.x),"x"),
_xlpm.y)</f>
        <v>x</v>
      </c>
      <c r="AO281" s="31" t="str" cm="1">
        <f t="array" aca="1" ref="AO281" ca="1">_xlfn.LET(
_xlpm.x, IF(T$259&gt;$G281,"x",IFERROR(SUBSTITUTE(CELL("adres",OFFSET(INDIRECT(T281),,IF(LEFT(T281)="V",-1,1)*($G281-T$259),1,1)),"$",""),"x")),
_xlpm.y, IFERROR(IF(OR(COLUMN(INDIRECT(_xlpm.x))&gt;21, COLUMN(INDIRECT(_xlpm.x)) &lt;2), "x",_xlpm.x),"x"),
_xlpm.y)</f>
        <v>B16</v>
      </c>
      <c r="AP281" s="31" t="str" cm="1">
        <f t="array" aca="1" ref="AP281" ca="1">_xlfn.LET(
_xlpm.x, IF(U$259&gt;$G281,"x",IFERROR(SUBSTITUTE(CELL("adres",OFFSET(INDIRECT(U281),,IF(LEFT(U281)="V",-1,1)*($G281-U$259),1,1)),"$",""),"x")),
_xlpm.y, IFERROR(IF(OR(COLUMN(INDIRECT(_xlpm.x))&gt;21, COLUMN(INDIRECT(_xlpm.x)) &lt;2), "x",_xlpm.x),"x"),
_xlpm.y)</f>
        <v>C6</v>
      </c>
      <c r="AQ281" s="31" t="str" cm="1">
        <f t="array" aca="1" ref="AQ281" ca="1">_xlfn.LET(
_xlpm.x, IF(V$259&gt;$G281,"x",IFERROR(SUBSTITUTE(CELL("adres",OFFSET(INDIRECT(V281),,IF(LEFT(V281)="V",-1,1)*($G281-V$259),1,1)),"$",""),"x")),
_xlpm.y, IFERROR(IF(OR(COLUMN(INDIRECT(_xlpm.x))&gt;21, COLUMN(INDIRECT(_xlpm.x)) &lt;2), "x",_xlpm.x),"x"),
_xlpm.y)</f>
        <v>S19</v>
      </c>
      <c r="AR281" s="31" t="str" cm="1">
        <f t="array" aca="1" ref="AR281" ca="1">_xlfn.LET(
_xlpm.x, IF(W$259&gt;$G281,"x",IFERROR(SUBSTITUTE(CELL("adres",OFFSET(INDIRECT(W281),,IF(LEFT(W281)="V",-1,1)*($G281-W$259),1,1)),"$",""),"x")),
_xlpm.y, IFERROR(IF(OR(COLUMN(INDIRECT(_xlpm.x))&gt;21, COLUMN(INDIRECT(_xlpm.x)) &lt;2), "x",_xlpm.x),"x"),
_xlpm.y)</f>
        <v>E3</v>
      </c>
      <c r="AS281" s="31" t="str" cm="1">
        <f t="array" aca="1" ref="AS281" ca="1">_xlfn.LET(
_xlpm.x, IF(X$259&gt;$G281,"x",IFERROR(SUBSTITUTE(CELL("adres",OFFSET(INDIRECT(X281),,IF(LEFT(X281)="V",-1,1)*($G281-X$259),1,1)),"$",""),"x")),
_xlpm.y, IFERROR(IF(OR(COLUMN(INDIRECT(_xlpm.x))&gt;21, COLUMN(INDIRECT(_xlpm.x)) &lt;2), "x",_xlpm.x),"x"),
_xlpm.y)</f>
        <v>Q10</v>
      </c>
      <c r="AT281" s="31" t="str" cm="1">
        <f t="array" aca="1" ref="AT281" ca="1">_xlfn.LET(
_xlpm.x, IF(Y$259&gt;$G281,"x",IFERROR(SUBSTITUTE(CELL("adres",OFFSET(INDIRECT(Y281),,IF(LEFT(Y281)="V",-1,1)*($G281-Y$259),1,1)),"$",""),"x")),
_xlpm.y, IFERROR(IF(OR(COLUMN(INDIRECT(_xlpm.x))&gt;21, COLUMN(INDIRECT(_xlpm.x)) &lt;2), "x",_xlpm.x),"x"),
_xlpm.y)</f>
        <v>P20</v>
      </c>
      <c r="AU281" s="31" t="str" cm="1">
        <f t="array" aca="1" ref="AU281" ca="1">_xlfn.LET(
_xlpm.x, IF(Z$259&gt;$G281,"x",IFERROR(SUBSTITUTE(CELL("adres",OFFSET(INDIRECT(Z281),,IF(LEFT(Z281)="V",-1,1)*($G281-Z$259),1,1)),"$",""),"x")),
_xlpm.y, IFERROR(IF(OR(COLUMN(INDIRECT(_xlpm.x))&gt;21, COLUMN(INDIRECT(_xlpm.x)) &lt;2), "x",_xlpm.x),"x"),
_xlpm.y)</f>
        <v>H16</v>
      </c>
      <c r="AV281" s="31" t="str" cm="1">
        <f t="array" aca="1" ref="AV281" ca="1">_xlfn.LET(
_xlpm.x, IF(AA$259&gt;$G281,"x",IFERROR(SUBSTITUTE(CELL("adres",OFFSET(INDIRECT(AA281),,IF(LEFT(AA281)="V",-1,1)*($G281-AA$259),1,1)),"$",""),"x")),
_xlpm.y, IFERROR(IF(OR(COLUMN(INDIRECT(_xlpm.x))&gt;21, COLUMN(INDIRECT(_xlpm.x)) &lt;2), "x",_xlpm.x),"x"),
_xlpm.y)</f>
        <v>N18</v>
      </c>
      <c r="AW281" s="31" t="str" cm="1">
        <f t="array" aca="1" ref="AW281" ca="1">_xlfn.LET(
_xlpm.x, IF(AB$259&gt;$G281,"x",IFERROR(SUBSTITUTE(CELL("adres",OFFSET(INDIRECT(AB281),,IF(LEFT(AB281)="V",-1,1)*($G281-AB$259),1,1)),"$",""),"x")),
_xlpm.y, IFERROR(IF(OR(COLUMN(INDIRECT(_xlpm.x))&gt;21, COLUMN(INDIRECT(_xlpm.x)) &lt;2), "x",_xlpm.x),"x"),
_xlpm.y)</f>
        <v>M4</v>
      </c>
      <c r="AX281" s="23" t="e" cm="1">
        <f t="array" aca="1" ref="AX281" ca="1">ROW(INDIRECT(AD281))</f>
        <v>#REF!</v>
      </c>
      <c r="AY281" s="23" cm="1">
        <f t="array" aca="1" ref="AY281" ca="1">ROW(INDIRECT(H281))</f>
        <v>8</v>
      </c>
      <c r="AZ281" s="23" t="e">
        <f t="shared" ca="1" si="12"/>
        <v>#REF!</v>
      </c>
      <c r="BA281" s="23" t="e" cm="1">
        <f t="array" aca="1" ref="BA281" ca="1">COLUMN(INDIRECT(AD281))</f>
        <v>#REF!</v>
      </c>
      <c r="BB281" s="23" cm="1">
        <f t="array" aca="1" ref="BB281" ca="1">COLUMN(INDIRECT(H281))</f>
        <v>19</v>
      </c>
      <c r="BC281" s="23" t="e">
        <f t="shared" ca="1" si="13"/>
        <v>#REF!</v>
      </c>
      <c r="BE281" s="23">
        <f t="shared" ca="1" si="14"/>
        <v>1000</v>
      </c>
      <c r="BH281" s="23">
        <v>1000</v>
      </c>
      <c r="BI281" s="23">
        <v>1000</v>
      </c>
      <c r="BJ281" s="23">
        <v>1000</v>
      </c>
      <c r="BK281" s="23">
        <v>1000</v>
      </c>
      <c r="BL281" s="23">
        <v>1000</v>
      </c>
      <c r="BM281" s="23">
        <v>1000</v>
      </c>
      <c r="BN281" s="23">
        <v>1000</v>
      </c>
      <c r="BO281" s="23">
        <v>1000</v>
      </c>
      <c r="BP281" s="23">
        <v>1000</v>
      </c>
      <c r="BQ281" s="23">
        <v>1000</v>
      </c>
      <c r="BR281" s="23">
        <v>1000</v>
      </c>
      <c r="BS281" s="23">
        <v>17</v>
      </c>
      <c r="BT281" s="23">
        <v>16</v>
      </c>
      <c r="BU281" s="23">
        <v>11</v>
      </c>
      <c r="BV281" s="23">
        <v>14</v>
      </c>
      <c r="BW281" s="23">
        <v>2</v>
      </c>
      <c r="BX281" s="23">
        <v>12</v>
      </c>
      <c r="BY281" s="23">
        <v>11</v>
      </c>
      <c r="BZ281" s="23">
        <v>10</v>
      </c>
      <c r="CA281" s="23">
        <v>6</v>
      </c>
      <c r="CC281" s="23">
        <f t="shared" si="15"/>
        <v>2</v>
      </c>
      <c r="CD281" s="23">
        <f t="shared" si="16"/>
        <v>1</v>
      </c>
      <c r="CE281" s="23">
        <f t="shared" si="17"/>
        <v>16</v>
      </c>
      <c r="CF281" s="23" t="str" cm="1">
        <f t="array" aca="1" ref="CF281" ca="1">INDEX(AD281:AW281,1,CE281)</f>
        <v>Q10</v>
      </c>
      <c r="CI281" s="23" t="b">
        <f ca="1"/>
        <v>0</v>
      </c>
      <c r="CJ281" s="23" t="b">
        <f ca="1"/>
        <v>0</v>
      </c>
      <c r="CK281" s="23" t="b">
        <f ca="1"/>
        <v>0</v>
      </c>
      <c r="CL281" s="23" t="b">
        <f ca="1"/>
        <v>0</v>
      </c>
      <c r="CM281" s="23" t="b">
        <f ca="1"/>
        <v>0</v>
      </c>
      <c r="CN281" s="23" t="b">
        <f ca="1"/>
        <v>0</v>
      </c>
      <c r="CO281" s="23" t="b">
        <f ca="1"/>
        <v>0</v>
      </c>
      <c r="CP281" s="23" t="b">
        <f ca="1"/>
        <v>0</v>
      </c>
      <c r="CQ281" s="23" t="b">
        <f ca="1"/>
        <v>0</v>
      </c>
      <c r="CR281" s="23" t="b">
        <f ca="1"/>
        <v>0</v>
      </c>
      <c r="CS281" s="23" t="b">
        <f ca="1"/>
        <v>0</v>
      </c>
      <c r="CT281" s="23" t="b">
        <f ca="1"/>
        <v>0</v>
      </c>
      <c r="CU281" s="23" t="b">
        <f ca="1"/>
        <v>0</v>
      </c>
      <c r="CV281" s="23" t="b">
        <f ca="1"/>
        <v>0</v>
      </c>
      <c r="CW281" s="23" t="b">
        <f ca="1"/>
        <v>0</v>
      </c>
      <c r="CX281" s="23" t="b">
        <f ca="1"/>
        <v>0</v>
      </c>
      <c r="CY281" s="23" t="b">
        <f ca="1"/>
        <v>0</v>
      </c>
      <c r="CZ281" s="23" t="b">
        <f ca="1"/>
        <v>0</v>
      </c>
      <c r="DA281" s="23" t="b">
        <f ca="1"/>
        <v>0</v>
      </c>
      <c r="DB281" s="23" t="b">
        <f ca="1"/>
        <v>0</v>
      </c>
    </row>
    <row r="282" spans="2:106" ht="22.5" customHeight="1">
      <c r="B282" s="32">
        <f t="shared" si="18"/>
        <v>119</v>
      </c>
      <c r="C282" s="32">
        <v>6</v>
      </c>
      <c r="D282" s="30">
        <v>10</v>
      </c>
      <c r="E282" s="34" t="str">
        <f ca="1"/>
        <v>K7</v>
      </c>
      <c r="F282" s="103"/>
      <c r="G282" s="33">
        <v>28</v>
      </c>
      <c r="H282" s="33" t="s">
        <v>254</v>
      </c>
      <c r="I282" s="33" t="s">
        <v>52</v>
      </c>
      <c r="J282" s="33" t="s">
        <v>57</v>
      </c>
      <c r="K282" s="33" t="s">
        <v>87</v>
      </c>
      <c r="L282" s="33" t="s">
        <v>84</v>
      </c>
      <c r="M282" s="33" t="s">
        <v>53</v>
      </c>
      <c r="N282" s="33" t="s">
        <v>85</v>
      </c>
      <c r="O282" s="33" t="s">
        <v>190</v>
      </c>
      <c r="P282" s="33" t="s">
        <v>181</v>
      </c>
      <c r="Q282" s="33" t="s">
        <v>84</v>
      </c>
      <c r="R282" s="33" t="s">
        <v>82</v>
      </c>
      <c r="S282" s="33" t="s">
        <v>191</v>
      </c>
      <c r="T282" s="33" t="s">
        <v>81</v>
      </c>
      <c r="U282" s="33" t="s">
        <v>109</v>
      </c>
      <c r="V282" s="33" t="s">
        <v>181</v>
      </c>
      <c r="W282" s="33" t="s">
        <v>110</v>
      </c>
      <c r="X282" s="33" t="s">
        <v>59</v>
      </c>
      <c r="Y282" s="33" t="s">
        <v>60</v>
      </c>
      <c r="Z282" s="33" t="s">
        <v>58</v>
      </c>
      <c r="AA282" s="33" t="s">
        <v>59</v>
      </c>
      <c r="AB282" s="33" t="s">
        <v>89</v>
      </c>
      <c r="AC282" s="115"/>
      <c r="AD282" s="31" t="str" cm="1">
        <f t="array" aca="1" ref="AD282" ca="1">_xlfn.LET(
_xlpm.x, IF(I$259&gt;$G282,"x",IFERROR(SUBSTITUTE(CELL("adres",OFFSET(INDIRECT(I282),,IF(LEFT(I282)="V",-1,1)*($G282-I$259),1,1)),"$",""),"x")),
_xlpm.y, IFERROR(IF(OR(COLUMN(INDIRECT(_xlpm.x))&gt;21, COLUMN(INDIRECT(_xlpm.x)) &lt;2), "x",_xlpm.x),"x"),
_xlpm.y)</f>
        <v>x</v>
      </c>
      <c r="AE282" s="31" t="str" cm="1">
        <f t="array" aca="1" ref="AE282" ca="1">_xlfn.LET(
_xlpm.x, IF(J$259&gt;$G282,"x",IFERROR(SUBSTITUTE(CELL("adres",OFFSET(INDIRECT(J282),,IF(LEFT(J282)="V",-1,1)*($G282-J$259),1,1)),"$",""),"x")),
_xlpm.y, IFERROR(IF(OR(COLUMN(INDIRECT(_xlpm.x))&gt;21, COLUMN(INDIRECT(_xlpm.x)) &lt;2), "x",_xlpm.x),"x"),
_xlpm.y)</f>
        <v>x</v>
      </c>
      <c r="AF282" s="31" t="str" cm="1">
        <f t="array" aca="1" ref="AF282" ca="1">_xlfn.LET(
_xlpm.x, IF(K$259&gt;$G282,"x",IFERROR(SUBSTITUTE(CELL("adres",OFFSET(INDIRECT(K282),,IF(LEFT(K282)="V",-1,1)*($G282-K$259),1,1)),"$",""),"x")),
_xlpm.y, IFERROR(IF(OR(COLUMN(INDIRECT(_xlpm.x))&gt;21, COLUMN(INDIRECT(_xlpm.x)) &lt;2), "x",_xlpm.x),"x"),
_xlpm.y)</f>
        <v>x</v>
      </c>
      <c r="AG282" s="31" t="str" cm="1">
        <f t="array" aca="1" ref="AG282" ca="1">_xlfn.LET(
_xlpm.x, IF(L$259&gt;$G282,"x",IFERROR(SUBSTITUTE(CELL("adres",OFFSET(INDIRECT(L282),,IF(LEFT(L282)="V",-1,1)*($G282-L$259),1,1)),"$",""),"x")),
_xlpm.y, IFERROR(IF(OR(COLUMN(INDIRECT(_xlpm.x))&gt;21, COLUMN(INDIRECT(_xlpm.x)) &lt;2), "x",_xlpm.x),"x"),
_xlpm.y)</f>
        <v>x</v>
      </c>
      <c r="AH282" s="31" t="str" cm="1">
        <f t="array" aca="1" ref="AH282" ca="1">_xlfn.LET(
_xlpm.x, IF(M$259&gt;$G282,"x",IFERROR(SUBSTITUTE(CELL("adres",OFFSET(INDIRECT(M282),,IF(LEFT(M282)="V",-1,1)*($G282-M$259),1,1)),"$",""),"x")),
_xlpm.y, IFERROR(IF(OR(COLUMN(INDIRECT(_xlpm.x))&gt;21, COLUMN(INDIRECT(_xlpm.x)) &lt;2), "x",_xlpm.x),"x"),
_xlpm.y)</f>
        <v>x</v>
      </c>
      <c r="AI282" s="31" t="str" cm="1">
        <f t="array" aca="1" ref="AI282" ca="1">_xlfn.LET(
_xlpm.x, IF(N$259&gt;$G282,"x",IFERROR(SUBSTITUTE(CELL("adres",OFFSET(INDIRECT(N282),,IF(LEFT(N282)="V",-1,1)*($G282-N$259),1,1)),"$",""),"x")),
_xlpm.y, IFERROR(IF(OR(COLUMN(INDIRECT(_xlpm.x))&gt;21, COLUMN(INDIRECT(_xlpm.x)) &lt;2), "x",_xlpm.x),"x"),
_xlpm.y)</f>
        <v>x</v>
      </c>
      <c r="AJ282" s="31" t="str" cm="1">
        <f t="array" aca="1" ref="AJ282" ca="1">_xlfn.LET(
_xlpm.x, IF(O$259&gt;$G282,"x",IFERROR(SUBSTITUTE(CELL("adres",OFFSET(INDIRECT(O282),,IF(LEFT(O282)="V",-1,1)*($G282-O$259),1,1)),"$",""),"x")),
_xlpm.y, IFERROR(IF(OR(COLUMN(INDIRECT(_xlpm.x))&gt;21, COLUMN(INDIRECT(_xlpm.x)) &lt;2), "x",_xlpm.x),"x"),
_xlpm.y)</f>
        <v>x</v>
      </c>
      <c r="AK282" s="31" t="str" cm="1">
        <f t="array" aca="1" ref="AK282" ca="1">_xlfn.LET(
_xlpm.x, IF(P$259&gt;$G282,"x",IFERROR(SUBSTITUTE(CELL("adres",OFFSET(INDIRECT(P282),,IF(LEFT(P282)="V",-1,1)*($G282-P$259),1,1)),"$",""),"x")),
_xlpm.y, IFERROR(IF(OR(COLUMN(INDIRECT(_xlpm.x))&gt;21, COLUMN(INDIRECT(_xlpm.x)) &lt;2), "x",_xlpm.x),"x"),
_xlpm.y)</f>
        <v>x</v>
      </c>
      <c r="AL282" s="31" t="str" cm="1">
        <f t="array" aca="1" ref="AL282" ca="1">_xlfn.LET(
_xlpm.x, IF(Q$259&gt;$G282,"x",IFERROR(SUBSTITUTE(CELL("adres",OFFSET(INDIRECT(Q282),,IF(LEFT(Q282)="V",-1,1)*($G282-Q$259),1,1)),"$",""),"x")),
_xlpm.y, IFERROR(IF(OR(COLUMN(INDIRECT(_xlpm.x))&gt;21, COLUMN(INDIRECT(_xlpm.x)) &lt;2), "x",_xlpm.x),"x"),
_xlpm.y)</f>
        <v>B26</v>
      </c>
      <c r="AM282" s="31" t="str" cm="1">
        <f t="array" aca="1" ref="AM282" ca="1">_xlfn.LET(
_xlpm.x, IF(R$259&gt;$G282,"x",IFERROR(SUBSTITUTE(CELL("adres",OFFSET(INDIRECT(R282),,IF(LEFT(R282)="V",-1,1)*($G282-R$259),1,1)),"$",""),"x")),
_xlpm.y, IFERROR(IF(OR(COLUMN(INDIRECT(_xlpm.x))&gt;21, COLUMN(INDIRECT(_xlpm.x)) &lt;2), "x",_xlpm.x),"x"),
_xlpm.y)</f>
        <v>C16</v>
      </c>
      <c r="AN282" s="31" t="str" cm="1">
        <f t="array" aca="1" ref="AN282" ca="1">_xlfn.LET(
_xlpm.x, IF(S$259&gt;$G282,"x",IFERROR(SUBSTITUTE(CELL("adres",OFFSET(INDIRECT(S282),,IF(LEFT(S282)="V",-1,1)*($G282-S$259),1,1)),"$",""),"x")),
_xlpm.y, IFERROR(IF(OR(COLUMN(INDIRECT(_xlpm.x))&gt;21, COLUMN(INDIRECT(_xlpm.x)) &lt;2), "x",_xlpm.x),"x"),
_xlpm.y)</f>
        <v>D7</v>
      </c>
      <c r="AO282" s="31" t="str" cm="1">
        <f t="array" aca="1" ref="AO282" ca="1">_xlfn.LET(
_xlpm.x, IF(T$259&gt;$G282,"x",IFERROR(SUBSTITUTE(CELL("adres",OFFSET(INDIRECT(T282),,IF(LEFT(T282)="V",-1,1)*($G282-T$259),1,1)),"$",""),"x")),
_xlpm.y, IFERROR(IF(OR(COLUMN(INDIRECT(_xlpm.x))&gt;21, COLUMN(INDIRECT(_xlpm.x)) &lt;2), "x",_xlpm.x),"x"),
_xlpm.y)</f>
        <v>E12</v>
      </c>
      <c r="AP282" s="31" t="str" cm="1">
        <f t="array" aca="1" ref="AP282" ca="1">_xlfn.LET(
_xlpm.x, IF(U$259&gt;$G282,"x",IFERROR(SUBSTITUTE(CELL("adres",OFFSET(INDIRECT(U282),,IF(LEFT(U282)="V",-1,1)*($G282-U$259),1,1)),"$",""),"x")),
_xlpm.y, IFERROR(IF(OR(COLUMN(INDIRECT(_xlpm.x))&gt;21, COLUMN(INDIRECT(_xlpm.x)) &lt;2), "x",_xlpm.x),"x"),
_xlpm.y)</f>
        <v>Q5</v>
      </c>
      <c r="AQ282" s="31" t="str" cm="1">
        <f t="array" aca="1" ref="AQ282" ca="1">_xlfn.LET(
_xlpm.x, IF(V$259&gt;$G282,"x",IFERROR(SUBSTITUTE(CELL("adres",OFFSET(INDIRECT(V282),,IF(LEFT(V282)="V",-1,1)*($G282-V$259),1,1)),"$",""),"x")),
_xlpm.y, IFERROR(IF(OR(COLUMN(INDIRECT(_xlpm.x))&gt;21, COLUMN(INDIRECT(_xlpm.x)) &lt;2), "x",_xlpm.x),"x"),
_xlpm.y)</f>
        <v>G14</v>
      </c>
      <c r="AR282" s="31" t="str" cm="1">
        <f t="array" aca="1" ref="AR282" ca="1">_xlfn.LET(
_xlpm.x, IF(W$259&gt;$G282,"x",IFERROR(SUBSTITUTE(CELL("adres",OFFSET(INDIRECT(W282),,IF(LEFT(W282)="V",-1,1)*($G282-W$259),1,1)),"$",""),"x")),
_xlpm.y, IFERROR(IF(OR(COLUMN(INDIRECT(_xlpm.x))&gt;21, COLUMN(INDIRECT(_xlpm.x)) &lt;2), "x",_xlpm.x),"x"),
_xlpm.y)</f>
        <v>O11</v>
      </c>
      <c r="AS282" s="31" t="str" cm="1">
        <f t="array" aca="1" ref="AS282" ca="1">_xlfn.LET(
_xlpm.x, IF(X$259&gt;$G282,"x",IFERROR(SUBSTITUTE(CELL("adres",OFFSET(INDIRECT(X282),,IF(LEFT(X282)="V",-1,1)*($G282-X$259),1,1)),"$",""),"x")),
_xlpm.y, IFERROR(IF(OR(COLUMN(INDIRECT(_xlpm.x))&gt;21, COLUMN(INDIRECT(_xlpm.x)) &lt;2), "x",_xlpm.x),"x"),
_xlpm.y)</f>
        <v>N7</v>
      </c>
      <c r="AT282" s="31" t="str" cm="1">
        <f t="array" aca="1" ref="AT282" ca="1">_xlfn.LET(
_xlpm.x, IF(Y$259&gt;$G282,"x",IFERROR(SUBSTITUTE(CELL("adres",OFFSET(INDIRECT(Y282),,IF(LEFT(Y282)="V",-1,1)*($G282-Y$259),1,1)),"$",""),"x")),
_xlpm.y, IFERROR(IF(OR(COLUMN(INDIRECT(_xlpm.x))&gt;21, COLUMN(INDIRECT(_xlpm.x)) &lt;2), "x",_xlpm.x),"x"),
_xlpm.y)</f>
        <v>M21</v>
      </c>
      <c r="AU282" s="31" t="str" cm="1">
        <f t="array" aca="1" ref="AU282" ca="1">_xlfn.LET(
_xlpm.x, IF(Z$259&gt;$G282,"x",IFERROR(SUBSTITUTE(CELL("adres",OFFSET(INDIRECT(Z282),,IF(LEFT(Z282)="V",-1,1)*($G282-Z$259),1,1)),"$",""),"x")),
_xlpm.y, IFERROR(IF(OR(COLUMN(INDIRECT(_xlpm.x))&gt;21, COLUMN(INDIRECT(_xlpm.x)) &lt;2), "x",_xlpm.x),"x"),
_xlpm.y)</f>
        <v>L16</v>
      </c>
      <c r="AV282" s="31" t="str" cm="1">
        <f t="array" aca="1" ref="AV282" ca="1">_xlfn.LET(
_xlpm.x, IF(AA$259&gt;$G282,"x",IFERROR(SUBSTITUTE(CELL("adres",OFFSET(INDIRECT(AA282),,IF(LEFT(AA282)="V",-1,1)*($G282-AA$259),1,1)),"$",""),"x")),
_xlpm.y, IFERROR(IF(OR(COLUMN(INDIRECT(_xlpm.x))&gt;21, COLUMN(INDIRECT(_xlpm.x)) &lt;2), "x",_xlpm.x),"x"),
_xlpm.y)</f>
        <v>K7</v>
      </c>
      <c r="AW282" s="31" t="str" cm="1">
        <f t="array" aca="1" ref="AW282" ca="1">_xlfn.LET(
_xlpm.x, IF(AB$259&gt;$G282,"x",IFERROR(SUBSTITUTE(CELL("adres",OFFSET(INDIRECT(AB282),,IF(LEFT(AB282)="V",-1,1)*($G282-AB$259),1,1)),"$",""),"x")),
_xlpm.y, IFERROR(IF(OR(COLUMN(INDIRECT(_xlpm.x))&gt;21, COLUMN(INDIRECT(_xlpm.x)) &lt;2), "x",_xlpm.x),"x"),
_xlpm.y)</f>
        <v>M22</v>
      </c>
      <c r="AX282" s="23" t="e" cm="1">
        <f t="array" aca="1" ref="AX282" ca="1">ROW(INDIRECT(AD282))</f>
        <v>#REF!</v>
      </c>
      <c r="AY282" s="23" cm="1">
        <f t="array" aca="1" ref="AY282" ca="1">ROW(INDIRECT(H282))</f>
        <v>8</v>
      </c>
      <c r="AZ282" s="23" t="e">
        <f t="shared" ca="1" si="12"/>
        <v>#REF!</v>
      </c>
      <c r="BA282" s="23" t="e" cm="1">
        <f t="array" aca="1" ref="BA282" ca="1">COLUMN(INDIRECT(AD282))</f>
        <v>#REF!</v>
      </c>
      <c r="BB282" s="23" cm="1">
        <f t="array" aca="1" ref="BB282" ca="1">COLUMN(INDIRECT(H282))</f>
        <v>10</v>
      </c>
      <c r="BC282" s="23" t="e">
        <f t="shared" ca="1" si="13"/>
        <v>#REF!</v>
      </c>
      <c r="BE282" s="23">
        <f t="shared" ca="1" si="14"/>
        <v>1000</v>
      </c>
      <c r="BH282" s="23">
        <v>1000</v>
      </c>
      <c r="BI282" s="23">
        <v>1000</v>
      </c>
      <c r="BJ282" s="23">
        <v>1000</v>
      </c>
      <c r="BK282" s="23">
        <v>1000</v>
      </c>
      <c r="BL282" s="23">
        <v>1000</v>
      </c>
      <c r="BM282" s="23">
        <v>1000</v>
      </c>
      <c r="BN282" s="23">
        <v>1000</v>
      </c>
      <c r="BO282" s="23">
        <v>1000</v>
      </c>
      <c r="BP282" s="23">
        <v>18</v>
      </c>
      <c r="BQ282" s="23">
        <v>8</v>
      </c>
      <c r="BR282" s="23">
        <v>6</v>
      </c>
      <c r="BS282" s="23">
        <v>5</v>
      </c>
      <c r="BT282" s="23">
        <v>7</v>
      </c>
      <c r="BU282" s="23">
        <v>6</v>
      </c>
      <c r="BV282" s="23">
        <v>5</v>
      </c>
      <c r="BW282" s="23">
        <v>4</v>
      </c>
      <c r="BX282" s="23">
        <v>13</v>
      </c>
      <c r="BY282" s="23">
        <v>8</v>
      </c>
      <c r="BZ282" s="23">
        <v>1</v>
      </c>
      <c r="CA282" s="23">
        <v>14</v>
      </c>
      <c r="CC282" s="23">
        <f t="shared" si="15"/>
        <v>1</v>
      </c>
      <c r="CD282" s="23">
        <f t="shared" si="16"/>
        <v>1</v>
      </c>
      <c r="CE282" s="23">
        <f t="shared" si="17"/>
        <v>19</v>
      </c>
      <c r="CF282" s="23" t="str" cm="1">
        <f t="array" aca="1" ref="CF282" ca="1">INDEX(AD282:AW282,1,CE282)</f>
        <v>K7</v>
      </c>
    </row>
    <row r="283" spans="2:106" ht="22.5" customHeight="1">
      <c r="B283" s="32">
        <f t="shared" si="18"/>
        <v>120</v>
      </c>
      <c r="C283" s="32">
        <v>6</v>
      </c>
      <c r="D283" s="30">
        <v>10</v>
      </c>
      <c r="E283" s="34" t="str">
        <f ca="1"/>
        <v>J20</v>
      </c>
      <c r="F283" s="103"/>
      <c r="G283" s="33">
        <v>29</v>
      </c>
      <c r="H283" s="33" t="s">
        <v>255</v>
      </c>
      <c r="I283" s="33" t="s">
        <v>155</v>
      </c>
      <c r="J283" s="33" t="s">
        <v>65</v>
      </c>
      <c r="K283" s="33" t="s">
        <v>81</v>
      </c>
      <c r="L283" s="33" t="s">
        <v>91</v>
      </c>
      <c r="M283" s="33" t="s">
        <v>114</v>
      </c>
      <c r="N283" s="33" t="s">
        <v>109</v>
      </c>
      <c r="O283" s="33" t="s">
        <v>61</v>
      </c>
      <c r="P283" s="33" t="s">
        <v>53</v>
      </c>
      <c r="Q283" s="33" t="s">
        <v>178</v>
      </c>
      <c r="R283" s="33" t="s">
        <v>61</v>
      </c>
      <c r="S283" s="33" t="s">
        <v>64</v>
      </c>
      <c r="T283" s="33" t="s">
        <v>58</v>
      </c>
      <c r="U283" s="33" t="s">
        <v>114</v>
      </c>
      <c r="V283" s="33" t="s">
        <v>88</v>
      </c>
      <c r="W283" s="33" t="s">
        <v>88</v>
      </c>
      <c r="X283" s="33" t="s">
        <v>113</v>
      </c>
      <c r="Y283" s="33" t="s">
        <v>58</v>
      </c>
      <c r="Z283" s="33" t="s">
        <v>155</v>
      </c>
      <c r="AA283" s="33" t="s">
        <v>64</v>
      </c>
      <c r="AB283" s="33" t="s">
        <v>51</v>
      </c>
      <c r="AC283" s="115"/>
      <c r="AD283" s="31" t="str" cm="1">
        <f t="array" aca="1" ref="AD283" ca="1">_xlfn.LET(
_xlpm.x, IF(I$259&gt;$G283,"x",IFERROR(SUBSTITUTE(CELL("adres",OFFSET(INDIRECT(I283),,IF(LEFT(I283)="V",-1,1)*($G283-I$259),1,1)),"$",""),"x")),
_xlpm.y, IFERROR(IF(OR(COLUMN(INDIRECT(_xlpm.x))&gt;21, COLUMN(INDIRECT(_xlpm.x)) &lt;2), "x",_xlpm.x),"x"),
_xlpm.y)</f>
        <v>x</v>
      </c>
      <c r="AE283" s="31" t="str" cm="1">
        <f t="array" aca="1" ref="AE283" ca="1">_xlfn.LET(
_xlpm.x, IF(J$259&gt;$G283,"x",IFERROR(SUBSTITUTE(CELL("adres",OFFSET(INDIRECT(J283),,IF(LEFT(J283)="V",-1,1)*($G283-J$259),1,1)),"$",""),"x")),
_xlpm.y, IFERROR(IF(OR(COLUMN(INDIRECT(_xlpm.x))&gt;21, COLUMN(INDIRECT(_xlpm.x)) &lt;2), "x",_xlpm.x),"x"),
_xlpm.y)</f>
        <v>x</v>
      </c>
      <c r="AF283" s="31" t="str" cm="1">
        <f t="array" aca="1" ref="AF283" ca="1">_xlfn.LET(
_xlpm.x, IF(K$259&gt;$G283,"x",IFERROR(SUBSTITUTE(CELL("adres",OFFSET(INDIRECT(K283),,IF(LEFT(K283)="V",-1,1)*($G283-K$259),1,1)),"$",""),"x")),
_xlpm.y, IFERROR(IF(OR(COLUMN(INDIRECT(_xlpm.x))&gt;21, COLUMN(INDIRECT(_xlpm.x)) &lt;2), "x",_xlpm.x),"x"),
_xlpm.y)</f>
        <v>x</v>
      </c>
      <c r="AG283" s="31" t="str" cm="1">
        <f t="array" aca="1" ref="AG283" ca="1">_xlfn.LET(
_xlpm.x, IF(L$259&gt;$G283,"x",IFERROR(SUBSTITUTE(CELL("adres",OFFSET(INDIRECT(L283),,IF(LEFT(L283)="V",-1,1)*($G283-L$259),1,1)),"$",""),"x")),
_xlpm.y, IFERROR(IF(OR(COLUMN(INDIRECT(_xlpm.x))&gt;21, COLUMN(INDIRECT(_xlpm.x)) &lt;2), "x",_xlpm.x),"x"),
_xlpm.y)</f>
        <v>x</v>
      </c>
      <c r="AH283" s="31" t="str" cm="1">
        <f t="array" aca="1" ref="AH283" ca="1">_xlfn.LET(
_xlpm.x, IF(M$259&gt;$G283,"x",IFERROR(SUBSTITUTE(CELL("adres",OFFSET(INDIRECT(M283),,IF(LEFT(M283)="V",-1,1)*($G283-M$259),1,1)),"$",""),"x")),
_xlpm.y, IFERROR(IF(OR(COLUMN(INDIRECT(_xlpm.x))&gt;21, COLUMN(INDIRECT(_xlpm.x)) &lt;2), "x",_xlpm.x),"x"),
_xlpm.y)</f>
        <v>x</v>
      </c>
      <c r="AI283" s="31" t="str" cm="1">
        <f t="array" aca="1" ref="AI283" ca="1">_xlfn.LET(
_xlpm.x, IF(N$259&gt;$G283,"x",IFERROR(SUBSTITUTE(CELL("adres",OFFSET(INDIRECT(N283),,IF(LEFT(N283)="V",-1,1)*($G283-N$259),1,1)),"$",""),"x")),
_xlpm.y, IFERROR(IF(OR(COLUMN(INDIRECT(_xlpm.x))&gt;21, COLUMN(INDIRECT(_xlpm.x)) &lt;2), "x",_xlpm.x),"x"),
_xlpm.y)</f>
        <v>x</v>
      </c>
      <c r="AJ283" s="31" t="str" cm="1">
        <f t="array" aca="1" ref="AJ283" ca="1">_xlfn.LET(
_xlpm.x, IF(O$259&gt;$G283,"x",IFERROR(SUBSTITUTE(CELL("adres",OFFSET(INDIRECT(O283),,IF(LEFT(O283)="V",-1,1)*($G283-O$259),1,1)),"$",""),"x")),
_xlpm.y, IFERROR(IF(OR(COLUMN(INDIRECT(_xlpm.x))&gt;21, COLUMN(INDIRECT(_xlpm.x)) &lt;2), "x",_xlpm.x),"x"),
_xlpm.y)</f>
        <v>x</v>
      </c>
      <c r="AK283" s="31" t="str" cm="1">
        <f t="array" aca="1" ref="AK283" ca="1">_xlfn.LET(
_xlpm.x, IF(P$259&gt;$G283,"x",IFERROR(SUBSTITUTE(CELL("adres",OFFSET(INDIRECT(P283),,IF(LEFT(P283)="V",-1,1)*($G283-P$259),1,1)),"$",""),"x")),
_xlpm.y, IFERROR(IF(OR(COLUMN(INDIRECT(_xlpm.x))&gt;21, COLUMN(INDIRECT(_xlpm.x)) &lt;2), "x",_xlpm.x),"x"),
_xlpm.y)</f>
        <v>x</v>
      </c>
      <c r="AL283" s="31" t="str" cm="1">
        <f t="array" aca="1" ref="AL283" ca="1">_xlfn.LET(
_xlpm.x, IF(Q$259&gt;$G283,"x",IFERROR(SUBSTITUTE(CELL("adres",OFFSET(INDIRECT(Q283),,IF(LEFT(Q283)="V",-1,1)*($G283-Q$259),1,1)),"$",""),"x")),
_xlpm.y, IFERROR(IF(OR(COLUMN(INDIRECT(_xlpm.x))&gt;21, COLUMN(INDIRECT(_xlpm.x)) &lt;2), "x",_xlpm.x),"x"),
_xlpm.y)</f>
        <v>x</v>
      </c>
      <c r="AM283" s="31" t="str" cm="1">
        <f t="array" aca="1" ref="AM283" ca="1">_xlfn.LET(
_xlpm.x, IF(R$259&gt;$G283,"x",IFERROR(SUBSTITUTE(CELL("adres",OFFSET(INDIRECT(R283),,IF(LEFT(R283)="V",-1,1)*($G283-R$259),1,1)),"$",""),"x")),
_xlpm.y, IFERROR(IF(OR(COLUMN(INDIRECT(_xlpm.x))&gt;21, COLUMN(INDIRECT(_xlpm.x)) &lt;2), "x",_xlpm.x),"x"),
_xlpm.y)</f>
        <v>U8</v>
      </c>
      <c r="AN283" s="31" t="str" cm="1">
        <f t="array" aca="1" ref="AN283" ca="1">_xlfn.LET(
_xlpm.x, IF(S$259&gt;$G283,"x",IFERROR(SUBSTITUTE(CELL("adres",OFFSET(INDIRECT(S283),,IF(LEFT(S283)="V",-1,1)*($G283-S$259),1,1)),"$",""),"x")),
_xlpm.y, IFERROR(IF(OR(COLUMN(INDIRECT(_xlpm.x))&gt;21, COLUMN(INDIRECT(_xlpm.x)) &lt;2), "x",_xlpm.x),"x"),
_xlpm.y)</f>
        <v>T9</v>
      </c>
      <c r="AO283" s="31" t="str" cm="1">
        <f t="array" aca="1" ref="AO283" ca="1">_xlfn.LET(
_xlpm.x, IF(T$259&gt;$G283,"x",IFERROR(SUBSTITUTE(CELL("adres",OFFSET(INDIRECT(T283),,IF(LEFT(T283)="V",-1,1)*($G283-T$259),1,1)),"$",""),"x")),
_xlpm.y, IFERROR(IF(OR(COLUMN(INDIRECT(_xlpm.x))&gt;21, COLUMN(INDIRECT(_xlpm.x)) &lt;2), "x",_xlpm.x),"x"),
_xlpm.y)</f>
        <v>S16</v>
      </c>
      <c r="AP283" s="31" t="str" cm="1">
        <f t="array" aca="1" ref="AP283" ca="1">_xlfn.LET(
_xlpm.x, IF(U$259&gt;$G283,"x",IFERROR(SUBSTITUTE(CELL("adres",OFFSET(INDIRECT(U283),,IF(LEFT(U283)="V",-1,1)*($G283-U$259),1,1)),"$",""),"x")),
_xlpm.y, IFERROR(IF(OR(COLUMN(INDIRECT(_xlpm.x))&gt;21, COLUMN(INDIRECT(_xlpm.x)) &lt;2), "x",_xlpm.x),"x"),
_xlpm.y)</f>
        <v>E13</v>
      </c>
      <c r="AQ283" s="31" t="str" cm="1">
        <f t="array" aca="1" ref="AQ283" ca="1">_xlfn.LET(
_xlpm.x, IF(V$259&gt;$G283,"x",IFERROR(SUBSTITUTE(CELL("adres",OFFSET(INDIRECT(V283),,IF(LEFT(V283)="V",-1,1)*($G283-V$259),1,1)),"$",""),"x")),
_xlpm.y, IFERROR(IF(OR(COLUMN(INDIRECT(_xlpm.x))&gt;21, COLUMN(INDIRECT(_xlpm.x)) &lt;2), "x",_xlpm.x),"x"),
_xlpm.y)</f>
        <v>F9</v>
      </c>
      <c r="AR283" s="31" t="str" cm="1">
        <f t="array" aca="1" ref="AR283" ca="1">_xlfn.LET(
_xlpm.x, IF(W$259&gt;$G283,"x",IFERROR(SUBSTITUTE(CELL("adres",OFFSET(INDIRECT(W283),,IF(LEFT(W283)="V",-1,1)*($G283-W$259),1,1)),"$",""),"x")),
_xlpm.y, IFERROR(IF(OR(COLUMN(INDIRECT(_xlpm.x))&gt;21, COLUMN(INDIRECT(_xlpm.x)) &lt;2), "x",_xlpm.x),"x"),
_xlpm.y)</f>
        <v>G9</v>
      </c>
      <c r="AS283" s="31" t="str" cm="1">
        <f t="array" aca="1" ref="AS283" ca="1">_xlfn.LET(
_xlpm.x, IF(X$259&gt;$G283,"x",IFERROR(SUBSTITUTE(CELL("adres",OFFSET(INDIRECT(X283),,IF(LEFT(X283)="V",-1,1)*($G283-X$259),1,1)),"$",""),"x")),
_xlpm.y, IFERROR(IF(OR(COLUMN(INDIRECT(_xlpm.x))&gt;21, COLUMN(INDIRECT(_xlpm.x)) &lt;2), "x",_xlpm.x),"x"),
_xlpm.y)</f>
        <v>O14</v>
      </c>
      <c r="AT283" s="31" t="str" cm="1">
        <f t="array" aca="1" ref="AT283" ca="1">_xlfn.LET(
_xlpm.x, IF(Y$259&gt;$G283,"x",IFERROR(SUBSTITUTE(CELL("adres",OFFSET(INDIRECT(Y283),,IF(LEFT(Y283)="V",-1,1)*($G283-Y$259),1,1)),"$",""),"x")),
_xlpm.y, IFERROR(IF(OR(COLUMN(INDIRECT(_xlpm.x))&gt;21, COLUMN(INDIRECT(_xlpm.x)) &lt;2), "x",_xlpm.x),"x"),
_xlpm.y)</f>
        <v>N16</v>
      </c>
      <c r="AU283" s="31" t="str" cm="1">
        <f t="array" aca="1" ref="AU283" ca="1">_xlfn.LET(
_xlpm.x, IF(Z$259&gt;$G283,"x",IFERROR(SUBSTITUTE(CELL("adres",OFFSET(INDIRECT(Z283),,IF(LEFT(Z283)="V",-1,1)*($G283-Z$259),1,1)),"$",""),"x")),
_xlpm.y, IFERROR(IF(OR(COLUMN(INDIRECT(_xlpm.x))&gt;21, COLUMN(INDIRECT(_xlpm.x)) &lt;2), "x",_xlpm.x),"x"),
_xlpm.y)</f>
        <v>J20</v>
      </c>
      <c r="AV283" s="31" t="str" cm="1">
        <f t="array" aca="1" ref="AV283" ca="1">_xlfn.LET(
_xlpm.x, IF(AA$259&gt;$G283,"x",IFERROR(SUBSTITUTE(CELL("adres",OFFSET(INDIRECT(AA283),,IF(LEFT(AA283)="V",-1,1)*($G283-AA$259),1,1)),"$",""),"x")),
_xlpm.y, IFERROR(IF(OR(COLUMN(INDIRECT(_xlpm.x))&gt;21, COLUMN(INDIRECT(_xlpm.x)) &lt;2), "x",_xlpm.x),"x"),
_xlpm.y)</f>
        <v>L9</v>
      </c>
      <c r="AW283" s="31" t="str" cm="1">
        <f t="array" aca="1" ref="AW283" ca="1">_xlfn.LET(
_xlpm.x, IF(AB$259&gt;$G283,"x",IFERROR(SUBSTITUTE(CELL("adres",OFFSET(INDIRECT(AB283),,IF(LEFT(AB283)="V",-1,1)*($G283-AB$259),1,1)),"$",""),"x")),
_xlpm.y, IFERROR(IF(OR(COLUMN(INDIRECT(_xlpm.x))&gt;21, COLUMN(INDIRECT(_xlpm.x)) &lt;2), "x",_xlpm.x),"x"),
_xlpm.y)</f>
        <v>K10</v>
      </c>
      <c r="AX283" s="23" t="e" cm="1">
        <f t="array" aca="1" ref="AX283" ca="1">ROW(INDIRECT(AD283))</f>
        <v>#REF!</v>
      </c>
      <c r="AY283" s="23" cm="1">
        <f t="array" aca="1" ref="AY283" ca="1">ROW(INDIRECT(H283))</f>
        <v>25</v>
      </c>
      <c r="AZ283" s="23" t="e">
        <f t="shared" ca="1" si="12"/>
        <v>#REF!</v>
      </c>
      <c r="BA283" s="23" t="e" cm="1">
        <f t="array" aca="1" ref="BA283" ca="1">COLUMN(INDIRECT(AD283))</f>
        <v>#REF!</v>
      </c>
      <c r="BB283" s="23" cm="1">
        <f t="array" aca="1" ref="BB283" ca="1">COLUMN(INDIRECT(H283))</f>
        <v>11</v>
      </c>
      <c r="BC283" s="23" t="e">
        <f t="shared" ca="1" si="13"/>
        <v>#REF!</v>
      </c>
      <c r="BE283" s="23">
        <f t="shared" ca="1" si="14"/>
        <v>1000</v>
      </c>
      <c r="BH283" s="23">
        <v>1000</v>
      </c>
      <c r="BI283" s="23">
        <v>1000</v>
      </c>
      <c r="BJ283" s="23">
        <v>1000</v>
      </c>
      <c r="BK283" s="23">
        <v>1000</v>
      </c>
      <c r="BL283" s="23">
        <v>1000</v>
      </c>
      <c r="BM283" s="23">
        <v>1000</v>
      </c>
      <c r="BN283" s="23">
        <v>1000</v>
      </c>
      <c r="BO283" s="23">
        <v>1000</v>
      </c>
      <c r="BP283" s="23">
        <v>1000</v>
      </c>
      <c r="BQ283" s="23">
        <v>17</v>
      </c>
      <c r="BR283" s="23">
        <v>16</v>
      </c>
      <c r="BS283" s="23">
        <v>9</v>
      </c>
      <c r="BT283" s="23">
        <v>12</v>
      </c>
      <c r="BU283" s="23">
        <v>16</v>
      </c>
      <c r="BV283" s="23">
        <v>16</v>
      </c>
      <c r="BW283" s="23">
        <v>11</v>
      </c>
      <c r="BX283" s="23">
        <v>9</v>
      </c>
      <c r="BY283" s="23">
        <v>5</v>
      </c>
      <c r="BZ283" s="23">
        <v>16</v>
      </c>
      <c r="CA283" s="23">
        <v>15</v>
      </c>
      <c r="CC283" s="23">
        <f t="shared" si="15"/>
        <v>5</v>
      </c>
      <c r="CD283" s="23">
        <f t="shared" si="16"/>
        <v>1</v>
      </c>
      <c r="CE283" s="23">
        <f t="shared" si="17"/>
        <v>18</v>
      </c>
      <c r="CF283" s="23" t="str" cm="1">
        <f t="array" aca="1" ref="CF283" ca="1">INDEX(AD283:AW283,1,CE283)</f>
        <v>J20</v>
      </c>
    </row>
    <row r="284" spans="2:106" ht="15" customHeight="1" thickBot="1"/>
    <row r="285" spans="2:106" ht="22.5" customHeight="1" thickBot="1">
      <c r="B285" s="102" t="s">
        <v>256</v>
      </c>
      <c r="C285" s="101" t="s">
        <v>257</v>
      </c>
      <c r="D285" s="83" t="s">
        <v>258</v>
      </c>
      <c r="J285" s="25"/>
      <c r="K285" s="25"/>
      <c r="L285" s="25"/>
      <c r="M285" s="25"/>
      <c r="N285" s="25"/>
      <c r="O285" s="25"/>
      <c r="Q285" s="25"/>
      <c r="R285" s="25"/>
      <c r="S285" s="25"/>
      <c r="T285" s="25"/>
      <c r="U285" s="25"/>
      <c r="V285" s="25"/>
      <c r="W285" s="25"/>
      <c r="X285" s="25"/>
      <c r="Y285" s="25"/>
      <c r="Z285" s="25"/>
      <c r="AA285" s="25"/>
      <c r="AB285" s="25"/>
    </row>
    <row r="286" spans="2:106" s="75" customFormat="1" ht="15" customHeight="1">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c r="AA286" s="74"/>
      <c r="AB286" s="74"/>
    </row>
    <row r="287" spans="2:106" s="75" customFormat="1" ht="15" customHeight="1">
      <c r="B287" s="76" t="s">
        <v>259</v>
      </c>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c r="AA287" s="74"/>
      <c r="AB287" s="74"/>
    </row>
    <row r="288" spans="2:106" s="75" customFormat="1" ht="15" customHeight="1">
      <c r="B288" s="72" t="s">
        <v>260</v>
      </c>
      <c r="C288" s="76"/>
      <c r="D288" s="74"/>
      <c r="E288" s="74"/>
      <c r="F288" s="74"/>
      <c r="G288" s="73"/>
      <c r="H288" s="73"/>
      <c r="I288" s="73"/>
      <c r="J288" s="73"/>
      <c r="K288" s="73"/>
      <c r="L288" s="73"/>
      <c r="M288" s="73"/>
      <c r="N288" s="73"/>
      <c r="O288" s="73"/>
      <c r="P288" s="73"/>
      <c r="Q288" s="73"/>
      <c r="R288" s="73"/>
      <c r="S288" s="73"/>
      <c r="T288" s="73"/>
      <c r="U288" s="73"/>
      <c r="V288" s="73"/>
      <c r="W288" s="73"/>
      <c r="X288" s="73"/>
      <c r="Y288" s="73"/>
      <c r="Z288" s="73"/>
      <c r="AA288" s="73"/>
      <c r="AB288" s="73"/>
    </row>
    <row r="289" spans="2:115" s="75" customFormat="1" ht="15" customHeight="1">
      <c r="B289" s="80" t="s">
        <v>211</v>
      </c>
      <c r="C289" s="76"/>
      <c r="D289" s="74"/>
      <c r="E289" s="74"/>
      <c r="F289" s="74"/>
      <c r="G289" s="73"/>
      <c r="H289" s="73"/>
      <c r="I289" s="73"/>
      <c r="J289" s="73"/>
      <c r="K289" s="73"/>
      <c r="L289" s="73"/>
      <c r="M289" s="73"/>
      <c r="N289" s="73"/>
      <c r="O289" s="73"/>
      <c r="P289" s="73"/>
      <c r="Q289" s="73"/>
      <c r="R289" s="73"/>
      <c r="S289" s="73"/>
      <c r="T289" s="73"/>
      <c r="U289" s="73"/>
      <c r="V289" s="73"/>
      <c r="W289" s="73"/>
      <c r="X289" s="73"/>
      <c r="Y289" s="73"/>
      <c r="Z289" s="73"/>
      <c r="AA289" s="73"/>
      <c r="AB289" s="73"/>
      <c r="AC289" s="73"/>
      <c r="AD289" s="73"/>
    </row>
    <row r="290" spans="2:115" s="75" customFormat="1" ht="15" customHeight="1">
      <c r="B290" s="74"/>
      <c r="C290" s="74"/>
      <c r="D290" s="74"/>
      <c r="E290" s="74"/>
      <c r="F290" s="74"/>
      <c r="G290" s="73"/>
      <c r="H290" s="73"/>
      <c r="I290" s="73"/>
      <c r="J290" s="73"/>
      <c r="K290" s="73"/>
      <c r="L290" s="73"/>
      <c r="M290" s="73"/>
      <c r="N290" s="73"/>
      <c r="O290" s="73"/>
      <c r="P290" s="73"/>
      <c r="Q290" s="73"/>
      <c r="R290" s="73"/>
      <c r="S290" s="73"/>
      <c r="T290" s="73"/>
      <c r="U290" s="73"/>
      <c r="V290" s="73"/>
      <c r="W290" s="73"/>
      <c r="X290" s="73"/>
      <c r="Y290" s="73"/>
      <c r="Z290" s="73"/>
      <c r="AA290" s="73"/>
      <c r="AB290" s="73"/>
      <c r="AC290" s="73"/>
      <c r="AD290" s="73"/>
    </row>
    <row r="291" spans="2:115" s="75" customFormat="1" ht="15" customHeight="1">
      <c r="B291" s="72" t="s">
        <v>261</v>
      </c>
      <c r="C291" s="74"/>
      <c r="D291" s="74"/>
      <c r="E291" s="74"/>
      <c r="F291" s="74"/>
      <c r="G291" s="73"/>
      <c r="H291" s="73"/>
      <c r="I291" s="73"/>
      <c r="J291" s="73"/>
      <c r="K291" s="73"/>
      <c r="L291" s="73"/>
      <c r="M291" s="73"/>
      <c r="N291" s="73"/>
      <c r="O291" s="73"/>
      <c r="P291" s="73"/>
      <c r="Q291" s="73"/>
      <c r="R291" s="73"/>
      <c r="S291" s="73"/>
      <c r="T291" s="73"/>
      <c r="U291" s="73"/>
      <c r="V291" s="73"/>
      <c r="W291" s="73"/>
      <c r="X291" s="73"/>
      <c r="Y291" s="73"/>
      <c r="Z291" s="73"/>
      <c r="AA291" s="73"/>
      <c r="AB291" s="73"/>
      <c r="AC291" s="73"/>
      <c r="AD291" s="73"/>
    </row>
    <row r="292" spans="2:115" s="75" customFormat="1" ht="15" customHeight="1">
      <c r="B292" s="77" t="s">
        <v>262</v>
      </c>
      <c r="C292" s="74"/>
      <c r="D292" s="74"/>
      <c r="E292" s="74"/>
      <c r="F292" s="74"/>
      <c r="G292" s="73"/>
      <c r="H292" s="73"/>
      <c r="I292" s="73"/>
      <c r="J292" s="73"/>
      <c r="K292" s="73"/>
      <c r="L292" s="73"/>
      <c r="M292" s="73"/>
      <c r="N292" s="73"/>
      <c r="O292" s="73"/>
      <c r="P292" s="73"/>
      <c r="Q292" s="73"/>
      <c r="R292" s="73"/>
      <c r="S292" s="73"/>
      <c r="T292" s="73"/>
      <c r="U292" s="73"/>
      <c r="V292" s="73"/>
      <c r="W292" s="73"/>
      <c r="X292" s="73"/>
      <c r="Y292" s="73"/>
      <c r="Z292" s="73"/>
      <c r="AA292" s="73"/>
      <c r="AB292" s="73"/>
      <c r="AC292" s="73"/>
      <c r="AD292" s="73"/>
    </row>
    <row r="293" spans="2:115" s="75" customFormat="1" ht="15" customHeight="1">
      <c r="B293" s="77" t="s">
        <v>263</v>
      </c>
      <c r="C293" s="74"/>
      <c r="D293" s="74"/>
      <c r="E293" s="74"/>
      <c r="F293" s="74"/>
      <c r="G293" s="73"/>
      <c r="H293" s="73"/>
      <c r="I293" s="73"/>
      <c r="J293" s="73"/>
      <c r="K293" s="73"/>
      <c r="L293" s="73"/>
      <c r="M293" s="73"/>
      <c r="N293" s="73"/>
      <c r="O293" s="73"/>
      <c r="P293" s="73"/>
      <c r="Q293" s="73"/>
      <c r="R293" s="73"/>
      <c r="S293" s="73"/>
      <c r="T293" s="73"/>
      <c r="U293" s="73"/>
      <c r="V293" s="73"/>
      <c r="W293" s="73"/>
      <c r="X293" s="73"/>
      <c r="Y293" s="73"/>
      <c r="Z293" s="73"/>
      <c r="AA293" s="73"/>
      <c r="AB293" s="73"/>
      <c r="AC293" s="73"/>
      <c r="AD293" s="73"/>
    </row>
    <row r="294" spans="2:115" s="75" customFormat="1" ht="15" customHeight="1">
      <c r="B294" s="77" t="s">
        <v>264</v>
      </c>
      <c r="C294" s="74"/>
      <c r="D294" s="74"/>
      <c r="E294" s="74"/>
      <c r="F294" s="74"/>
      <c r="G294" s="73"/>
      <c r="H294" s="73"/>
      <c r="I294" s="73"/>
      <c r="J294" s="73"/>
      <c r="K294" s="73"/>
      <c r="L294" s="73"/>
      <c r="M294" s="73"/>
      <c r="N294" s="73"/>
      <c r="O294" s="73"/>
      <c r="P294" s="73"/>
      <c r="Q294" s="73"/>
      <c r="R294" s="73"/>
      <c r="S294" s="73"/>
      <c r="T294" s="73"/>
      <c r="U294" s="73"/>
      <c r="V294" s="73"/>
      <c r="W294" s="73"/>
      <c r="X294" s="73"/>
      <c r="Y294" s="73"/>
      <c r="Z294" s="73"/>
      <c r="AA294" s="73"/>
      <c r="AB294" s="73"/>
      <c r="AC294" s="73"/>
      <c r="AD294" s="73"/>
    </row>
    <row r="295" spans="2:115" s="75" customFormat="1" ht="15" customHeight="1">
      <c r="B295" s="77" t="s">
        <v>265</v>
      </c>
      <c r="C295" s="74"/>
      <c r="D295" s="74"/>
      <c r="E295" s="74"/>
      <c r="F295" s="74"/>
      <c r="G295" s="73"/>
      <c r="H295" s="73"/>
      <c r="I295" s="73"/>
      <c r="J295" s="73"/>
      <c r="K295" s="73"/>
      <c r="L295" s="73"/>
      <c r="M295" s="73"/>
      <c r="N295" s="73"/>
      <c r="O295" s="73"/>
      <c r="P295" s="73"/>
      <c r="Q295" s="73"/>
      <c r="R295" s="73"/>
      <c r="S295" s="73"/>
      <c r="T295" s="73"/>
      <c r="U295" s="73"/>
      <c r="V295" s="73"/>
      <c r="W295" s="73"/>
      <c r="X295" s="73"/>
      <c r="Y295" s="73"/>
      <c r="Z295" s="73"/>
      <c r="AA295" s="73"/>
      <c r="AB295" s="73"/>
      <c r="AC295" s="73"/>
      <c r="AD295" s="73"/>
    </row>
    <row r="296" spans="2:115" s="75" customFormat="1" ht="15" customHeight="1">
      <c r="B296" s="77" t="s">
        <v>266</v>
      </c>
      <c r="C296" s="74"/>
      <c r="D296" s="74"/>
      <c r="E296" s="74"/>
      <c r="F296" s="74"/>
      <c r="G296" s="73"/>
      <c r="H296" s="73"/>
      <c r="I296" s="73"/>
      <c r="J296" s="73"/>
      <c r="K296" s="73"/>
      <c r="L296" s="73"/>
      <c r="M296" s="73"/>
      <c r="N296" s="73"/>
      <c r="O296" s="73"/>
      <c r="P296" s="73"/>
      <c r="Q296" s="73"/>
      <c r="R296" s="73"/>
      <c r="S296" s="73"/>
      <c r="T296" s="73"/>
      <c r="U296" s="73"/>
      <c r="V296" s="73"/>
      <c r="W296" s="73"/>
      <c r="X296" s="73"/>
      <c r="Y296" s="73"/>
      <c r="Z296" s="73"/>
      <c r="AA296" s="73"/>
      <c r="AB296" s="73"/>
      <c r="AC296" s="73"/>
      <c r="AD296" s="73"/>
    </row>
    <row r="297" spans="2:115" s="75" customFormat="1" ht="15" customHeight="1">
      <c r="B297" s="77" t="s">
        <v>267</v>
      </c>
      <c r="C297" s="74"/>
      <c r="D297" s="74"/>
      <c r="E297" s="74"/>
      <c r="F297" s="74"/>
      <c r="G297" s="73"/>
      <c r="H297" s="73"/>
      <c r="I297" s="73"/>
      <c r="J297" s="73"/>
      <c r="K297" s="73"/>
      <c r="L297" s="73"/>
      <c r="M297" s="73"/>
      <c r="N297" s="73"/>
      <c r="O297" s="73"/>
      <c r="P297" s="73"/>
      <c r="Q297" s="73"/>
      <c r="R297" s="73"/>
      <c r="S297" s="73"/>
      <c r="T297" s="73"/>
      <c r="U297" s="73"/>
      <c r="V297" s="73"/>
      <c r="W297" s="73"/>
      <c r="X297" s="73"/>
      <c r="Y297" s="73"/>
      <c r="Z297" s="73"/>
      <c r="AA297" s="73"/>
      <c r="AB297" s="73"/>
      <c r="AC297" s="73"/>
      <c r="AD297" s="73"/>
    </row>
    <row r="298" spans="2:115" s="75" customFormat="1" ht="15" customHeight="1">
      <c r="C298" s="78"/>
      <c r="D298" s="74"/>
      <c r="E298" s="74"/>
      <c r="F298" s="74"/>
      <c r="G298" s="73"/>
      <c r="H298" s="73"/>
      <c r="I298" s="73"/>
      <c r="J298" s="73"/>
      <c r="K298" s="73"/>
      <c r="L298" s="73"/>
      <c r="M298" s="73"/>
      <c r="N298" s="73"/>
      <c r="O298" s="73"/>
      <c r="P298" s="73"/>
      <c r="Q298" s="73"/>
      <c r="R298" s="73"/>
      <c r="S298" s="73"/>
      <c r="T298" s="73"/>
      <c r="U298" s="73"/>
      <c r="V298" s="73"/>
      <c r="W298" s="73"/>
      <c r="X298" s="73"/>
      <c r="Y298" s="73"/>
      <c r="Z298" s="73"/>
      <c r="AA298" s="73"/>
      <c r="AB298" s="73"/>
      <c r="AC298" s="73"/>
      <c r="AD298" s="73"/>
    </row>
    <row r="299" spans="2:115" s="75" customFormat="1" ht="15" customHeight="1">
      <c r="B299" s="79" t="s">
        <v>128</v>
      </c>
      <c r="C299" s="74"/>
      <c r="D299" s="74"/>
      <c r="E299" s="74"/>
      <c r="F299" s="74"/>
      <c r="G299" s="73"/>
      <c r="H299" s="73"/>
      <c r="I299" s="73"/>
      <c r="J299" s="73"/>
      <c r="K299" s="73"/>
      <c r="L299" s="73"/>
      <c r="M299" s="73"/>
      <c r="N299" s="73"/>
      <c r="O299" s="73"/>
      <c r="P299" s="73"/>
      <c r="Q299" s="73"/>
      <c r="R299" s="73"/>
      <c r="S299" s="73"/>
      <c r="T299" s="73"/>
      <c r="U299" s="73"/>
      <c r="V299" s="73"/>
      <c r="W299" s="73"/>
      <c r="X299" s="73"/>
      <c r="Y299" s="73"/>
      <c r="Z299" s="73"/>
      <c r="AA299" s="73"/>
      <c r="AB299" s="73"/>
      <c r="AC299" s="73"/>
      <c r="AD299" s="73"/>
    </row>
    <row r="300" spans="2:115" s="75" customFormat="1" ht="15" customHeight="1">
      <c r="B300" s="77" t="s">
        <v>268</v>
      </c>
      <c r="C300" s="77"/>
      <c r="D300" s="74"/>
      <c r="E300" s="74"/>
      <c r="F300" s="74"/>
      <c r="G300" s="73"/>
      <c r="H300" s="73"/>
      <c r="I300" s="73"/>
      <c r="J300" s="73"/>
      <c r="K300" s="73"/>
      <c r="L300" s="73"/>
      <c r="M300" s="73"/>
      <c r="N300" s="73"/>
      <c r="O300" s="73"/>
      <c r="P300" s="73"/>
      <c r="Q300" s="73"/>
      <c r="R300" s="73"/>
      <c r="S300" s="73"/>
      <c r="T300" s="73"/>
      <c r="U300" s="73"/>
      <c r="V300" s="73"/>
      <c r="W300" s="73"/>
      <c r="X300" s="73"/>
      <c r="Y300" s="73"/>
      <c r="Z300" s="73"/>
      <c r="AA300" s="73"/>
      <c r="AB300" s="73"/>
      <c r="AC300" s="73"/>
      <c r="AD300" s="73"/>
    </row>
    <row r="301" spans="2:115" s="75" customFormat="1" ht="15" customHeight="1">
      <c r="B301" s="77" t="s">
        <v>269</v>
      </c>
      <c r="C301" s="77"/>
      <c r="D301" s="74"/>
      <c r="E301" s="74"/>
      <c r="F301" s="74"/>
      <c r="G301" s="73"/>
      <c r="H301" s="73"/>
      <c r="I301" s="73"/>
      <c r="J301" s="73"/>
      <c r="K301" s="73"/>
      <c r="L301" s="73"/>
      <c r="M301" s="73"/>
      <c r="N301" s="73"/>
      <c r="O301" s="73"/>
      <c r="P301" s="73"/>
      <c r="Q301" s="73"/>
      <c r="R301" s="73"/>
      <c r="S301" s="73"/>
      <c r="T301" s="73"/>
      <c r="U301" s="73"/>
      <c r="V301" s="73"/>
      <c r="W301" s="73"/>
      <c r="X301" s="73"/>
      <c r="Y301" s="73"/>
      <c r="Z301" s="73"/>
      <c r="AA301" s="73"/>
      <c r="AB301" s="73"/>
      <c r="AC301" s="73"/>
      <c r="AD301" s="73"/>
    </row>
    <row r="302" spans="2:115" s="75" customFormat="1" ht="15" customHeight="1">
      <c r="B302" s="77" t="s">
        <v>270</v>
      </c>
      <c r="C302" s="77"/>
      <c r="D302" s="74"/>
      <c r="E302" s="74"/>
      <c r="F302" s="74"/>
      <c r="G302" s="73"/>
      <c r="H302" s="73"/>
      <c r="I302" s="73"/>
      <c r="J302" s="73"/>
      <c r="K302" s="73"/>
      <c r="L302" s="73"/>
      <c r="M302" s="73"/>
      <c r="N302" s="73"/>
      <c r="O302" s="73"/>
      <c r="P302" s="73"/>
      <c r="Q302" s="73"/>
      <c r="R302" s="73"/>
      <c r="S302" s="73"/>
      <c r="T302" s="73"/>
      <c r="U302" s="73"/>
      <c r="V302" s="73"/>
      <c r="W302" s="73"/>
      <c r="X302" s="73"/>
      <c r="Y302" s="73"/>
      <c r="Z302" s="73"/>
      <c r="AA302" s="73"/>
      <c r="AB302" s="73"/>
      <c r="AC302" s="73"/>
      <c r="AD302" s="73"/>
    </row>
    <row r="303" spans="2:115" s="75" customFormat="1" ht="15" customHeight="1" thickBot="1">
      <c r="B303" s="72"/>
      <c r="C303" s="74"/>
      <c r="D303" s="74"/>
      <c r="E303" s="74"/>
      <c r="F303" s="74"/>
      <c r="G303" s="73"/>
      <c r="H303" s="73"/>
      <c r="I303" s="74"/>
      <c r="J303" s="81"/>
      <c r="K303" s="75" cm="1">
        <f t="array" ref="K303:AD303">_xlfn.SEQUENCE(1,20,0)</f>
        <v>0</v>
      </c>
      <c r="L303" s="75">
        <v>1</v>
      </c>
      <c r="M303" s="75">
        <v>2</v>
      </c>
      <c r="N303" s="75">
        <v>3</v>
      </c>
      <c r="O303" s="75">
        <v>4</v>
      </c>
      <c r="P303" s="75">
        <v>5</v>
      </c>
      <c r="Q303" s="75">
        <v>6</v>
      </c>
      <c r="R303" s="75">
        <v>7</v>
      </c>
      <c r="S303" s="75">
        <v>8</v>
      </c>
      <c r="T303" s="75">
        <v>9</v>
      </c>
      <c r="U303" s="75">
        <v>10</v>
      </c>
      <c r="V303" s="75">
        <v>11</v>
      </c>
      <c r="W303" s="75">
        <v>12</v>
      </c>
      <c r="X303" s="75">
        <v>13</v>
      </c>
      <c r="Y303" s="75">
        <v>14</v>
      </c>
      <c r="Z303" s="75">
        <v>15</v>
      </c>
      <c r="AA303" s="75">
        <v>16</v>
      </c>
      <c r="AB303" s="75">
        <v>17</v>
      </c>
      <c r="AC303" s="75">
        <v>18</v>
      </c>
      <c r="AD303" s="75">
        <v>19</v>
      </c>
    </row>
    <row r="304" spans="2:115" s="75" customFormat="1" ht="22.5" customHeight="1" thickBot="1">
      <c r="B304" s="93" t="s">
        <v>44</v>
      </c>
      <c r="C304" s="94" t="s">
        <v>45</v>
      </c>
      <c r="D304" s="95" t="s">
        <v>16</v>
      </c>
      <c r="E304" s="96" t="s">
        <v>17</v>
      </c>
      <c r="F304" s="74"/>
      <c r="G304" s="94" t="s">
        <v>271</v>
      </c>
      <c r="H304" s="94" t="s">
        <v>272</v>
      </c>
      <c r="I304" s="94" t="s">
        <v>273</v>
      </c>
      <c r="J304" s="94" t="s">
        <v>274</v>
      </c>
      <c r="K304" s="94" t="s">
        <v>171</v>
      </c>
      <c r="L304" s="94" t="s">
        <v>172</v>
      </c>
      <c r="M304" s="94" t="s">
        <v>173</v>
      </c>
      <c r="N304" s="94" t="s">
        <v>174</v>
      </c>
      <c r="O304" s="94" t="s">
        <v>175</v>
      </c>
      <c r="P304" s="94" t="s">
        <v>219</v>
      </c>
      <c r="Q304" s="94" t="s">
        <v>220</v>
      </c>
      <c r="R304" s="94" t="s">
        <v>221</v>
      </c>
      <c r="S304" s="94" t="s">
        <v>222</v>
      </c>
      <c r="T304" s="94" t="s">
        <v>223</v>
      </c>
      <c r="U304" s="94" t="s">
        <v>224</v>
      </c>
      <c r="V304" s="94" t="s">
        <v>225</v>
      </c>
      <c r="W304" s="94" t="s">
        <v>226</v>
      </c>
      <c r="X304" s="94" t="s">
        <v>227</v>
      </c>
      <c r="Y304" s="94" t="s">
        <v>228</v>
      </c>
      <c r="Z304" s="94" t="s">
        <v>229</v>
      </c>
      <c r="AA304" s="94" t="s">
        <v>230</v>
      </c>
      <c r="AB304" s="94" t="s">
        <v>231</v>
      </c>
      <c r="AC304" s="94" t="s">
        <v>232</v>
      </c>
      <c r="AD304" s="94" t="s">
        <v>233</v>
      </c>
      <c r="AF304" s="75" t="s">
        <v>359</v>
      </c>
      <c r="BB304" s="151" t="s">
        <v>357</v>
      </c>
      <c r="BC304" s="151"/>
      <c r="BD304" s="151"/>
      <c r="BE304" s="151"/>
      <c r="BF304" s="151"/>
      <c r="BG304" s="151"/>
      <c r="BH304" s="151"/>
      <c r="BI304" s="151"/>
      <c r="BJ304" s="151"/>
      <c r="BK304" s="151"/>
      <c r="BL304" s="151"/>
      <c r="BM304" s="151"/>
      <c r="BN304" s="151"/>
      <c r="BO304" s="151"/>
      <c r="BP304" s="151"/>
      <c r="BQ304" s="151"/>
      <c r="BR304" s="151"/>
      <c r="BS304" s="151"/>
      <c r="BT304" s="151"/>
      <c r="BU304" s="151"/>
      <c r="BW304" s="151" t="s">
        <v>358</v>
      </c>
      <c r="BX304" s="151"/>
      <c r="BY304" s="151"/>
      <c r="BZ304" s="151"/>
      <c r="CA304" s="151"/>
      <c r="CB304" s="151"/>
      <c r="CC304" s="151"/>
      <c r="CD304" s="151"/>
      <c r="CE304" s="151"/>
      <c r="CF304" s="151"/>
      <c r="CG304" s="151"/>
      <c r="CH304" s="151"/>
      <c r="CI304" s="151"/>
      <c r="CJ304" s="151"/>
      <c r="CK304" s="151"/>
      <c r="CL304" s="151"/>
      <c r="CM304" s="151"/>
      <c r="CN304" s="151"/>
      <c r="CO304" s="151"/>
      <c r="CP304" s="151"/>
      <c r="CR304" s="151" t="s">
        <v>360</v>
      </c>
      <c r="CS304" s="151"/>
      <c r="CT304" s="151"/>
      <c r="CU304" s="151"/>
      <c r="CV304" s="151"/>
      <c r="CW304" s="151"/>
      <c r="CX304" s="151"/>
      <c r="CY304" s="151"/>
      <c r="CZ304" s="151"/>
      <c r="DA304" s="151"/>
      <c r="DB304" s="151"/>
      <c r="DC304" s="151"/>
      <c r="DD304" s="151"/>
      <c r="DE304" s="151"/>
      <c r="DF304" s="151"/>
      <c r="DG304" s="151"/>
      <c r="DH304" s="151"/>
      <c r="DI304" s="151"/>
      <c r="DJ304" s="151"/>
      <c r="DK304" s="151"/>
    </row>
    <row r="305" spans="2:149" ht="15.75">
      <c r="CQ305" s="75"/>
      <c r="DM305" s="23" t="s">
        <v>331</v>
      </c>
      <c r="DN305" s="23" t="s">
        <v>332</v>
      </c>
      <c r="DO305" s="23" t="s">
        <v>335</v>
      </c>
      <c r="DP305" s="23" t="s">
        <v>333</v>
      </c>
      <c r="DQ305" s="23" t="s">
        <v>334</v>
      </c>
      <c r="DR305" s="23" t="s">
        <v>335</v>
      </c>
      <c r="DS305" s="23" t="s">
        <v>353</v>
      </c>
      <c r="DU305" s="23" cm="1">
        <f t="array" ref="DU305:EN305">_xlfn.SEQUENCE(1,20)</f>
        <v>1</v>
      </c>
      <c r="DV305" s="23">
        <v>2</v>
      </c>
      <c r="DW305" s="23">
        <v>3</v>
      </c>
      <c r="DX305" s="23">
        <v>4</v>
      </c>
      <c r="DY305" s="23">
        <v>5</v>
      </c>
      <c r="DZ305" s="23">
        <v>6</v>
      </c>
      <c r="EA305" s="23">
        <v>7</v>
      </c>
      <c r="EB305" s="23">
        <v>8</v>
      </c>
      <c r="EC305" s="23">
        <v>9</v>
      </c>
      <c r="ED305" s="23">
        <v>10</v>
      </c>
      <c r="EE305" s="23">
        <v>11</v>
      </c>
      <c r="EF305" s="23">
        <v>12</v>
      </c>
      <c r="EG305" s="23">
        <v>13</v>
      </c>
      <c r="EH305" s="23">
        <v>14</v>
      </c>
      <c r="EI305" s="23">
        <v>15</v>
      </c>
      <c r="EJ305" s="23">
        <v>16</v>
      </c>
      <c r="EK305" s="23">
        <v>17</v>
      </c>
      <c r="EL305" s="23">
        <v>18</v>
      </c>
      <c r="EM305" s="23">
        <v>19</v>
      </c>
      <c r="EN305" s="23">
        <v>20</v>
      </c>
      <c r="EP305" s="23" t="s">
        <v>352</v>
      </c>
      <c r="EQ305" s="23" t="s">
        <v>354</v>
      </c>
      <c r="ER305" s="23" t="s">
        <v>355</v>
      </c>
      <c r="ES305" s="23" t="s">
        <v>356</v>
      </c>
    </row>
    <row r="306" spans="2:149" ht="22.5" customHeight="1">
      <c r="B306" s="32" t="s">
        <v>275</v>
      </c>
      <c r="C306" s="29">
        <v>7</v>
      </c>
      <c r="D306" s="30">
        <v>0</v>
      </c>
      <c r="E306" s="34" t="s">
        <v>276</v>
      </c>
      <c r="F306" s="103"/>
      <c r="G306" s="33">
        <v>30</v>
      </c>
      <c r="H306" s="33" t="s">
        <v>277</v>
      </c>
      <c r="I306" s="33">
        <v>31</v>
      </c>
      <c r="J306" s="33" t="s">
        <v>278</v>
      </c>
      <c r="K306" s="33" t="s">
        <v>114</v>
      </c>
      <c r="L306" s="33" t="s">
        <v>184</v>
      </c>
      <c r="M306" s="33" t="s">
        <v>137</v>
      </c>
      <c r="N306" s="33" t="s">
        <v>53</v>
      </c>
      <c r="O306" s="33" t="s">
        <v>53</v>
      </c>
      <c r="P306" s="33" t="s">
        <v>93</v>
      </c>
      <c r="Q306" s="33" t="s">
        <v>113</v>
      </c>
      <c r="R306" s="33" t="s">
        <v>190</v>
      </c>
      <c r="S306" s="33" t="s">
        <v>84</v>
      </c>
      <c r="T306" s="33" t="s">
        <v>83</v>
      </c>
      <c r="U306" s="33" t="s">
        <v>186</v>
      </c>
      <c r="V306" s="33" t="s">
        <v>60</v>
      </c>
      <c r="W306" s="33" t="s">
        <v>87</v>
      </c>
      <c r="X306" s="33" t="s">
        <v>85</v>
      </c>
      <c r="Y306" s="33" t="s">
        <v>114</v>
      </c>
      <c r="Z306" s="33" t="s">
        <v>55</v>
      </c>
      <c r="AA306" s="33" t="s">
        <v>184</v>
      </c>
      <c r="AB306" s="33" t="s">
        <v>80</v>
      </c>
      <c r="AC306" s="33" t="s">
        <v>81</v>
      </c>
      <c r="AD306" s="33" t="s">
        <v>61</v>
      </c>
      <c r="AF306" s="31" t="str" cm="1">
        <f t="array" aca="1" ref="AF306" ca="1">_xlfn.LET(
_xlpm.x, IF(K$303&gt;$G306,"x",IFERROR(SUBSTITUTE(CELL("adres",OFFSET(INDIRECT(K306),,IF(LEFT(K306)="V",-1,1)*($G306-K$303),1,1)),"$",""),"x")),
_xlpm.y, IFERROR(IF(OR(COLUMN(INDIRECT(_xlpm.x))&gt;21, COLUMN(INDIRECT(_xlpm.x)) &lt;2), "x",_xlpm.x),"x"),
_xlpm.y)</f>
        <v>x</v>
      </c>
      <c r="AG306" s="31" t="str" cm="1">
        <f t="array" aca="1" ref="AG306" ca="1">_xlfn.LET(
_xlpm.x, IF(L$303&gt;$G306,"x",IFERROR(SUBSTITUTE(CELL("adres",OFFSET(INDIRECT(L306),,IF(LEFT(L306)="V",-1,1)*($G306-L$303),1,1)),"$",""),"x")),
_xlpm.y, IFERROR(IF(OR(COLUMN(INDIRECT(_xlpm.x))&gt;21, COLUMN(INDIRECT(_xlpm.x)) &lt;2), "x",_xlpm.x),"x"),
_xlpm.y)</f>
        <v>x</v>
      </c>
      <c r="AH306" s="31" t="str" cm="1">
        <f t="array" aca="1" ref="AH306" ca="1">_xlfn.LET(
_xlpm.x, IF(M$303&gt;$G306,"x",IFERROR(SUBSTITUTE(CELL("adres",OFFSET(INDIRECT(M306),,IF(LEFT(M306)="V",-1,1)*($G306-M$303),1,1)),"$",""),"x")),
_xlpm.y, IFERROR(IF(OR(COLUMN(INDIRECT(_xlpm.x))&gt;21, COLUMN(INDIRECT(_xlpm.x)) &lt;2), "x",_xlpm.x),"x"),
_xlpm.y)</f>
        <v>x</v>
      </c>
      <c r="AI306" s="31" t="str" cm="1">
        <f t="array" aca="1" ref="AI306" ca="1">_xlfn.LET(
_xlpm.x, IF(N$303&gt;$G306,"x",IFERROR(SUBSTITUTE(CELL("adres",OFFSET(INDIRECT(N306),,IF(LEFT(N306)="V",-1,1)*($G306-N$303),1,1)),"$",""),"x")),
_xlpm.y, IFERROR(IF(OR(COLUMN(INDIRECT(_xlpm.x))&gt;21, COLUMN(INDIRECT(_xlpm.x)) &lt;2), "x",_xlpm.x),"x"),
_xlpm.y)</f>
        <v>x</v>
      </c>
      <c r="AJ306" s="31" t="str" cm="1">
        <f t="array" aca="1" ref="AJ306" ca="1">_xlfn.LET(
_xlpm.x, IF(O$303&gt;$G306,"x",IFERROR(SUBSTITUTE(CELL("adres",OFFSET(INDIRECT(O306),,IF(LEFT(O306)="V",-1,1)*($G306-O$303),1,1)),"$",""),"x")),
_xlpm.y, IFERROR(IF(OR(COLUMN(INDIRECT(_xlpm.x))&gt;21, COLUMN(INDIRECT(_xlpm.x)) &lt;2), "x",_xlpm.x),"x"),
_xlpm.y)</f>
        <v>x</v>
      </c>
      <c r="AK306" s="31" t="str" cm="1">
        <f t="array" aca="1" ref="AK306" ca="1">_xlfn.LET(
_xlpm.x, IF(P$303&gt;$G306,"x",IFERROR(SUBSTITUTE(CELL("adres",OFFSET(INDIRECT(P306),,IF(LEFT(P306)="V",-1,1)*($G306-P$303),1,1)),"$",""),"x")),
_xlpm.y, IFERROR(IF(OR(COLUMN(INDIRECT(_xlpm.x))&gt;21, COLUMN(INDIRECT(_xlpm.x)) &lt;2), "x",_xlpm.x),"x"),
_xlpm.y)</f>
        <v>x</v>
      </c>
      <c r="AL306" s="31" t="str" cm="1">
        <f t="array" aca="1" ref="AL306" ca="1">_xlfn.LET(
_xlpm.x, IF(Q$303&gt;$G306,"x",IFERROR(SUBSTITUTE(CELL("adres",OFFSET(INDIRECT(Q306),,IF(LEFT(Q306)="V",-1,1)*($G306-Q$303),1,1)),"$",""),"x")),
_xlpm.y, IFERROR(IF(OR(COLUMN(INDIRECT(_xlpm.x))&gt;21, COLUMN(INDIRECT(_xlpm.x)) &lt;2), "x",_xlpm.x),"x"),
_xlpm.y)</f>
        <v>x</v>
      </c>
      <c r="AM306" s="31" t="str" cm="1">
        <f t="array" aca="1" ref="AM306" ca="1">_xlfn.LET(
_xlpm.x, IF(R$303&gt;$G306,"x",IFERROR(SUBSTITUTE(CELL("adres",OFFSET(INDIRECT(R306),,IF(LEFT(R306)="V",-1,1)*($G306-R$303),1,1)),"$",""),"x")),
_xlpm.y, IFERROR(IF(OR(COLUMN(INDIRECT(_xlpm.x))&gt;21, COLUMN(INDIRECT(_xlpm.x)) &lt;2), "x",_xlpm.x),"x"),
_xlpm.y)</f>
        <v>x</v>
      </c>
      <c r="AN306" s="31" t="str" cm="1">
        <f t="array" aca="1" ref="AN306" ca="1">_xlfn.LET(
_xlpm.x, IF(S$303&gt;$G306,"x",IFERROR(SUBSTITUTE(CELL("adres",OFFSET(INDIRECT(S306),,IF(LEFT(S306)="V",-1,1)*($G306-S$303),1,1)),"$",""),"x")),
_xlpm.y, IFERROR(IF(OR(COLUMN(INDIRECT(_xlpm.x))&gt;21, COLUMN(INDIRECT(_xlpm.x)) &lt;2), "x",_xlpm.x),"x"),
_xlpm.y)</f>
        <v>x</v>
      </c>
      <c r="AO306" s="31" t="str" cm="1">
        <f t="array" aca="1" ref="AO306" ca="1">_xlfn.LET(
_xlpm.x, IF(T$303&gt;$G306,"x",IFERROR(SUBSTITUTE(CELL("adres",OFFSET(INDIRECT(T306),,IF(LEFT(T306)="V",-1,1)*($G306-T$303),1,1)),"$",""),"x")),
_xlpm.y, IFERROR(IF(OR(COLUMN(INDIRECT(_xlpm.x))&gt;21, COLUMN(INDIRECT(_xlpm.x)) &lt;2), "x",_xlpm.x),"x"),
_xlpm.y)</f>
        <v>x</v>
      </c>
      <c r="AP306" s="31" t="str" cm="1">
        <f t="array" aca="1" ref="AP306" ca="1">_xlfn.LET(
_xlpm.x, IF(U$303&gt;$G306,"x",IFERROR(SUBSTITUTE(CELL("adres",OFFSET(INDIRECT(U306),,IF(LEFT(U306)="V",-1,1)*($G306-U$303),1,1)),"$",""),"x")),
_xlpm.y, IFERROR(IF(OR(COLUMN(INDIRECT(_xlpm.x))&gt;21, COLUMN(INDIRECT(_xlpm.x)) &lt;2), "x",_xlpm.x),"x"),
_xlpm.y)</f>
        <v>B15</v>
      </c>
      <c r="AQ306" s="31" t="str" cm="1">
        <f t="array" aca="1" ref="AQ306" ca="1">_xlfn.LET(
_xlpm.x, IF(V$303&gt;$G306,"x",IFERROR(SUBSTITUTE(CELL("adres",OFFSET(INDIRECT(V306),,IF(LEFT(V306)="V",-1,1)*($G306-V$303),1,1)),"$",""),"x")),
_xlpm.y, IFERROR(IF(OR(COLUMN(INDIRECT(_xlpm.x))&gt;21, COLUMN(INDIRECT(_xlpm.x)) &lt;2), "x",_xlpm.x),"x"),
_xlpm.y)</f>
        <v>T21</v>
      </c>
      <c r="AR306" s="31" t="str" cm="1">
        <f t="array" aca="1" ref="AR306" ca="1">_xlfn.LET(
_xlpm.x, IF(W$303&gt;$G306,"x",IFERROR(SUBSTITUTE(CELL("adres",OFFSET(INDIRECT(W306),,IF(LEFT(W306)="V",-1,1)*($G306-W$303),1,1)),"$",""),"x")),
_xlpm.y, IFERROR(IF(OR(COLUMN(INDIRECT(_xlpm.x))&gt;21, COLUMN(INDIRECT(_xlpm.x)) &lt;2), "x",_xlpm.x),"x"),
_xlpm.y)</f>
        <v>D8</v>
      </c>
      <c r="AS306" s="31" t="str" cm="1">
        <f t="array" aca="1" ref="AS306" ca="1">_xlfn.LET(
_xlpm.x, IF(X$303&gt;$G306,"x",IFERROR(SUBSTITUTE(CELL("adres",OFFSET(INDIRECT(X306),,IF(LEFT(X306)="V",-1,1)*($G306-X$303),1,1)),"$",""),"x")),
_xlpm.y, IFERROR(IF(OR(COLUMN(INDIRECT(_xlpm.x))&gt;21, COLUMN(INDIRECT(_xlpm.x)) &lt;2), "x",_xlpm.x),"x"),
_xlpm.y)</f>
        <v>E25</v>
      </c>
      <c r="AT306" s="31" t="str" cm="1">
        <f t="array" aca="1" ref="AT306" ca="1">_xlfn.LET(
_xlpm.x, IF(Y$303&gt;$G306,"x",IFERROR(SUBSTITUTE(CELL("adres",OFFSET(INDIRECT(Y306),,IF(LEFT(Y306)="V",-1,1)*($G306-Y$303),1,1)),"$",""),"x")),
_xlpm.y, IFERROR(IF(OR(COLUMN(INDIRECT(_xlpm.x))&gt;21, COLUMN(INDIRECT(_xlpm.x)) &lt;2), "x",_xlpm.x),"x"),
_xlpm.y)</f>
        <v>F13</v>
      </c>
      <c r="AU306" s="31" t="str" cm="1">
        <f t="array" aca="1" ref="AU306" ca="1">_xlfn.LET(
_xlpm.x, IF(Z$303&gt;$G306,"x",IFERROR(SUBSTITUTE(CELL("adres",OFFSET(INDIRECT(Z306),,IF(LEFT(Z306)="V",-1,1)*($G306-Z$303),1,1)),"$",""),"x")),
_xlpm.y, IFERROR(IF(OR(COLUMN(INDIRECT(_xlpm.x))&gt;21, COLUMN(INDIRECT(_xlpm.x)) &lt;2), "x",_xlpm.x),"x"),
_xlpm.y)</f>
        <v>P26</v>
      </c>
      <c r="AV306" s="31" t="str" cm="1">
        <f t="array" aca="1" ref="AV306" ca="1">_xlfn.LET(
_xlpm.x, IF(AA$303&gt;$G306,"x",IFERROR(SUBSTITUTE(CELL("adres",OFFSET(INDIRECT(AA306),,IF(LEFT(AA306)="V",-1,1)*($G306-AA$303),1,1)),"$",""),"x")),
_xlpm.y, IFERROR(IF(OR(COLUMN(INDIRECT(_xlpm.x))&gt;21, COLUMN(INDIRECT(_xlpm.x)) &lt;2), "x",_xlpm.x),"x"),
_xlpm.y)</f>
        <v>H19</v>
      </c>
      <c r="AW306" s="31" t="str" cm="1">
        <f t="array" aca="1" ref="AW306" ca="1">_xlfn.LET(
_xlpm.x, IF(AB$303&gt;$G306,"x",IFERROR(SUBSTITUTE(CELL("adres",OFFSET(INDIRECT(AB306),,IF(LEFT(AB306)="V",-1,1)*($G306-AB$303),1,1)),"$",""),"x")),
_xlpm.y, IFERROR(IF(OR(COLUMN(INDIRECT(_xlpm.x))&gt;21, COLUMN(INDIRECT(_xlpm.x)) &lt;2), "x",_xlpm.x),"x"),
_xlpm.y)</f>
        <v>I6</v>
      </c>
      <c r="AX306" s="31" t="str" cm="1">
        <f t="array" aca="1" ref="AX306" ca="1">_xlfn.LET(
_xlpm.x, IF(AC$303&gt;$G306,"x",IFERROR(SUBSTITUTE(CELL("adres",OFFSET(INDIRECT(AC306),,IF(LEFT(AC306)="V",-1,1)*($G306-AC$303),1,1)),"$",""),"x")),
_xlpm.y, IFERROR(IF(OR(COLUMN(INDIRECT(_xlpm.x))&gt;21, COLUMN(INDIRECT(_xlpm.x)) &lt;2), "x",_xlpm.x),"x"),
_xlpm.y)</f>
        <v>J12</v>
      </c>
      <c r="AY306" s="31" t="str" cm="1">
        <f t="array" aca="1" ref="AY306" ca="1">_xlfn.LET(
_xlpm.x, IF(AD$303&gt;$G306,"x",IFERROR(SUBSTITUTE(CELL("adres",OFFSET(INDIRECT(AD306),,IF(LEFT(AD306)="V",-1,1)*($G306-AD$303),1,1)),"$",""),"x")),
_xlpm.y, IFERROR(IF(OR(COLUMN(INDIRECT(_xlpm.x))&gt;21, COLUMN(INDIRECT(_xlpm.x)) &lt;2), "x",_xlpm.x),"x"),
_xlpm.y)</f>
        <v>L8</v>
      </c>
      <c r="BB306" s="23" t="str" cm="1">
        <f t="array" aca="1" ref="BB306" ca="1">IFERROR(COLUMN(INDIRECT(AF306)),"x")</f>
        <v>x</v>
      </c>
      <c r="BC306" s="23" t="str" cm="1">
        <f t="array" aca="1" ref="BC306" ca="1">IFERROR(COLUMN(INDIRECT(AG306)),"x")</f>
        <v>x</v>
      </c>
      <c r="BD306" s="23" t="str" cm="1">
        <f t="array" aca="1" ref="BD306" ca="1">IFERROR(COLUMN(INDIRECT(AH306)),"x")</f>
        <v>x</v>
      </c>
      <c r="BE306" s="23" t="str" cm="1">
        <f t="array" aca="1" ref="BE306" ca="1">IFERROR(COLUMN(INDIRECT(AI306)),"x")</f>
        <v>x</v>
      </c>
      <c r="BF306" s="23" t="str" cm="1">
        <f t="array" aca="1" ref="BF306" ca="1">IFERROR(COLUMN(INDIRECT(AJ306)),"x")</f>
        <v>x</v>
      </c>
      <c r="BG306" s="23" t="str" cm="1">
        <f t="array" aca="1" ref="BG306" ca="1">IFERROR(COLUMN(INDIRECT(AK306)),"x")</f>
        <v>x</v>
      </c>
      <c r="BH306" s="23" t="str" cm="1">
        <f t="array" aca="1" ref="BH306" ca="1">IFERROR(COLUMN(INDIRECT(AL306)),"x")</f>
        <v>x</v>
      </c>
      <c r="BI306" s="23" t="str" cm="1">
        <f t="array" aca="1" ref="BI306" ca="1">IFERROR(COLUMN(INDIRECT(AM306)),"x")</f>
        <v>x</v>
      </c>
      <c r="BJ306" s="23" t="str" cm="1">
        <f t="array" aca="1" ref="BJ306" ca="1">IFERROR(COLUMN(INDIRECT(AN306)),"x")</f>
        <v>x</v>
      </c>
      <c r="BK306" s="23" t="str" cm="1">
        <f t="array" aca="1" ref="BK306" ca="1">IFERROR(COLUMN(INDIRECT(AO306)),"x")</f>
        <v>x</v>
      </c>
      <c r="BL306" s="23" cm="1">
        <f t="array" aca="1" ref="BL306" ca="1">IFERROR(COLUMN(INDIRECT(AP306)),"x")</f>
        <v>2</v>
      </c>
      <c r="BM306" s="23" cm="1">
        <f t="array" aca="1" ref="BM306" ca="1">IFERROR(COLUMN(INDIRECT(AQ306)),"x")</f>
        <v>20</v>
      </c>
      <c r="BN306" s="23" cm="1">
        <f t="array" aca="1" ref="BN306" ca="1">IFERROR(COLUMN(INDIRECT(AR306)),"x")</f>
        <v>4</v>
      </c>
      <c r="BO306" s="23" cm="1">
        <f t="array" aca="1" ref="BO306" ca="1">IFERROR(COLUMN(INDIRECT(AS306)),"x")</f>
        <v>5</v>
      </c>
      <c r="BP306" s="23" cm="1">
        <f t="array" aca="1" ref="BP306" ca="1">IFERROR(COLUMN(INDIRECT(AT306)),"x")</f>
        <v>6</v>
      </c>
      <c r="BQ306" s="23" cm="1">
        <f t="array" aca="1" ref="BQ306" ca="1">IFERROR(COLUMN(INDIRECT(AU306)),"x")</f>
        <v>16</v>
      </c>
      <c r="BR306" s="23" cm="1">
        <f t="array" aca="1" ref="BR306" ca="1">IFERROR(COLUMN(INDIRECT(AV306)),"x")</f>
        <v>8</v>
      </c>
      <c r="BS306" s="23" cm="1">
        <f t="array" aca="1" ref="BS306" ca="1">IFERROR(COLUMN(INDIRECT(AW306)),"x")</f>
        <v>9</v>
      </c>
      <c r="BT306" s="23" cm="1">
        <f t="array" aca="1" ref="BT306" ca="1">IFERROR(COLUMN(INDIRECT(AX306)),"x")</f>
        <v>10</v>
      </c>
      <c r="BU306" s="23" cm="1">
        <f t="array" aca="1" ref="BU306" ca="1">IFERROR(COLUMN(INDIRECT(AY306)),"x")</f>
        <v>12</v>
      </c>
      <c r="BW306" s="23" t="str">
        <f ca="1">IFERROR(IF(ABS(21-BB306)&gt;=ABS(1-BB306),-1,1), "x")</f>
        <v>x</v>
      </c>
      <c r="BX306" s="23" t="str">
        <f t="shared" ref="BX306:CP306" ca="1" si="19">IFERROR(IF(ABS(21-BC306)&gt;=ABS(1-BC306),-1,1), "x")</f>
        <v>x</v>
      </c>
      <c r="BY306" s="23" t="str">
        <f t="shared" ca="1" si="19"/>
        <v>x</v>
      </c>
      <c r="BZ306" s="23" t="str">
        <f t="shared" ca="1" si="19"/>
        <v>x</v>
      </c>
      <c r="CA306" s="23" t="str">
        <f t="shared" ca="1" si="19"/>
        <v>x</v>
      </c>
      <c r="CB306" s="23" t="str">
        <f t="shared" ca="1" si="19"/>
        <v>x</v>
      </c>
      <c r="CC306" s="23" t="str">
        <f t="shared" ca="1" si="19"/>
        <v>x</v>
      </c>
      <c r="CD306" s="23" t="str">
        <f t="shared" ca="1" si="19"/>
        <v>x</v>
      </c>
      <c r="CE306" s="23" t="str">
        <f t="shared" ca="1" si="19"/>
        <v>x</v>
      </c>
      <c r="CF306" s="23" t="str">
        <f t="shared" ca="1" si="19"/>
        <v>x</v>
      </c>
      <c r="CG306" s="23">
        <f t="shared" ca="1" si="19"/>
        <v>-1</v>
      </c>
      <c r="CH306" s="23">
        <f t="shared" ca="1" si="19"/>
        <v>1</v>
      </c>
      <c r="CI306" s="23">
        <f t="shared" ca="1" si="19"/>
        <v>-1</v>
      </c>
      <c r="CJ306" s="23">
        <f t="shared" ca="1" si="19"/>
        <v>-1</v>
      </c>
      <c r="CK306" s="23">
        <f t="shared" ca="1" si="19"/>
        <v>-1</v>
      </c>
      <c r="CL306" s="23">
        <f t="shared" ca="1" si="19"/>
        <v>1</v>
      </c>
      <c r="CM306" s="23">
        <f t="shared" ca="1" si="19"/>
        <v>-1</v>
      </c>
      <c r="CN306" s="23">
        <f t="shared" ca="1" si="19"/>
        <v>-1</v>
      </c>
      <c r="CO306" s="23">
        <f t="shared" ca="1" si="19"/>
        <v>-1</v>
      </c>
      <c r="CP306" s="23">
        <f t="shared" ca="1" si="19"/>
        <v>1</v>
      </c>
      <c r="CQ306" s="75"/>
      <c r="CR306" s="23" t="str" cm="1">
        <f t="array" aca="1" ref="CR306" ca="1">_xlfn.LET(
_xlpm.x, IFERROR(SUBSTITUTE(CELL("adres",OFFSET(INDIRECT(AF306),,BW306*($I306-$G306)*2,1,1)),"$",""),"x"),
_xlpm.y, IFERROR(IF(OR(COLUMN(INDIRECT(_xlpm.x))&gt;21, COLUMN(INDIRECT(_xlpm.x))&lt;2),"x",_xlpm.x), "x"),
_xlpm.y)</f>
        <v>x</v>
      </c>
      <c r="CS306" s="23" t="str" cm="1">
        <f t="array" aca="1" ref="CS306" ca="1">_xlfn.LET(
_xlpm.x, IFERROR(SUBSTITUTE(CELL("adres",OFFSET(INDIRECT(AG306),,BX306*($I306-$G306)*2,1,1)),"$",""),"x"),
_xlpm.y, IFERROR(IF(OR(COLUMN(INDIRECT(_xlpm.x))&gt;21, COLUMN(INDIRECT(_xlpm.x))&lt;2),"x",_xlpm.x), "x"),
_xlpm.y)</f>
        <v>x</v>
      </c>
      <c r="CT306" s="23" t="str" cm="1">
        <f t="array" aca="1" ref="CT306" ca="1">_xlfn.LET(
_xlpm.x, IFERROR(SUBSTITUTE(CELL("adres",OFFSET(INDIRECT(AH306),,BY306*($I306-$G306)*2,1,1)),"$",""),"x"),
_xlpm.y, IFERROR(IF(OR(COLUMN(INDIRECT(_xlpm.x))&gt;21, COLUMN(INDIRECT(_xlpm.x))&lt;2),"x",_xlpm.x), "x"),
_xlpm.y)</f>
        <v>x</v>
      </c>
      <c r="CU306" s="23" t="str" cm="1">
        <f t="array" aca="1" ref="CU306" ca="1">_xlfn.LET(
_xlpm.x, IFERROR(SUBSTITUTE(CELL("adres",OFFSET(INDIRECT(AI306),,BZ306*($I306-$G306)*2,1,1)),"$",""),"x"),
_xlpm.y, IFERROR(IF(OR(COLUMN(INDIRECT(_xlpm.x))&gt;21, COLUMN(INDIRECT(_xlpm.x))&lt;2),"x",_xlpm.x), "x"),
_xlpm.y)</f>
        <v>x</v>
      </c>
      <c r="CV306" s="23" t="str" cm="1">
        <f t="array" aca="1" ref="CV306" ca="1">_xlfn.LET(
_xlpm.x, IFERROR(SUBSTITUTE(CELL("adres",OFFSET(INDIRECT(AJ306),,CA306*($I306-$G306)*2,1,1)),"$",""),"x"),
_xlpm.y, IFERROR(IF(OR(COLUMN(INDIRECT(_xlpm.x))&gt;21, COLUMN(INDIRECT(_xlpm.x))&lt;2),"x",_xlpm.x), "x"),
_xlpm.y)</f>
        <v>x</v>
      </c>
      <c r="CW306" s="23" t="str" cm="1">
        <f t="array" aca="1" ref="CW306" ca="1">_xlfn.LET(
_xlpm.x, IFERROR(SUBSTITUTE(CELL("adres",OFFSET(INDIRECT(AK306),,CB306*($I306-$G306)*2,1,1)),"$",""),"x"),
_xlpm.y, IFERROR(IF(OR(COLUMN(INDIRECT(_xlpm.x))&gt;21, COLUMN(INDIRECT(_xlpm.x))&lt;2),"x",_xlpm.x), "x"),
_xlpm.y)</f>
        <v>x</v>
      </c>
      <c r="CX306" s="23" t="str" cm="1">
        <f t="array" aca="1" ref="CX306" ca="1">_xlfn.LET(
_xlpm.x, IFERROR(SUBSTITUTE(CELL("adres",OFFSET(INDIRECT(AL306),,CC306*($I306-$G306)*2,1,1)),"$",""),"x"),
_xlpm.y, IFERROR(IF(OR(COLUMN(INDIRECT(_xlpm.x))&gt;21, COLUMN(INDIRECT(_xlpm.x))&lt;2),"x",_xlpm.x), "x"),
_xlpm.y)</f>
        <v>x</v>
      </c>
      <c r="CY306" s="23" t="str" cm="1">
        <f t="array" aca="1" ref="CY306" ca="1">_xlfn.LET(
_xlpm.x, IFERROR(SUBSTITUTE(CELL("adres",OFFSET(INDIRECT(AM306),,CD306*($I306-$G306)*2,1,1)),"$",""),"x"),
_xlpm.y, IFERROR(IF(OR(COLUMN(INDIRECT(_xlpm.x))&gt;21, COLUMN(INDIRECT(_xlpm.x))&lt;2),"x",_xlpm.x), "x"),
_xlpm.y)</f>
        <v>x</v>
      </c>
      <c r="CZ306" s="23" t="str" cm="1">
        <f t="array" aca="1" ref="CZ306" ca="1">_xlfn.LET(
_xlpm.x, IFERROR(SUBSTITUTE(CELL("adres",OFFSET(INDIRECT(AN306),,CE306*($I306-$G306)*2,1,1)),"$",""),"x"),
_xlpm.y, IFERROR(IF(OR(COLUMN(INDIRECT(_xlpm.x))&gt;21, COLUMN(INDIRECT(_xlpm.x))&lt;2),"x",_xlpm.x), "x"),
_xlpm.y)</f>
        <v>x</v>
      </c>
      <c r="DA306" s="23" t="str" cm="1">
        <f t="array" aca="1" ref="DA306" ca="1">_xlfn.LET(
_xlpm.x, IFERROR(SUBSTITUTE(CELL("adres",OFFSET(INDIRECT(AO306),,CF306*($I306-$G306)*2,1,1)),"$",""),"x"),
_xlpm.y, IFERROR(IF(OR(COLUMN(INDIRECT(_xlpm.x))&gt;21, COLUMN(INDIRECT(_xlpm.x))&lt;2),"x",_xlpm.x), "x"),
_xlpm.y)</f>
        <v>x</v>
      </c>
      <c r="DB306" s="23" t="str" cm="1">
        <f t="array" aca="1" ref="DB306" ca="1">_xlfn.LET(
_xlpm.x, IFERROR(SUBSTITUTE(CELL("adres",OFFSET(INDIRECT(AP306),,CG306*($I306-$G306)*2,1,1)),"$",""),"x"),
_xlpm.y, IFERROR(IF(OR(COLUMN(INDIRECT(_xlpm.x))&gt;21, COLUMN(INDIRECT(_xlpm.x))&lt;2),"x",_xlpm.x), "x"),
_xlpm.y)</f>
        <v>x</v>
      </c>
      <c r="DC306" s="23" t="str" cm="1">
        <f t="array" aca="1" ref="DC306" ca="1">_xlfn.LET(
_xlpm.x, IFERROR(SUBSTITUTE(CELL("adres",OFFSET(INDIRECT(AQ306),,CH306*($I306-$G306)*2,1,1)),"$",""),"x"),
_xlpm.y, IFERROR(IF(OR(COLUMN(INDIRECT(_xlpm.x))&gt;21, COLUMN(INDIRECT(_xlpm.x))&lt;2),"x",_xlpm.x), "x"),
_xlpm.y)</f>
        <v>x</v>
      </c>
      <c r="DD306" s="23" t="str" cm="1">
        <f t="array" aca="1" ref="DD306" ca="1">_xlfn.LET(
_xlpm.x, IFERROR(SUBSTITUTE(CELL("adres",OFFSET(INDIRECT(AR306),,CI306*($I306-$G306)*2,1,1)),"$",""),"x"),
_xlpm.y, IFERROR(IF(OR(COLUMN(INDIRECT(_xlpm.x))&gt;21, COLUMN(INDIRECT(_xlpm.x))&lt;2),"x",_xlpm.x), "x"),
_xlpm.y)</f>
        <v>B8</v>
      </c>
      <c r="DE306" s="23" t="str" cm="1">
        <f t="array" aca="1" ref="DE306" ca="1">_xlfn.LET(
_xlpm.x, IFERROR(SUBSTITUTE(CELL("adres",OFFSET(INDIRECT(AS306),,CJ306*($I306-$G306)*2,1,1)),"$",""),"x"),
_xlpm.y, IFERROR(IF(OR(COLUMN(INDIRECT(_xlpm.x))&gt;21, COLUMN(INDIRECT(_xlpm.x))&lt;2),"x",_xlpm.x), "x"),
_xlpm.y)</f>
        <v>C25</v>
      </c>
      <c r="DF306" s="23" t="str" cm="1">
        <f t="array" aca="1" ref="DF306" ca="1">_xlfn.LET(
_xlpm.x, IFERROR(SUBSTITUTE(CELL("adres",OFFSET(INDIRECT(AT306),,CK306*($I306-$G306)*2,1,1)),"$",""),"x"),
_xlpm.y, IFERROR(IF(OR(COLUMN(INDIRECT(_xlpm.x))&gt;21, COLUMN(INDIRECT(_xlpm.x))&lt;2),"x",_xlpm.x), "x"),
_xlpm.y)</f>
        <v>D13</v>
      </c>
      <c r="DG306" s="23" t="str" cm="1">
        <f t="array" aca="1" ref="DG306" ca="1">_xlfn.LET(
_xlpm.x, IFERROR(SUBSTITUTE(CELL("adres",OFFSET(INDIRECT(AU306),,CL306*($I306-$G306)*2,1,1)),"$",""),"x"),
_xlpm.y, IFERROR(IF(OR(COLUMN(INDIRECT(_xlpm.x))&gt;21, COLUMN(INDIRECT(_xlpm.x))&lt;2),"x",_xlpm.x), "x"),
_xlpm.y)</f>
        <v>R26</v>
      </c>
      <c r="DH306" s="23" t="str" cm="1">
        <f t="array" aca="1" ref="DH306" ca="1">_xlfn.LET(
_xlpm.x, IFERROR(SUBSTITUTE(CELL("adres",OFFSET(INDIRECT(AV306),,CM306*($I306-$G306)*2,1,1)),"$",""),"x"),
_xlpm.y, IFERROR(IF(OR(COLUMN(INDIRECT(_xlpm.x))&gt;21, COLUMN(INDIRECT(_xlpm.x))&lt;2),"x",_xlpm.x), "x"),
_xlpm.y)</f>
        <v>F19</v>
      </c>
      <c r="DI306" s="23" t="str" cm="1">
        <f t="array" aca="1" ref="DI306" ca="1">_xlfn.LET(
_xlpm.x, IFERROR(SUBSTITUTE(CELL("adres",OFFSET(INDIRECT(AW306),,CN306*($I306-$G306)*2,1,1)),"$",""),"x"),
_xlpm.y, IFERROR(IF(OR(COLUMN(INDIRECT(_xlpm.x))&gt;21, COLUMN(INDIRECT(_xlpm.x))&lt;2),"x",_xlpm.x), "x"),
_xlpm.y)</f>
        <v>G6</v>
      </c>
      <c r="DJ306" s="23" t="str" cm="1">
        <f t="array" aca="1" ref="DJ306" ca="1">_xlfn.LET(
_xlpm.x, IFERROR(SUBSTITUTE(CELL("adres",OFFSET(INDIRECT(AX306),,CO306*($I306-$G306)*2,1,1)),"$",""),"x"),
_xlpm.y, IFERROR(IF(OR(COLUMN(INDIRECT(_xlpm.x))&gt;21, COLUMN(INDIRECT(_xlpm.x))&lt;2),"x",_xlpm.x), "x"),
_xlpm.y)</f>
        <v>H12</v>
      </c>
      <c r="DK306" s="23" t="str" cm="1">
        <f t="array" aca="1" ref="DK306" ca="1">_xlfn.LET(
_xlpm.x, IFERROR(SUBSTITUTE(CELL("adres",OFFSET(INDIRECT(AY306),,CP306*($I306-$G306)*2,1,1)),"$",""),"x"),
_xlpm.y, IFERROR(IF(OR(COLUMN(INDIRECT(_xlpm.x))&gt;21, COLUMN(INDIRECT(_xlpm.x))&lt;2),"x",_xlpm.x), "x"),
_xlpm.y)</f>
        <v>N8</v>
      </c>
      <c r="DM306" s="23" t="e" cm="1">
        <f t="array" aca="1" ref="DM306" ca="1">ROW(INDIRECT(CR306))</f>
        <v>#REF!</v>
      </c>
      <c r="DN306" s="23" cm="1">
        <f t="array" aca="1" ref="DN306" ca="1">ROW(INDIRECT(J306))</f>
        <v>3</v>
      </c>
      <c r="DO306" s="23" t="e">
        <f ca="1">ABS(DN306-DM306)</f>
        <v>#REF!</v>
      </c>
      <c r="DP306" s="23" t="e" cm="1">
        <f t="array" aca="1" ref="DP306" ca="1">COLUMN(INDIRECT(CR306))</f>
        <v>#REF!</v>
      </c>
      <c r="DQ306" s="23" cm="1">
        <f t="array" aca="1" ref="DQ306" ca="1">COLUMN(INDIRECT(J306))</f>
        <v>3</v>
      </c>
      <c r="DR306" s="23" t="e">
        <f ca="1">ABS(DQ306-DP306)</f>
        <v>#REF!</v>
      </c>
      <c r="DS306" s="23">
        <f ca="1">IFERROR(MAX(DO306,DR306),1000)</f>
        <v>1000</v>
      </c>
      <c r="DU306" s="23" cm="1">
        <f t="array" aca="1" ref="DU306" ca="1">IFERROR(MAX(ABS(ROW(INDIRECT($J306))-ROW(INDIRECT(CR306))),ABS(COLUMN(INDIRECT($J306))-COLUMN(INDIRECT(CR306)))),1000)</f>
        <v>1000</v>
      </c>
      <c r="DV306" s="23" cm="1">
        <f t="array" aca="1" ref="DV306" ca="1">IFERROR(MAX(ABS(ROW(INDIRECT($J306))-ROW(INDIRECT(CS306))),ABS(COLUMN(INDIRECT($J306))-COLUMN(INDIRECT(CS306)))),1000)</f>
        <v>1000</v>
      </c>
      <c r="DW306" s="23" cm="1">
        <f t="array" aca="1" ref="DW306" ca="1">IFERROR(MAX(ABS(ROW(INDIRECT($J306))-ROW(INDIRECT(CT306))),ABS(COLUMN(INDIRECT($J306))-COLUMN(INDIRECT(CT306)))),1000)</f>
        <v>1000</v>
      </c>
      <c r="DX306" s="23" cm="1">
        <f t="array" aca="1" ref="DX306" ca="1">IFERROR(MAX(ABS(ROW(INDIRECT($J306))-ROW(INDIRECT(CU306))),ABS(COLUMN(INDIRECT($J306))-COLUMN(INDIRECT(CU306)))),1000)</f>
        <v>1000</v>
      </c>
      <c r="DY306" s="23" cm="1">
        <f t="array" aca="1" ref="DY306" ca="1">IFERROR(MAX(ABS(ROW(INDIRECT($J306))-ROW(INDIRECT(CV306))),ABS(COLUMN(INDIRECT($J306))-COLUMN(INDIRECT(CV306)))),1000)</f>
        <v>1000</v>
      </c>
      <c r="DZ306" s="23" cm="1">
        <f t="array" aca="1" ref="DZ306" ca="1">IFERROR(MAX(ABS(ROW(INDIRECT($J306))-ROW(INDIRECT(CW306))),ABS(COLUMN(INDIRECT($J306))-COLUMN(INDIRECT(CW306)))),1000)</f>
        <v>1000</v>
      </c>
      <c r="EA306" s="23" cm="1">
        <f t="array" aca="1" ref="EA306" ca="1">IFERROR(MAX(ABS(ROW(INDIRECT($J306))-ROW(INDIRECT(CX306))),ABS(COLUMN(INDIRECT($J306))-COLUMN(INDIRECT(CX306)))),1000)</f>
        <v>1000</v>
      </c>
      <c r="EB306" s="23" cm="1">
        <f t="array" aca="1" ref="EB306" ca="1">IFERROR(MAX(ABS(ROW(INDIRECT($J306))-ROW(INDIRECT(CY306))),ABS(COLUMN(INDIRECT($J306))-COLUMN(INDIRECT(CY306)))),1000)</f>
        <v>1000</v>
      </c>
      <c r="EC306" s="23" cm="1">
        <f t="array" aca="1" ref="EC306" ca="1">IFERROR(MAX(ABS(ROW(INDIRECT($J306))-ROW(INDIRECT(CZ306))),ABS(COLUMN(INDIRECT($J306))-COLUMN(INDIRECT(CZ306)))),1000)</f>
        <v>1000</v>
      </c>
      <c r="ED306" s="23" cm="1">
        <f t="array" aca="1" ref="ED306" ca="1">IFERROR(MAX(ABS(ROW(INDIRECT($J306))-ROW(INDIRECT(DA306))),ABS(COLUMN(INDIRECT($J306))-COLUMN(INDIRECT(DA306)))),1000)</f>
        <v>1000</v>
      </c>
      <c r="EE306" s="23" cm="1">
        <f t="array" aca="1" ref="EE306" ca="1">IFERROR(MAX(ABS(ROW(INDIRECT($J306))-ROW(INDIRECT(DB306))),ABS(COLUMN(INDIRECT($J306))-COLUMN(INDIRECT(DB306)))),1000)</f>
        <v>1000</v>
      </c>
      <c r="EF306" s="23" cm="1">
        <f t="array" aca="1" ref="EF306" ca="1">IFERROR(MAX(ABS(ROW(INDIRECT($J306))-ROW(INDIRECT(DC306))),ABS(COLUMN(INDIRECT($J306))-COLUMN(INDIRECT(DC306)))),1000)</f>
        <v>1000</v>
      </c>
      <c r="EG306" s="23" cm="1">
        <f t="array" aca="1" ref="EG306" ca="1">IFERROR(MAX(ABS(ROW(INDIRECT($J306))-ROW(INDIRECT(DD306))),ABS(COLUMN(INDIRECT($J306))-COLUMN(INDIRECT(DD306)))),1000)</f>
        <v>5</v>
      </c>
      <c r="EH306" s="23" cm="1">
        <f t="array" aca="1" ref="EH306" ca="1">IFERROR(MAX(ABS(ROW(INDIRECT($J306))-ROW(INDIRECT(DE306))),ABS(COLUMN(INDIRECT($J306))-COLUMN(INDIRECT(DE306)))),1000)</f>
        <v>22</v>
      </c>
      <c r="EI306" s="23" cm="1">
        <f t="array" aca="1" ref="EI306" ca="1">IFERROR(MAX(ABS(ROW(INDIRECT($J306))-ROW(INDIRECT(DF306))),ABS(COLUMN(INDIRECT($J306))-COLUMN(INDIRECT(DF306)))),1000)</f>
        <v>10</v>
      </c>
      <c r="EJ306" s="23" cm="1">
        <f t="array" aca="1" ref="EJ306" ca="1">IFERROR(MAX(ABS(ROW(INDIRECT($J306))-ROW(INDIRECT(DG306))),ABS(COLUMN(INDIRECT($J306))-COLUMN(INDIRECT(DG306)))),1000)</f>
        <v>23</v>
      </c>
      <c r="EK306" s="23" cm="1">
        <f t="array" aca="1" ref="EK306" ca="1">IFERROR(MAX(ABS(ROW(INDIRECT($J306))-ROW(INDIRECT(DH306))),ABS(COLUMN(INDIRECT($J306))-COLUMN(INDIRECT(DH306)))),1000)</f>
        <v>16</v>
      </c>
      <c r="EL306" s="23" cm="1">
        <f t="array" aca="1" ref="EL306" ca="1">IFERROR(MAX(ABS(ROW(INDIRECT($J306))-ROW(INDIRECT(DI306))),ABS(COLUMN(INDIRECT($J306))-COLUMN(INDIRECT(DI306)))),1000)</f>
        <v>4</v>
      </c>
      <c r="EM306" s="23" cm="1">
        <f t="array" aca="1" ref="EM306" ca="1">IFERROR(MAX(ABS(ROW(INDIRECT($J306))-ROW(INDIRECT(DJ306))),ABS(COLUMN(INDIRECT($J306))-COLUMN(INDIRECT(DJ306)))),1000)</f>
        <v>9</v>
      </c>
      <c r="EN306" s="23" cm="1">
        <f t="array" aca="1" ref="EN306" ca="1">IFERROR(MAX(ABS(ROW(INDIRECT($J306))-ROW(INDIRECT(DK306))),ABS(COLUMN(INDIRECT($J306))-COLUMN(INDIRECT(DK306)))),1000)</f>
        <v>11</v>
      </c>
      <c r="EP306" s="23">
        <f ca="1">MIN(DU306:EN306)</f>
        <v>4</v>
      </c>
      <c r="EQ306" s="23">
        <f ca="1">COUNTIF(DU306:EN306,EP306)</f>
        <v>1</v>
      </c>
      <c r="ER306" s="23">
        <f ca="1">_xlfn.XMATCH(EP306,DU306:EN306,0,1)</f>
        <v>18</v>
      </c>
      <c r="ES306" s="23" t="str" cm="1">
        <f t="array" aca="1" ref="ES306" ca="1">INDEX(CR306:DK306,1,ER306)</f>
        <v>G6</v>
      </c>
    </row>
    <row r="307" spans="2:149" ht="15" customHeight="1">
      <c r="B307" s="23"/>
      <c r="C307" s="23"/>
      <c r="D307" s="23"/>
      <c r="E307" s="23"/>
      <c r="J307" s="25"/>
      <c r="K307" s="25"/>
      <c r="L307" s="25"/>
      <c r="M307" s="25"/>
      <c r="N307" s="25"/>
      <c r="O307" s="25"/>
      <c r="P307" s="25"/>
      <c r="Q307" s="25"/>
      <c r="R307" s="25"/>
      <c r="S307" s="25"/>
      <c r="T307" s="25"/>
      <c r="U307" s="25"/>
      <c r="V307" s="25"/>
      <c r="W307" s="25"/>
      <c r="X307" s="25"/>
      <c r="Y307" s="25"/>
      <c r="Z307" s="25"/>
      <c r="AA307" s="25"/>
      <c r="AB307" s="25"/>
      <c r="AC307" s="25"/>
      <c r="AD307" s="25"/>
      <c r="CQ307" s="75"/>
    </row>
    <row r="308" spans="2:149" ht="22.5" customHeight="1">
      <c r="B308" s="32">
        <v>121</v>
      </c>
      <c r="C308" s="32">
        <v>7</v>
      </c>
      <c r="D308" s="30">
        <v>12</v>
      </c>
      <c r="E308" s="34" t="str" cm="1">
        <f t="array" aca="1" ref="E308:E327" ca="1">ES308:ES327</f>
        <v>F17</v>
      </c>
      <c r="F308" s="103"/>
      <c r="G308" s="33">
        <v>15</v>
      </c>
      <c r="H308" s="33" t="s">
        <v>279</v>
      </c>
      <c r="I308" s="33">
        <v>16</v>
      </c>
      <c r="J308" s="33" t="s">
        <v>195</v>
      </c>
      <c r="K308" s="33" t="s">
        <v>112</v>
      </c>
      <c r="L308" s="33" t="s">
        <v>86</v>
      </c>
      <c r="M308" s="33" t="s">
        <v>115</v>
      </c>
      <c r="N308" s="33" t="s">
        <v>64</v>
      </c>
      <c r="O308" s="33" t="s">
        <v>110</v>
      </c>
      <c r="P308" s="33" t="s">
        <v>93</v>
      </c>
      <c r="Q308" s="33" t="s">
        <v>87</v>
      </c>
      <c r="R308" s="33" t="s">
        <v>111</v>
      </c>
      <c r="S308" s="33" t="s">
        <v>87</v>
      </c>
      <c r="T308" s="33" t="s">
        <v>184</v>
      </c>
      <c r="U308" s="33" t="s">
        <v>144</v>
      </c>
      <c r="V308" s="33" t="s">
        <v>91</v>
      </c>
      <c r="W308" s="33" t="s">
        <v>50</v>
      </c>
      <c r="X308" s="33" t="s">
        <v>86</v>
      </c>
      <c r="Y308" s="33" t="s">
        <v>115</v>
      </c>
      <c r="Z308" s="33" t="s">
        <v>109</v>
      </c>
      <c r="AA308" s="33" t="s">
        <v>179</v>
      </c>
      <c r="AB308" s="33" t="s">
        <v>82</v>
      </c>
      <c r="AC308" s="33" t="s">
        <v>55</v>
      </c>
      <c r="AD308" s="33" t="s">
        <v>179</v>
      </c>
      <c r="AF308" s="31" t="str" cm="1">
        <f t="array" aca="1" ref="AF308" ca="1">_xlfn.LET(
_xlpm.x, IF(K$303&gt;$G308,"x",IFERROR(SUBSTITUTE(CELL("adres",OFFSET(INDIRECT(K308),,IF(LEFT(K308)="V",-1,1)*($G308-K$303),1,1)),"$",""),"x")),
_xlpm.y, IFERROR(IF(OR(COLUMN(INDIRECT(_xlpm.x))&gt;21, COLUMN(INDIRECT(_xlpm.x)) &lt;2), "x",_xlpm.x),"x"),
_xlpm.y)</f>
        <v>G2</v>
      </c>
      <c r="AG308" s="31" t="str" cm="1">
        <f t="array" aca="1" ref="AG308" ca="1">_xlfn.LET(
_xlpm.x, IF(L$303&gt;$G308,"x",IFERROR(SUBSTITUTE(CELL("adres",OFFSET(INDIRECT(L308),,IF(LEFT(L308)="V",-1,1)*($G308-L$303),1,1)),"$",""),"x")),
_xlpm.y, IFERROR(IF(OR(COLUMN(INDIRECT(_xlpm.x))&gt;21, COLUMN(INDIRECT(_xlpm.x)) &lt;2), "x",_xlpm.x),"x"),
_xlpm.y)</f>
        <v>H17</v>
      </c>
      <c r="AH308" s="31" t="str" cm="1">
        <f t="array" aca="1" ref="AH308" ca="1">_xlfn.LET(
_xlpm.x, IF(M$303&gt;$G308,"x",IFERROR(SUBSTITUTE(CELL("adres",OFFSET(INDIRECT(M308),,IF(LEFT(M308)="V",-1,1)*($G308-M$303),1,1)),"$",""),"x")),
_xlpm.y, IFERROR(IF(OR(COLUMN(INDIRECT(_xlpm.x))&gt;21, COLUMN(INDIRECT(_xlpm.x)) &lt;2), "x",_xlpm.x),"x"),
_xlpm.y)</f>
        <v>N2</v>
      </c>
      <c r="AI308" s="31" t="str" cm="1">
        <f t="array" aca="1" ref="AI308" ca="1">_xlfn.LET(
_xlpm.x, IF(N$303&gt;$G308,"x",IFERROR(SUBSTITUTE(CELL("adres",OFFSET(INDIRECT(N308),,IF(LEFT(N308)="V",-1,1)*($G308-N$303),1,1)),"$",""),"x")),
_xlpm.y, IFERROR(IF(OR(COLUMN(INDIRECT(_xlpm.x))&gt;21, COLUMN(INDIRECT(_xlpm.x)) &lt;2), "x",_xlpm.x),"x"),
_xlpm.y)</f>
        <v>M9</v>
      </c>
      <c r="AJ308" s="31" t="str" cm="1">
        <f t="array" aca="1" ref="AJ308" ca="1">_xlfn.LET(
_xlpm.x, IF(O$303&gt;$G308,"x",IFERROR(SUBSTITUTE(CELL("adres",OFFSET(INDIRECT(O308),,IF(LEFT(O308)="V",-1,1)*($G308-O$303),1,1)),"$",""),"x")),
_xlpm.y, IFERROR(IF(OR(COLUMN(INDIRECT(_xlpm.x))&gt;21, COLUMN(INDIRECT(_xlpm.x)) &lt;2), "x",_xlpm.x),"x"),
_xlpm.y)</f>
        <v>L11</v>
      </c>
      <c r="AK308" s="31" t="str" cm="1">
        <f t="array" aca="1" ref="AK308" ca="1">_xlfn.LET(
_xlpm.x, IF(P$303&gt;$G308,"x",IFERROR(SUBSTITUTE(CELL("adres",OFFSET(INDIRECT(P308),,IF(LEFT(P308)="V",-1,1)*($G308-P$303),1,1)),"$",""),"x")),
_xlpm.y, IFERROR(IF(OR(COLUMN(INDIRECT(_xlpm.x))&gt;21, COLUMN(INDIRECT(_xlpm.x)) &lt;2), "x",_xlpm.x),"x"),
_xlpm.y)</f>
        <v>L10</v>
      </c>
      <c r="AL308" s="31" t="str" cm="1">
        <f t="array" aca="1" ref="AL308" ca="1">_xlfn.LET(
_xlpm.x, IF(Q$303&gt;$G308,"x",IFERROR(SUBSTITUTE(CELL("adres",OFFSET(INDIRECT(Q308),,IF(LEFT(Q308)="V",-1,1)*($G308-Q$303),1,1)),"$",""),"x")),
_xlpm.y, IFERROR(IF(OR(COLUMN(INDIRECT(_xlpm.x))&gt;21, COLUMN(INDIRECT(_xlpm.x)) &lt;2), "x",_xlpm.x),"x"),
_xlpm.y)</f>
        <v>M8</v>
      </c>
      <c r="AM308" s="31" t="str" cm="1">
        <f t="array" aca="1" ref="AM308" ca="1">_xlfn.LET(
_xlpm.x, IF(R$303&gt;$G308,"x",IFERROR(SUBSTITUTE(CELL("adres",OFFSET(INDIRECT(R308),,IF(LEFT(R308)="V",-1,1)*($G308-R$303),1,1)),"$",""),"x")),
_xlpm.y, IFERROR(IF(OR(COLUMN(INDIRECT(_xlpm.x))&gt;21, COLUMN(INDIRECT(_xlpm.x)) &lt;2), "x",_xlpm.x),"x"),
_xlpm.y)</f>
        <v>N18</v>
      </c>
      <c r="AN308" s="31" t="str" cm="1">
        <f t="array" aca="1" ref="AN308" ca="1">_xlfn.LET(
_xlpm.x, IF(S$303&gt;$G308,"x",IFERROR(SUBSTITUTE(CELL("adres",OFFSET(INDIRECT(S308),,IF(LEFT(S308)="V",-1,1)*($G308-S$303),1,1)),"$",""),"x")),
_xlpm.y, IFERROR(IF(OR(COLUMN(INDIRECT(_xlpm.x))&gt;21, COLUMN(INDIRECT(_xlpm.x)) &lt;2), "x",_xlpm.x),"x"),
_xlpm.y)</f>
        <v>O8</v>
      </c>
      <c r="AO308" s="31" t="str" cm="1">
        <f t="array" aca="1" ref="AO308" ca="1">_xlfn.LET(
_xlpm.x, IF(T$303&gt;$G308,"x",IFERROR(SUBSTITUTE(CELL("adres",OFFSET(INDIRECT(T308),,IF(LEFT(T308)="V",-1,1)*($G308-T$303),1,1)),"$",""),"x")),
_xlpm.y, IFERROR(IF(OR(COLUMN(INDIRECT(_xlpm.x))&gt;21, COLUMN(INDIRECT(_xlpm.x)) &lt;2), "x",_xlpm.x),"x"),
_xlpm.y)</f>
        <v>P19</v>
      </c>
      <c r="AP308" s="31" t="str" cm="1">
        <f t="array" aca="1" ref="AP308" ca="1">_xlfn.LET(
_xlpm.x, IF(U$303&gt;$G308,"x",IFERROR(SUBSTITUTE(CELL("adres",OFFSET(INDIRECT(U308),,IF(LEFT(U308)="V",-1,1)*($G308-U$303),1,1)),"$",""),"x")),
_xlpm.y, IFERROR(IF(OR(COLUMN(INDIRECT(_xlpm.x))&gt;21, COLUMN(INDIRECT(_xlpm.x)) &lt;2), "x",_xlpm.x),"x"),
_xlpm.y)</f>
        <v>Q11</v>
      </c>
      <c r="AQ308" s="31" t="str" cm="1">
        <f t="array" aca="1" ref="AQ308" ca="1">_xlfn.LET(
_xlpm.x, IF(V$303&gt;$G308,"x",IFERROR(SUBSTITUTE(CELL("adres",OFFSET(INDIRECT(V308),,IF(LEFT(V308)="V",-1,1)*($G308-V$303),1,1)),"$",""),"x")),
_xlpm.y, IFERROR(IF(OR(COLUMN(INDIRECT(_xlpm.x))&gt;21, COLUMN(INDIRECT(_xlpm.x)) &lt;2), "x",_xlpm.x),"x"),
_xlpm.y)</f>
        <v>R3</v>
      </c>
      <c r="AR308" s="31" t="str" cm="1">
        <f t="array" aca="1" ref="AR308" ca="1">_xlfn.LET(
_xlpm.x, IF(W$303&gt;$G308,"x",IFERROR(SUBSTITUTE(CELL("adres",OFFSET(INDIRECT(W308),,IF(LEFT(W308)="V",-1,1)*($G308-W$303),1,1)),"$",""),"x")),
_xlpm.y, IFERROR(IF(OR(COLUMN(INDIRECT(_xlpm.x))&gt;21, COLUMN(INDIRECT(_xlpm.x)) &lt;2), "x",_xlpm.x),"x"),
_xlpm.y)</f>
        <v>D13</v>
      </c>
      <c r="AS308" s="31" t="str" cm="1">
        <f t="array" aca="1" ref="AS308" ca="1">_xlfn.LET(
_xlpm.x, IF(X$303&gt;$G308,"x",IFERROR(SUBSTITUTE(CELL("adres",OFFSET(INDIRECT(X308),,IF(LEFT(X308)="V",-1,1)*($G308-X$303),1,1)),"$",""),"x")),
_xlpm.y, IFERROR(IF(OR(COLUMN(INDIRECT(_xlpm.x))&gt;21, COLUMN(INDIRECT(_xlpm.x)) &lt;2), "x",_xlpm.x),"x"),
_xlpm.y)</f>
        <v>T17</v>
      </c>
      <c r="AT308" s="31" t="str" cm="1">
        <f t="array" aca="1" ref="AT308" ca="1">_xlfn.LET(
_xlpm.x, IF(Y$303&gt;$G308,"x",IFERROR(SUBSTITUTE(CELL("adres",OFFSET(INDIRECT(Y308),,IF(LEFT(Y308)="V",-1,1)*($G308-Y$303),1,1)),"$",""),"x")),
_xlpm.y, IFERROR(IF(OR(COLUMN(INDIRECT(_xlpm.x))&gt;21, COLUMN(INDIRECT(_xlpm.x)) &lt;2), "x",_xlpm.x),"x"),
_xlpm.y)</f>
        <v>B2</v>
      </c>
      <c r="AU308" s="31" t="str" cm="1">
        <f t="array" aca="1" ref="AU308" ca="1">_xlfn.LET(
_xlpm.x, IF(Z$303&gt;$G308,"x",IFERROR(SUBSTITUTE(CELL("adres",OFFSET(INDIRECT(Z308),,IF(LEFT(Z308)="V",-1,1)*($G308-Z$303),1,1)),"$",""),"x")),
_xlpm.y, IFERROR(IF(OR(COLUMN(INDIRECT(_xlpm.x))&gt;21, COLUMN(INDIRECT(_xlpm.x)) &lt;2), "x",_xlpm.x),"x"),
_xlpm.y)</f>
        <v>x</v>
      </c>
      <c r="AV308" s="31" t="str" cm="1">
        <f t="array" aca="1" ref="AV308" ca="1">_xlfn.LET(
_xlpm.x, IF(AA$303&gt;$G308,"x",IFERROR(SUBSTITUTE(CELL("adres",OFFSET(INDIRECT(AA308),,IF(LEFT(AA308)="V",-1,1)*($G308-AA$303),1,1)),"$",""),"x")),
_xlpm.y, IFERROR(IF(OR(COLUMN(INDIRECT(_xlpm.x))&gt;21, COLUMN(INDIRECT(_xlpm.x)) &lt;2), "x",_xlpm.x),"x"),
_xlpm.y)</f>
        <v>x</v>
      </c>
      <c r="AW308" s="31" t="str" cm="1">
        <f t="array" aca="1" ref="AW308" ca="1">_xlfn.LET(
_xlpm.x, IF(AB$303&gt;$G308,"x",IFERROR(SUBSTITUTE(CELL("adres",OFFSET(INDIRECT(AB308),,IF(LEFT(AB308)="V",-1,1)*($G308-AB$303),1,1)),"$",""),"x")),
_xlpm.y, IFERROR(IF(OR(COLUMN(INDIRECT(_xlpm.x))&gt;21, COLUMN(INDIRECT(_xlpm.x)) &lt;2), "x",_xlpm.x),"x"),
_xlpm.y)</f>
        <v>x</v>
      </c>
      <c r="AX308" s="31" t="str" cm="1">
        <f t="array" aca="1" ref="AX308" ca="1">_xlfn.LET(
_xlpm.x, IF(AC$303&gt;$G308,"x",IFERROR(SUBSTITUTE(CELL("adres",OFFSET(INDIRECT(AC308),,IF(LEFT(AC308)="V",-1,1)*($G308-AC$303),1,1)),"$",""),"x")),
_xlpm.y, IFERROR(IF(OR(COLUMN(INDIRECT(_xlpm.x))&gt;21, COLUMN(INDIRECT(_xlpm.x)) &lt;2), "x",_xlpm.x),"x"),
_xlpm.y)</f>
        <v>x</v>
      </c>
      <c r="AY308" s="31" t="str" cm="1">
        <f t="array" aca="1" ref="AY308" ca="1">_xlfn.LET(
_xlpm.x, IF(AD$303&gt;$G308,"x",IFERROR(SUBSTITUTE(CELL("adres",OFFSET(INDIRECT(AD308),,IF(LEFT(AD308)="V",-1,1)*($G308-AD$303),1,1)),"$",""),"x")),
_xlpm.y, IFERROR(IF(OR(COLUMN(INDIRECT(_xlpm.x))&gt;21, COLUMN(INDIRECT(_xlpm.x)) &lt;2), "x",_xlpm.x),"x"),
_xlpm.y)</f>
        <v>x</v>
      </c>
      <c r="BB308" s="23" cm="1">
        <f t="array" aca="1" ref="BB308" ca="1">IFERROR(COLUMN(INDIRECT(AF308)),"x")</f>
        <v>7</v>
      </c>
      <c r="BC308" s="23" cm="1">
        <f t="array" aca="1" ref="BC308" ca="1">IFERROR(COLUMN(INDIRECT(AG308)),"x")</f>
        <v>8</v>
      </c>
      <c r="BD308" s="23" cm="1">
        <f t="array" aca="1" ref="BD308" ca="1">IFERROR(COLUMN(INDIRECT(AH308)),"x")</f>
        <v>14</v>
      </c>
      <c r="BE308" s="23" cm="1">
        <f t="array" aca="1" ref="BE308" ca="1">IFERROR(COLUMN(INDIRECT(AI308)),"x")</f>
        <v>13</v>
      </c>
      <c r="BF308" s="23" cm="1">
        <f t="array" aca="1" ref="BF308" ca="1">IFERROR(COLUMN(INDIRECT(AJ308)),"x")</f>
        <v>12</v>
      </c>
      <c r="BG308" s="23" cm="1">
        <f t="array" aca="1" ref="BG308" ca="1">IFERROR(COLUMN(INDIRECT(AK308)),"x")</f>
        <v>12</v>
      </c>
      <c r="BH308" s="23" cm="1">
        <f t="array" aca="1" ref="BH308" ca="1">IFERROR(COLUMN(INDIRECT(AL308)),"x")</f>
        <v>13</v>
      </c>
      <c r="BI308" s="23" cm="1">
        <f t="array" aca="1" ref="BI308" ca="1">IFERROR(COLUMN(INDIRECT(AM308)),"x")</f>
        <v>14</v>
      </c>
      <c r="BJ308" s="23" cm="1">
        <f t="array" aca="1" ref="BJ308" ca="1">IFERROR(COLUMN(INDIRECT(AN308)),"x")</f>
        <v>15</v>
      </c>
      <c r="BK308" s="23" cm="1">
        <f t="array" aca="1" ref="BK308" ca="1">IFERROR(COLUMN(INDIRECT(AO308)),"x")</f>
        <v>16</v>
      </c>
      <c r="BL308" s="23" cm="1">
        <f t="array" aca="1" ref="BL308" ca="1">IFERROR(COLUMN(INDIRECT(AP308)),"x")</f>
        <v>17</v>
      </c>
      <c r="BM308" s="23" cm="1">
        <f t="array" aca="1" ref="BM308" ca="1">IFERROR(COLUMN(INDIRECT(AQ308)),"x")</f>
        <v>18</v>
      </c>
      <c r="BN308" s="23" cm="1">
        <f t="array" aca="1" ref="BN308" ca="1">IFERROR(COLUMN(INDIRECT(AR308)),"x")</f>
        <v>4</v>
      </c>
      <c r="BO308" s="23" cm="1">
        <f t="array" aca="1" ref="BO308" ca="1">IFERROR(COLUMN(INDIRECT(AS308)),"x")</f>
        <v>20</v>
      </c>
      <c r="BP308" s="23" cm="1">
        <f t="array" aca="1" ref="BP308" ca="1">IFERROR(COLUMN(INDIRECT(AT308)),"x")</f>
        <v>2</v>
      </c>
      <c r="BQ308" s="23" t="str" cm="1">
        <f t="array" aca="1" ref="BQ308" ca="1">IFERROR(COLUMN(INDIRECT(AU308)),"x")</f>
        <v>x</v>
      </c>
      <c r="BR308" s="23" t="str" cm="1">
        <f t="array" aca="1" ref="BR308" ca="1">IFERROR(COLUMN(INDIRECT(AV308)),"x")</f>
        <v>x</v>
      </c>
      <c r="BS308" s="23" t="str" cm="1">
        <f t="array" aca="1" ref="BS308" ca="1">IFERROR(COLUMN(INDIRECT(AW308)),"x")</f>
        <v>x</v>
      </c>
      <c r="BT308" s="23" t="str" cm="1">
        <f t="array" aca="1" ref="BT308" ca="1">IFERROR(COLUMN(INDIRECT(AX308)),"x")</f>
        <v>x</v>
      </c>
      <c r="BU308" s="23" t="str" cm="1">
        <f t="array" aca="1" ref="BU308" ca="1">IFERROR(COLUMN(INDIRECT(AY308)),"x")</f>
        <v>x</v>
      </c>
      <c r="BW308" s="23">
        <f ca="1">IFERROR(IF(ABS(21-BB308)&gt;=ABS(1-BB308),-1,1), "x")</f>
        <v>-1</v>
      </c>
      <c r="BX308" s="23">
        <f t="shared" ref="BX308" ca="1" si="20">IFERROR(IF(ABS(21-BC308)&gt;=ABS(1-BC308),-1,1), "x")</f>
        <v>-1</v>
      </c>
      <c r="BY308" s="23">
        <f t="shared" ref="BY308" ca="1" si="21">IFERROR(IF(ABS(21-BD308)&gt;=ABS(1-BD308),-1,1), "x")</f>
        <v>1</v>
      </c>
      <c r="BZ308" s="23">
        <f t="shared" ref="BZ308" ca="1" si="22">IFERROR(IF(ABS(21-BE308)&gt;=ABS(1-BE308),-1,1), "x")</f>
        <v>1</v>
      </c>
      <c r="CA308" s="23">
        <f t="shared" ref="CA308" ca="1" si="23">IFERROR(IF(ABS(21-BF308)&gt;=ABS(1-BF308),-1,1), "x")</f>
        <v>1</v>
      </c>
      <c r="CB308" s="23">
        <f t="shared" ref="CB308" ca="1" si="24">IFERROR(IF(ABS(21-BG308)&gt;=ABS(1-BG308),-1,1), "x")</f>
        <v>1</v>
      </c>
      <c r="CC308" s="23">
        <f t="shared" ref="CC308" ca="1" si="25">IFERROR(IF(ABS(21-BH308)&gt;=ABS(1-BH308),-1,1), "x")</f>
        <v>1</v>
      </c>
      <c r="CD308" s="23">
        <f t="shared" ref="CD308" ca="1" si="26">IFERROR(IF(ABS(21-BI308)&gt;=ABS(1-BI308),-1,1), "x")</f>
        <v>1</v>
      </c>
      <c r="CE308" s="23">
        <f t="shared" ref="CE308" ca="1" si="27">IFERROR(IF(ABS(21-BJ308)&gt;=ABS(1-BJ308),-1,1), "x")</f>
        <v>1</v>
      </c>
      <c r="CF308" s="23">
        <f t="shared" ref="CF308" ca="1" si="28">IFERROR(IF(ABS(21-BK308)&gt;=ABS(1-BK308),-1,1), "x")</f>
        <v>1</v>
      </c>
      <c r="CG308" s="23">
        <f t="shared" ref="CG308" ca="1" si="29">IFERROR(IF(ABS(21-BL308)&gt;=ABS(1-BL308),-1,1), "x")</f>
        <v>1</v>
      </c>
      <c r="CH308" s="23">
        <f t="shared" ref="CH308" ca="1" si="30">IFERROR(IF(ABS(21-BM308)&gt;=ABS(1-BM308),-1,1), "x")</f>
        <v>1</v>
      </c>
      <c r="CI308" s="23">
        <f t="shared" ref="CI308" ca="1" si="31">IFERROR(IF(ABS(21-BN308)&gt;=ABS(1-BN308),-1,1), "x")</f>
        <v>-1</v>
      </c>
      <c r="CJ308" s="23">
        <f t="shared" ref="CJ308" ca="1" si="32">IFERROR(IF(ABS(21-BO308)&gt;=ABS(1-BO308),-1,1), "x")</f>
        <v>1</v>
      </c>
      <c r="CK308" s="23">
        <f t="shared" ref="CK308" ca="1" si="33">IFERROR(IF(ABS(21-BP308)&gt;=ABS(1-BP308),-1,1), "x")</f>
        <v>-1</v>
      </c>
      <c r="CL308" s="23" t="str">
        <f t="shared" ref="CL308" ca="1" si="34">IFERROR(IF(ABS(21-BQ308)&gt;=ABS(1-BQ308),-1,1), "x")</f>
        <v>x</v>
      </c>
      <c r="CM308" s="23" t="str">
        <f t="shared" ref="CM308" ca="1" si="35">IFERROR(IF(ABS(21-BR308)&gt;=ABS(1-BR308),-1,1), "x")</f>
        <v>x</v>
      </c>
      <c r="CN308" s="23" t="str">
        <f t="shared" ref="CN308" ca="1" si="36">IFERROR(IF(ABS(21-BS308)&gt;=ABS(1-BS308),-1,1), "x")</f>
        <v>x</v>
      </c>
      <c r="CO308" s="23" t="str">
        <f t="shared" ref="CO308" ca="1" si="37">IFERROR(IF(ABS(21-BT308)&gt;=ABS(1-BT308),-1,1), "x")</f>
        <v>x</v>
      </c>
      <c r="CP308" s="23" t="str">
        <f t="shared" ref="CP308" ca="1" si="38">IFERROR(IF(ABS(21-BU308)&gt;=ABS(1-BU308),-1,1), "x")</f>
        <v>x</v>
      </c>
      <c r="CQ308" s="75"/>
      <c r="CR308" s="23" t="str" cm="1">
        <f t="array" aca="1" ref="CR308" ca="1">_xlfn.LET(
_xlpm.x, IFERROR(SUBSTITUTE(CELL("adres",OFFSET(INDIRECT(AF308),,BW308*($I308-$G308)*2,1,1)),"$",""),"x"),
_xlpm.y, IFERROR(IF(OR(COLUMN(INDIRECT(_xlpm.x))&gt;21, COLUMN(INDIRECT(_xlpm.x))&lt;2),"x",_xlpm.x), "x"),
_xlpm.y)</f>
        <v>E2</v>
      </c>
      <c r="CS308" s="23" t="str" cm="1">
        <f t="array" aca="1" ref="CS308" ca="1">_xlfn.LET(
_xlpm.x, IFERROR(SUBSTITUTE(CELL("adres",OFFSET(INDIRECT(AG308),,BX308*($I308-$G308)*2,1,1)),"$",""),"x"),
_xlpm.y, IFERROR(IF(OR(COLUMN(INDIRECT(_xlpm.x))&gt;21, COLUMN(INDIRECT(_xlpm.x))&lt;2),"x",_xlpm.x), "x"),
_xlpm.y)</f>
        <v>F17</v>
      </c>
      <c r="CT308" s="23" t="str" cm="1">
        <f t="array" aca="1" ref="CT308" ca="1">_xlfn.LET(
_xlpm.x, IFERROR(SUBSTITUTE(CELL("adres",OFFSET(INDIRECT(AH308),,BY308*($I308-$G308)*2,1,1)),"$",""),"x"),
_xlpm.y, IFERROR(IF(OR(COLUMN(INDIRECT(_xlpm.x))&gt;21, COLUMN(INDIRECT(_xlpm.x))&lt;2),"x",_xlpm.x), "x"),
_xlpm.y)</f>
        <v>P2</v>
      </c>
      <c r="CU308" s="23" t="str" cm="1">
        <f t="array" aca="1" ref="CU308" ca="1">_xlfn.LET(
_xlpm.x, IFERROR(SUBSTITUTE(CELL("adres",OFFSET(INDIRECT(AI308),,BZ308*($I308-$G308)*2,1,1)),"$",""),"x"),
_xlpm.y, IFERROR(IF(OR(COLUMN(INDIRECT(_xlpm.x))&gt;21, COLUMN(INDIRECT(_xlpm.x))&lt;2),"x",_xlpm.x), "x"),
_xlpm.y)</f>
        <v>O9</v>
      </c>
      <c r="CV308" s="23" t="str" cm="1">
        <f t="array" aca="1" ref="CV308" ca="1">_xlfn.LET(
_xlpm.x, IFERROR(SUBSTITUTE(CELL("adres",OFFSET(INDIRECT(AJ308),,CA308*($I308-$G308)*2,1,1)),"$",""),"x"),
_xlpm.y, IFERROR(IF(OR(COLUMN(INDIRECT(_xlpm.x))&gt;21, COLUMN(INDIRECT(_xlpm.x))&lt;2),"x",_xlpm.x), "x"),
_xlpm.y)</f>
        <v>N11</v>
      </c>
      <c r="CW308" s="23" t="str" cm="1">
        <f t="array" aca="1" ref="CW308" ca="1">_xlfn.LET(
_xlpm.x, IFERROR(SUBSTITUTE(CELL("adres",OFFSET(INDIRECT(AK308),,CB308*($I308-$G308)*2,1,1)),"$",""),"x"),
_xlpm.y, IFERROR(IF(OR(COLUMN(INDIRECT(_xlpm.x))&gt;21, COLUMN(INDIRECT(_xlpm.x))&lt;2),"x",_xlpm.x), "x"),
_xlpm.y)</f>
        <v>N10</v>
      </c>
      <c r="CX308" s="23" t="str" cm="1">
        <f t="array" aca="1" ref="CX308" ca="1">_xlfn.LET(
_xlpm.x, IFERROR(SUBSTITUTE(CELL("adres",OFFSET(INDIRECT(AL308),,CC308*($I308-$G308)*2,1,1)),"$",""),"x"),
_xlpm.y, IFERROR(IF(OR(COLUMN(INDIRECT(_xlpm.x))&gt;21, COLUMN(INDIRECT(_xlpm.x))&lt;2),"x",_xlpm.x), "x"),
_xlpm.y)</f>
        <v>O8</v>
      </c>
      <c r="CY308" s="23" t="str" cm="1">
        <f t="array" aca="1" ref="CY308" ca="1">_xlfn.LET(
_xlpm.x, IFERROR(SUBSTITUTE(CELL("adres",OFFSET(INDIRECT(AM308),,CD308*($I308-$G308)*2,1,1)),"$",""),"x"),
_xlpm.y, IFERROR(IF(OR(COLUMN(INDIRECT(_xlpm.x))&gt;21, COLUMN(INDIRECT(_xlpm.x))&lt;2),"x",_xlpm.x), "x"),
_xlpm.y)</f>
        <v>P18</v>
      </c>
      <c r="CZ308" s="23" t="str" cm="1">
        <f t="array" aca="1" ref="CZ308" ca="1">_xlfn.LET(
_xlpm.x, IFERROR(SUBSTITUTE(CELL("adres",OFFSET(INDIRECT(AN308),,CE308*($I308-$G308)*2,1,1)),"$",""),"x"),
_xlpm.y, IFERROR(IF(OR(COLUMN(INDIRECT(_xlpm.x))&gt;21, COLUMN(INDIRECT(_xlpm.x))&lt;2),"x",_xlpm.x), "x"),
_xlpm.y)</f>
        <v>Q8</v>
      </c>
      <c r="DA308" s="23" t="str" cm="1">
        <f t="array" aca="1" ref="DA308" ca="1">_xlfn.LET(
_xlpm.x, IFERROR(SUBSTITUTE(CELL("adres",OFFSET(INDIRECT(AO308),,CF308*($I308-$G308)*2,1,1)),"$",""),"x"),
_xlpm.y, IFERROR(IF(OR(COLUMN(INDIRECT(_xlpm.x))&gt;21, COLUMN(INDIRECT(_xlpm.x))&lt;2),"x",_xlpm.x), "x"),
_xlpm.y)</f>
        <v>R19</v>
      </c>
      <c r="DB308" s="23" t="str" cm="1">
        <f t="array" aca="1" ref="DB308" ca="1">_xlfn.LET(
_xlpm.x, IFERROR(SUBSTITUTE(CELL("adres",OFFSET(INDIRECT(AP308),,CG308*($I308-$G308)*2,1,1)),"$",""),"x"),
_xlpm.y, IFERROR(IF(OR(COLUMN(INDIRECT(_xlpm.x))&gt;21, COLUMN(INDIRECT(_xlpm.x))&lt;2),"x",_xlpm.x), "x"),
_xlpm.y)</f>
        <v>S11</v>
      </c>
      <c r="DC308" s="23" t="str" cm="1">
        <f t="array" aca="1" ref="DC308" ca="1">_xlfn.LET(
_xlpm.x, IFERROR(SUBSTITUTE(CELL("adres",OFFSET(INDIRECT(AQ308),,CH308*($I308-$G308)*2,1,1)),"$",""),"x"),
_xlpm.y, IFERROR(IF(OR(COLUMN(INDIRECT(_xlpm.x))&gt;21, COLUMN(INDIRECT(_xlpm.x))&lt;2),"x",_xlpm.x), "x"),
_xlpm.y)</f>
        <v>T3</v>
      </c>
      <c r="DD308" s="23" t="str" cm="1">
        <f t="array" aca="1" ref="DD308" ca="1">_xlfn.LET(
_xlpm.x, IFERROR(SUBSTITUTE(CELL("adres",OFFSET(INDIRECT(AR308),,CI308*($I308-$G308)*2,1,1)),"$",""),"x"),
_xlpm.y, IFERROR(IF(OR(COLUMN(INDIRECT(_xlpm.x))&gt;21, COLUMN(INDIRECT(_xlpm.x))&lt;2),"x",_xlpm.x), "x"),
_xlpm.y)</f>
        <v>B13</v>
      </c>
      <c r="DE308" s="23" t="str" cm="1">
        <f t="array" aca="1" ref="DE308" ca="1">_xlfn.LET(
_xlpm.x, IFERROR(SUBSTITUTE(CELL("adres",OFFSET(INDIRECT(AS308),,CJ308*($I308-$G308)*2,1,1)),"$",""),"x"),
_xlpm.y, IFERROR(IF(OR(COLUMN(INDIRECT(_xlpm.x))&gt;21, COLUMN(INDIRECT(_xlpm.x))&lt;2),"x",_xlpm.x), "x"),
_xlpm.y)</f>
        <v>x</v>
      </c>
      <c r="DF308" s="23" t="str" cm="1">
        <f t="array" aca="1" ref="DF308" ca="1">_xlfn.LET(
_xlpm.x, IFERROR(SUBSTITUTE(CELL("adres",OFFSET(INDIRECT(AT308),,CK308*($I308-$G308)*2,1,1)),"$",""),"x"),
_xlpm.y, IFERROR(IF(OR(COLUMN(INDIRECT(_xlpm.x))&gt;21, COLUMN(INDIRECT(_xlpm.x))&lt;2),"x",_xlpm.x), "x"),
_xlpm.y)</f>
        <v>x</v>
      </c>
      <c r="DG308" s="23" t="str" cm="1">
        <f t="array" aca="1" ref="DG308" ca="1">_xlfn.LET(
_xlpm.x, IFERROR(SUBSTITUTE(CELL("adres",OFFSET(INDIRECT(AU308),,CL308*($I308-$G308)*2,1,1)),"$",""),"x"),
_xlpm.y, IFERROR(IF(OR(COLUMN(INDIRECT(_xlpm.x))&gt;21, COLUMN(INDIRECT(_xlpm.x))&lt;2),"x",_xlpm.x), "x"),
_xlpm.y)</f>
        <v>x</v>
      </c>
      <c r="DH308" s="23" t="str" cm="1">
        <f t="array" aca="1" ref="DH308" ca="1">_xlfn.LET(
_xlpm.x, IFERROR(SUBSTITUTE(CELL("adres",OFFSET(INDIRECT(AV308),,CM308*($I308-$G308)*2,1,1)),"$",""),"x"),
_xlpm.y, IFERROR(IF(OR(COLUMN(INDIRECT(_xlpm.x))&gt;21, COLUMN(INDIRECT(_xlpm.x))&lt;2),"x",_xlpm.x), "x"),
_xlpm.y)</f>
        <v>x</v>
      </c>
      <c r="DI308" s="23" t="str" cm="1">
        <f t="array" aca="1" ref="DI308" ca="1">_xlfn.LET(
_xlpm.x, IFERROR(SUBSTITUTE(CELL("adres",OFFSET(INDIRECT(AW308),,CN308*($I308-$G308)*2,1,1)),"$",""),"x"),
_xlpm.y, IFERROR(IF(OR(COLUMN(INDIRECT(_xlpm.x))&gt;21, COLUMN(INDIRECT(_xlpm.x))&lt;2),"x",_xlpm.x), "x"),
_xlpm.y)</f>
        <v>x</v>
      </c>
      <c r="DJ308" s="23" t="str" cm="1">
        <f t="array" aca="1" ref="DJ308" ca="1">_xlfn.LET(
_xlpm.x, IFERROR(SUBSTITUTE(CELL("adres",OFFSET(INDIRECT(AX308),,CO308*($I308-$G308)*2,1,1)),"$",""),"x"),
_xlpm.y, IFERROR(IF(OR(COLUMN(INDIRECT(_xlpm.x))&gt;21, COLUMN(INDIRECT(_xlpm.x))&lt;2),"x",_xlpm.x), "x"),
_xlpm.y)</f>
        <v>x</v>
      </c>
      <c r="DK308" s="23" t="str" cm="1">
        <f t="array" aca="1" ref="DK308" ca="1">_xlfn.LET(
_xlpm.x, IFERROR(SUBSTITUTE(CELL("adres",OFFSET(INDIRECT(AY308),,CP308*($I308-$G308)*2,1,1)),"$",""),"x"),
_xlpm.y, IFERROR(IF(OR(COLUMN(INDIRECT(_xlpm.x))&gt;21, COLUMN(INDIRECT(_xlpm.x))&lt;2),"x",_xlpm.x), "x"),
_xlpm.y)</f>
        <v>x</v>
      </c>
      <c r="DM308" s="23" cm="1">
        <f t="array" aca="1" ref="DM308" ca="1">ROW(INDIRECT(CR308))</f>
        <v>2</v>
      </c>
      <c r="DN308" s="23" cm="1">
        <f t="array" aca="1" ref="DN308" ca="1">ROW(INDIRECT(J308))</f>
        <v>21</v>
      </c>
      <c r="DO308" s="23">
        <f ca="1">ABS(DN308-DM308)</f>
        <v>19</v>
      </c>
      <c r="DP308" s="23" cm="1">
        <f t="array" aca="1" ref="DP308" ca="1">COLUMN(INDIRECT(CR308))</f>
        <v>5</v>
      </c>
      <c r="DQ308" s="23" cm="1">
        <f t="array" aca="1" ref="DQ308" ca="1">COLUMN(INDIRECT(J308))</f>
        <v>3</v>
      </c>
      <c r="DR308" s="23">
        <f ca="1">ABS(DQ308-DP308)</f>
        <v>2</v>
      </c>
      <c r="DS308" s="23">
        <f t="shared" ref="DS308:DS327" ca="1" si="39">IFERROR(MAX(DO308,DR308),1000)</f>
        <v>19</v>
      </c>
      <c r="DU308" s="23" cm="1">
        <f t="array" aca="1" ref="DU308" ca="1">IFERROR(MAX(ABS(ROW(INDIRECT($J308))-ROW(INDIRECT(CR308))),ABS(COLUMN(INDIRECT($J308))-COLUMN(INDIRECT(CR308)))),1000)</f>
        <v>19</v>
      </c>
      <c r="DV308" s="23" cm="1">
        <f t="array" aca="1" ref="DV308" ca="1">IFERROR(MAX(ABS(ROW(INDIRECT($J308))-ROW(INDIRECT(CS308))),ABS(COLUMN(INDIRECT($J308))-COLUMN(INDIRECT(CS308)))),1000)</f>
        <v>4</v>
      </c>
      <c r="DW308" s="23" cm="1">
        <f t="array" aca="1" ref="DW308" ca="1">IFERROR(MAX(ABS(ROW(INDIRECT($J308))-ROW(INDIRECT(CT308))),ABS(COLUMN(INDIRECT($J308))-COLUMN(INDIRECT(CT308)))),1000)</f>
        <v>19</v>
      </c>
      <c r="DX308" s="23" cm="1">
        <f t="array" aca="1" ref="DX308" ca="1">IFERROR(MAX(ABS(ROW(INDIRECT($J308))-ROW(INDIRECT(CU308))),ABS(COLUMN(INDIRECT($J308))-COLUMN(INDIRECT(CU308)))),1000)</f>
        <v>12</v>
      </c>
      <c r="DY308" s="23" cm="1">
        <f t="array" aca="1" ref="DY308" ca="1">IFERROR(MAX(ABS(ROW(INDIRECT($J308))-ROW(INDIRECT(CV308))),ABS(COLUMN(INDIRECT($J308))-COLUMN(INDIRECT(CV308)))),1000)</f>
        <v>11</v>
      </c>
      <c r="DZ308" s="23" cm="1">
        <f t="array" aca="1" ref="DZ308" ca="1">IFERROR(MAX(ABS(ROW(INDIRECT($J308))-ROW(INDIRECT(CW308))),ABS(COLUMN(INDIRECT($J308))-COLUMN(INDIRECT(CW308)))),1000)</f>
        <v>11</v>
      </c>
      <c r="EA308" s="23" cm="1">
        <f t="array" aca="1" ref="EA308" ca="1">IFERROR(MAX(ABS(ROW(INDIRECT($J308))-ROW(INDIRECT(CX308))),ABS(COLUMN(INDIRECT($J308))-COLUMN(INDIRECT(CX308)))),1000)</f>
        <v>13</v>
      </c>
      <c r="EB308" s="23" cm="1">
        <f t="array" aca="1" ref="EB308" ca="1">IFERROR(MAX(ABS(ROW(INDIRECT($J308))-ROW(INDIRECT(CY308))),ABS(COLUMN(INDIRECT($J308))-COLUMN(INDIRECT(CY308)))),1000)</f>
        <v>13</v>
      </c>
      <c r="EC308" s="23" cm="1">
        <f t="array" aca="1" ref="EC308" ca="1">IFERROR(MAX(ABS(ROW(INDIRECT($J308))-ROW(INDIRECT(CZ308))),ABS(COLUMN(INDIRECT($J308))-COLUMN(INDIRECT(CZ308)))),1000)</f>
        <v>14</v>
      </c>
      <c r="ED308" s="23" cm="1">
        <f t="array" aca="1" ref="ED308" ca="1">IFERROR(MAX(ABS(ROW(INDIRECT($J308))-ROW(INDIRECT(DA308))),ABS(COLUMN(INDIRECT($J308))-COLUMN(INDIRECT(DA308)))),1000)</f>
        <v>15</v>
      </c>
      <c r="EE308" s="23" cm="1">
        <f t="array" aca="1" ref="EE308" ca="1">IFERROR(MAX(ABS(ROW(INDIRECT($J308))-ROW(INDIRECT(DB308))),ABS(COLUMN(INDIRECT($J308))-COLUMN(INDIRECT(DB308)))),1000)</f>
        <v>16</v>
      </c>
      <c r="EF308" s="23" cm="1">
        <f t="array" aca="1" ref="EF308" ca="1">IFERROR(MAX(ABS(ROW(INDIRECT($J308))-ROW(INDIRECT(DC308))),ABS(COLUMN(INDIRECT($J308))-COLUMN(INDIRECT(DC308)))),1000)</f>
        <v>18</v>
      </c>
      <c r="EG308" s="23" cm="1">
        <f t="array" aca="1" ref="EG308" ca="1">IFERROR(MAX(ABS(ROW(INDIRECT($J308))-ROW(INDIRECT(DD308))),ABS(COLUMN(INDIRECT($J308))-COLUMN(INDIRECT(DD308)))),1000)</f>
        <v>8</v>
      </c>
      <c r="EH308" s="23" cm="1">
        <f t="array" aca="1" ref="EH308" ca="1">IFERROR(MAX(ABS(ROW(INDIRECT($J308))-ROW(INDIRECT(DE308))),ABS(COLUMN(INDIRECT($J308))-COLUMN(INDIRECT(DE308)))),1000)</f>
        <v>1000</v>
      </c>
      <c r="EI308" s="23" cm="1">
        <f t="array" aca="1" ref="EI308" ca="1">IFERROR(MAX(ABS(ROW(INDIRECT($J308))-ROW(INDIRECT(DF308))),ABS(COLUMN(INDIRECT($J308))-COLUMN(INDIRECT(DF308)))),1000)</f>
        <v>1000</v>
      </c>
      <c r="EJ308" s="23" cm="1">
        <f t="array" aca="1" ref="EJ308" ca="1">IFERROR(MAX(ABS(ROW(INDIRECT($J308))-ROW(INDIRECT(DG308))),ABS(COLUMN(INDIRECT($J308))-COLUMN(INDIRECT(DG308)))),1000)</f>
        <v>1000</v>
      </c>
      <c r="EK308" s="23" cm="1">
        <f t="array" aca="1" ref="EK308" ca="1">IFERROR(MAX(ABS(ROW(INDIRECT($J308))-ROW(INDIRECT(DH308))),ABS(COLUMN(INDIRECT($J308))-COLUMN(INDIRECT(DH308)))),1000)</f>
        <v>1000</v>
      </c>
      <c r="EL308" s="23" cm="1">
        <f t="array" aca="1" ref="EL308" ca="1">IFERROR(MAX(ABS(ROW(INDIRECT($J308))-ROW(INDIRECT(DI308))),ABS(COLUMN(INDIRECT($J308))-COLUMN(INDIRECT(DI308)))),1000)</f>
        <v>1000</v>
      </c>
      <c r="EM308" s="23" cm="1">
        <f t="array" aca="1" ref="EM308" ca="1">IFERROR(MAX(ABS(ROW(INDIRECT($J308))-ROW(INDIRECT(DJ308))),ABS(COLUMN(INDIRECT($J308))-COLUMN(INDIRECT(DJ308)))),1000)</f>
        <v>1000</v>
      </c>
      <c r="EN308" s="23" cm="1">
        <f t="array" aca="1" ref="EN308" ca="1">IFERROR(MAX(ABS(ROW(INDIRECT($J308))-ROW(INDIRECT(DK308))),ABS(COLUMN(INDIRECT($J308))-COLUMN(INDIRECT(DK308)))),1000)</f>
        <v>1000</v>
      </c>
      <c r="EP308" s="23">
        <f ca="1">MIN(DU308:EN308)</f>
        <v>4</v>
      </c>
      <c r="EQ308" s="23">
        <f ca="1">COUNTIF(DU308:EN308,EP308)</f>
        <v>1</v>
      </c>
      <c r="ER308" s="23">
        <f ca="1">_xlfn.XMATCH(EP308,DU308:EN308,0,1)</f>
        <v>2</v>
      </c>
      <c r="ES308" s="23" t="str" cm="1">
        <f t="array" aca="1" ref="ES308" ca="1">INDEX(CR308:DK308,1,ER308)</f>
        <v>F17</v>
      </c>
    </row>
    <row r="309" spans="2:149" ht="22.5" customHeight="1">
      <c r="B309" s="32">
        <f>B308+1</f>
        <v>122</v>
      </c>
      <c r="C309" s="32">
        <v>7</v>
      </c>
      <c r="D309" s="30">
        <v>12</v>
      </c>
      <c r="E309" s="34" t="str">
        <f ca="1"/>
        <v>C13</v>
      </c>
      <c r="F309" s="103"/>
      <c r="G309" s="33">
        <v>27</v>
      </c>
      <c r="H309" s="33" t="s">
        <v>280</v>
      </c>
      <c r="I309" s="33">
        <v>29</v>
      </c>
      <c r="J309" s="33" t="s">
        <v>281</v>
      </c>
      <c r="K309" s="33" t="s">
        <v>192</v>
      </c>
      <c r="L309" s="33" t="s">
        <v>61</v>
      </c>
      <c r="M309" s="33" t="s">
        <v>83</v>
      </c>
      <c r="N309" s="33" t="s">
        <v>181</v>
      </c>
      <c r="O309" s="33" t="s">
        <v>192</v>
      </c>
      <c r="P309" s="33" t="s">
        <v>179</v>
      </c>
      <c r="Q309" s="33" t="s">
        <v>60</v>
      </c>
      <c r="R309" s="33" t="s">
        <v>54</v>
      </c>
      <c r="S309" s="33" t="s">
        <v>57</v>
      </c>
      <c r="T309" s="33" t="s">
        <v>191</v>
      </c>
      <c r="U309" s="33" t="s">
        <v>115</v>
      </c>
      <c r="V309" s="33" t="s">
        <v>83</v>
      </c>
      <c r="W309" s="33" t="s">
        <v>114</v>
      </c>
      <c r="X309" s="33" t="s">
        <v>89</v>
      </c>
      <c r="Y309" s="33" t="s">
        <v>112</v>
      </c>
      <c r="Z309" s="33" t="s">
        <v>155</v>
      </c>
      <c r="AA309" s="33" t="s">
        <v>179</v>
      </c>
      <c r="AB309" s="33" t="s">
        <v>155</v>
      </c>
      <c r="AC309" s="33" t="s">
        <v>86</v>
      </c>
      <c r="AD309" s="33" t="s">
        <v>113</v>
      </c>
      <c r="AF309" s="31" t="str" cm="1">
        <f t="array" aca="1" ref="AF309" ca="1">_xlfn.LET(
_xlpm.x, IF(K$303&gt;$G309,"x",IFERROR(SUBSTITUTE(CELL("adres",OFFSET(INDIRECT(K309),,IF(LEFT(K309)="V",-1,1)*($G309-K$303),1,1)),"$",""),"x")),
_xlpm.y, IFERROR(IF(OR(COLUMN(INDIRECT(_xlpm.x))&gt;21, COLUMN(INDIRECT(_xlpm.x)) &lt;2), "x",_xlpm.x),"x"),
_xlpm.y)</f>
        <v>x</v>
      </c>
      <c r="AG309" s="31" t="str" cm="1">
        <f t="array" aca="1" ref="AG309" ca="1">_xlfn.LET(
_xlpm.x, IF(L$303&gt;$G309,"x",IFERROR(SUBSTITUTE(CELL("adres",OFFSET(INDIRECT(L309),,IF(LEFT(L309)="V",-1,1)*($G309-L$303),1,1)),"$",""),"x")),
_xlpm.y, IFERROR(IF(OR(COLUMN(INDIRECT(_xlpm.x))&gt;21, COLUMN(INDIRECT(_xlpm.x)) &lt;2), "x",_xlpm.x),"x"),
_xlpm.y)</f>
        <v>x</v>
      </c>
      <c r="AH309" s="31" t="str" cm="1">
        <f t="array" aca="1" ref="AH309" ca="1">_xlfn.LET(
_xlpm.x, IF(M$303&gt;$G309,"x",IFERROR(SUBSTITUTE(CELL("adres",OFFSET(INDIRECT(M309),,IF(LEFT(M309)="V",-1,1)*($G309-M$303),1,1)),"$",""),"x")),
_xlpm.y, IFERROR(IF(OR(COLUMN(INDIRECT(_xlpm.x))&gt;21, COLUMN(INDIRECT(_xlpm.x)) &lt;2), "x",_xlpm.x),"x"),
_xlpm.y)</f>
        <v>x</v>
      </c>
      <c r="AI309" s="31" t="str" cm="1">
        <f t="array" aca="1" ref="AI309" ca="1">_xlfn.LET(
_xlpm.x, IF(N$303&gt;$G309,"x",IFERROR(SUBSTITUTE(CELL("adres",OFFSET(INDIRECT(N309),,IF(LEFT(N309)="V",-1,1)*($G309-N$303),1,1)),"$",""),"x")),
_xlpm.y, IFERROR(IF(OR(COLUMN(INDIRECT(_xlpm.x))&gt;21, COLUMN(INDIRECT(_xlpm.x)) &lt;2), "x",_xlpm.x),"x"),
_xlpm.y)</f>
        <v>x</v>
      </c>
      <c r="AJ309" s="31" t="str" cm="1">
        <f t="array" aca="1" ref="AJ309" ca="1">_xlfn.LET(
_xlpm.x, IF(O$303&gt;$G309,"x",IFERROR(SUBSTITUTE(CELL("adres",OFFSET(INDIRECT(O309),,IF(LEFT(O309)="V",-1,1)*($G309-O$303),1,1)),"$",""),"x")),
_xlpm.y, IFERROR(IF(OR(COLUMN(INDIRECT(_xlpm.x))&gt;21, COLUMN(INDIRECT(_xlpm.x)) &lt;2), "x",_xlpm.x),"x"),
_xlpm.y)</f>
        <v>x</v>
      </c>
      <c r="AK309" s="31" t="str" cm="1">
        <f t="array" aca="1" ref="AK309" ca="1">_xlfn.LET(
_xlpm.x, IF(P$303&gt;$G309,"x",IFERROR(SUBSTITUTE(CELL("adres",OFFSET(INDIRECT(P309),,IF(LEFT(P309)="V",-1,1)*($G309-P$303),1,1)),"$",""),"x")),
_xlpm.y, IFERROR(IF(OR(COLUMN(INDIRECT(_xlpm.x))&gt;21, COLUMN(INDIRECT(_xlpm.x)) &lt;2), "x",_xlpm.x),"x"),
_xlpm.y)</f>
        <v>x</v>
      </c>
      <c r="AL309" s="31" t="str" cm="1">
        <f t="array" aca="1" ref="AL309" ca="1">_xlfn.LET(
_xlpm.x, IF(Q$303&gt;$G309,"x",IFERROR(SUBSTITUTE(CELL("adres",OFFSET(INDIRECT(Q309),,IF(LEFT(Q309)="V",-1,1)*($G309-Q$303),1,1)),"$",""),"x")),
_xlpm.y, IFERROR(IF(OR(COLUMN(INDIRECT(_xlpm.x))&gt;21, COLUMN(INDIRECT(_xlpm.x)) &lt;2), "x",_xlpm.x),"x"),
_xlpm.y)</f>
        <v>x</v>
      </c>
      <c r="AM309" s="31" t="str" cm="1">
        <f t="array" aca="1" ref="AM309" ca="1">_xlfn.LET(
_xlpm.x, IF(R$303&gt;$G309,"x",IFERROR(SUBSTITUTE(CELL("adres",OFFSET(INDIRECT(R309),,IF(LEFT(R309)="V",-1,1)*($G309-R$303),1,1)),"$",""),"x")),
_xlpm.y, IFERROR(IF(OR(COLUMN(INDIRECT(_xlpm.x))&gt;21, COLUMN(INDIRECT(_xlpm.x)) &lt;2), "x",_xlpm.x),"x"),
_xlpm.y)</f>
        <v>U19</v>
      </c>
      <c r="AN309" s="31" t="str" cm="1">
        <f t="array" aca="1" ref="AN309" ca="1">_xlfn.LET(
_xlpm.x, IF(S$303&gt;$G309,"x",IFERROR(SUBSTITUTE(CELL("adres",OFFSET(INDIRECT(S309),,IF(LEFT(S309)="V",-1,1)*($G309-S$303),1,1)),"$",""),"x")),
_xlpm.y, IFERROR(IF(OR(COLUMN(INDIRECT(_xlpm.x))&gt;21, COLUMN(INDIRECT(_xlpm.x)) &lt;2), "x",_xlpm.x),"x"),
_xlpm.y)</f>
        <v>T17</v>
      </c>
      <c r="AO309" s="31" t="str" cm="1">
        <f t="array" aca="1" ref="AO309" ca="1">_xlfn.LET(
_xlpm.x, IF(T$303&gt;$G309,"x",IFERROR(SUBSTITUTE(CELL("adres",OFFSET(INDIRECT(T309),,IF(LEFT(T309)="V",-1,1)*($G309-T$303),1,1)),"$",""),"x")),
_xlpm.y, IFERROR(IF(OR(COLUMN(INDIRECT(_xlpm.x))&gt;21, COLUMN(INDIRECT(_xlpm.x)) &lt;2), "x",_xlpm.x),"x"),
_xlpm.y)</f>
        <v>D7</v>
      </c>
      <c r="AP309" s="31" t="str" cm="1">
        <f t="array" aca="1" ref="AP309" ca="1">_xlfn.LET(
_xlpm.x, IF(U$303&gt;$G309,"x",IFERROR(SUBSTITUTE(CELL("adres",OFFSET(INDIRECT(U309),,IF(LEFT(U309)="V",-1,1)*($G309-U$303),1,1)),"$",""),"x")),
_xlpm.y, IFERROR(IF(OR(COLUMN(INDIRECT(_xlpm.x))&gt;21, COLUMN(INDIRECT(_xlpm.x)) &lt;2), "x",_xlpm.x),"x"),
_xlpm.y)</f>
        <v>R2</v>
      </c>
      <c r="AQ309" s="31" t="str" cm="1">
        <f t="array" aca="1" ref="AQ309" ca="1">_xlfn.LET(
_xlpm.x, IF(V$303&gt;$G309,"x",IFERROR(SUBSTITUTE(CELL("adres",OFFSET(INDIRECT(V309),,IF(LEFT(V309)="V",-1,1)*($G309-V$303),1,1)),"$",""),"x")),
_xlpm.y, IFERROR(IF(OR(COLUMN(INDIRECT(_xlpm.x))&gt;21, COLUMN(INDIRECT(_xlpm.x)) &lt;2), "x",_xlpm.x),"x"),
_xlpm.y)</f>
        <v>F21</v>
      </c>
      <c r="AR309" s="31" t="str" cm="1">
        <f t="array" aca="1" ref="AR309" ca="1">_xlfn.LET(
_xlpm.x, IF(W$303&gt;$G309,"x",IFERROR(SUBSTITUTE(CELL("adres",OFFSET(INDIRECT(W309),,IF(LEFT(W309)="V",-1,1)*($G309-W$303),1,1)),"$",""),"x")),
_xlpm.y, IFERROR(IF(OR(COLUMN(INDIRECT(_xlpm.x))&gt;21, COLUMN(INDIRECT(_xlpm.x)) &lt;2), "x",_xlpm.x),"x"),
_xlpm.y)</f>
        <v>G13</v>
      </c>
      <c r="AS309" s="31" t="str" cm="1">
        <f t="array" aca="1" ref="AS309" ca="1">_xlfn.LET(
_xlpm.x, IF(X$303&gt;$G309,"x",IFERROR(SUBSTITUTE(CELL("adres",OFFSET(INDIRECT(X309),,IF(LEFT(X309)="V",-1,1)*($G309-X$303),1,1)),"$",""),"x")),
_xlpm.y, IFERROR(IF(OR(COLUMN(INDIRECT(_xlpm.x))&gt;21, COLUMN(INDIRECT(_xlpm.x)) &lt;2), "x",_xlpm.x),"x"),
_xlpm.y)</f>
        <v>H22</v>
      </c>
      <c r="AT309" s="31" t="str" cm="1">
        <f t="array" aca="1" ref="AT309" ca="1">_xlfn.LET(
_xlpm.x, IF(Y$303&gt;$G309,"x",IFERROR(SUBSTITUTE(CELL("adres",OFFSET(INDIRECT(Y309),,IF(LEFT(Y309)="V",-1,1)*($G309-Y$303),1,1)),"$",""),"x")),
_xlpm.y, IFERROR(IF(OR(COLUMN(INDIRECT(_xlpm.x))&gt;21, COLUMN(INDIRECT(_xlpm.x)) &lt;2), "x",_xlpm.x),"x"),
_xlpm.y)</f>
        <v>I2</v>
      </c>
      <c r="AU309" s="31" t="str" cm="1">
        <f t="array" aca="1" ref="AU309" ca="1">_xlfn.LET(
_xlpm.x, IF(Z$303&gt;$G309,"x",IFERROR(SUBSTITUTE(CELL("adres",OFFSET(INDIRECT(Z309),,IF(LEFT(Z309)="V",-1,1)*($G309-Z$303),1,1)),"$",""),"x")),
_xlpm.y, IFERROR(IF(OR(COLUMN(INDIRECT(_xlpm.x))&gt;21, COLUMN(INDIRECT(_xlpm.x)) &lt;2), "x",_xlpm.x),"x"),
_xlpm.y)</f>
        <v>J20</v>
      </c>
      <c r="AV309" s="31" t="str" cm="1">
        <f t="array" aca="1" ref="AV309" ca="1">_xlfn.LET(
_xlpm.x, IF(AA$303&gt;$G309,"x",IFERROR(SUBSTITUTE(CELL("adres",OFFSET(INDIRECT(AA309),,IF(LEFT(AA309)="V",-1,1)*($G309-AA$303),1,1)),"$",""),"x")),
_xlpm.y, IFERROR(IF(OR(COLUMN(INDIRECT(_xlpm.x))&gt;21, COLUMN(INDIRECT(_xlpm.x)) &lt;2), "x",_xlpm.x),"x"),
_xlpm.y)</f>
        <v>K23</v>
      </c>
      <c r="AW309" s="31" t="str" cm="1">
        <f t="array" aca="1" ref="AW309" ca="1">_xlfn.LET(
_xlpm.x, IF(AB$303&gt;$G309,"x",IFERROR(SUBSTITUTE(CELL("adres",OFFSET(INDIRECT(AB309),,IF(LEFT(AB309)="V",-1,1)*($G309-AB$303),1,1)),"$",""),"x")),
_xlpm.y, IFERROR(IF(OR(COLUMN(INDIRECT(_xlpm.x))&gt;21, COLUMN(INDIRECT(_xlpm.x)) &lt;2), "x",_xlpm.x),"x"),
_xlpm.y)</f>
        <v>L20</v>
      </c>
      <c r="AX309" s="31" t="str" cm="1">
        <f t="array" aca="1" ref="AX309" ca="1">_xlfn.LET(
_xlpm.x, IF(AC$303&gt;$G309,"x",IFERROR(SUBSTITUTE(CELL("adres",OFFSET(INDIRECT(AC309),,IF(LEFT(AC309)="V",-1,1)*($G309-AC$303),1,1)),"$",""),"x")),
_xlpm.y, IFERROR(IF(OR(COLUMN(INDIRECT(_xlpm.x))&gt;21, COLUMN(INDIRECT(_xlpm.x)) &lt;2), "x",_xlpm.x),"x"),
_xlpm.y)</f>
        <v>M17</v>
      </c>
      <c r="AY309" s="31" t="str" cm="1">
        <f t="array" aca="1" ref="AY309" ca="1">_xlfn.LET(
_xlpm.x, IF(AD$303&gt;$G309,"x",IFERROR(SUBSTITUTE(CELL("adres",OFFSET(INDIRECT(AD309),,IF(LEFT(AD309)="V",-1,1)*($G309-AD$303),1,1)),"$",""),"x")),
_xlpm.y, IFERROR(IF(OR(COLUMN(INDIRECT(_xlpm.x))&gt;21, COLUMN(INDIRECT(_xlpm.x)) &lt;2), "x",_xlpm.x),"x"),
_xlpm.y)</f>
        <v>I14</v>
      </c>
      <c r="BB309" s="23" t="str" cm="1">
        <f t="array" aca="1" ref="BB309" ca="1">IFERROR(COLUMN(INDIRECT(AF309)),"x")</f>
        <v>x</v>
      </c>
      <c r="BC309" s="23" t="str" cm="1">
        <f t="array" aca="1" ref="BC309" ca="1">IFERROR(COLUMN(INDIRECT(AG309)),"x")</f>
        <v>x</v>
      </c>
      <c r="BD309" s="23" t="str" cm="1">
        <f t="array" aca="1" ref="BD309" ca="1">IFERROR(COLUMN(INDIRECT(AH309)),"x")</f>
        <v>x</v>
      </c>
      <c r="BE309" s="23" t="str" cm="1">
        <f t="array" aca="1" ref="BE309" ca="1">IFERROR(COLUMN(INDIRECT(AI309)),"x")</f>
        <v>x</v>
      </c>
      <c r="BF309" s="23" t="str" cm="1">
        <f t="array" aca="1" ref="BF309" ca="1">IFERROR(COLUMN(INDIRECT(AJ309)),"x")</f>
        <v>x</v>
      </c>
      <c r="BG309" s="23" t="str" cm="1">
        <f t="array" aca="1" ref="BG309" ca="1">IFERROR(COLUMN(INDIRECT(AK309)),"x")</f>
        <v>x</v>
      </c>
      <c r="BH309" s="23" t="str" cm="1">
        <f t="array" aca="1" ref="BH309" ca="1">IFERROR(COLUMN(INDIRECT(AL309)),"x")</f>
        <v>x</v>
      </c>
      <c r="BI309" s="23" cm="1">
        <f t="array" aca="1" ref="BI309" ca="1">IFERROR(COLUMN(INDIRECT(AM309)),"x")</f>
        <v>21</v>
      </c>
      <c r="BJ309" s="23" cm="1">
        <f t="array" aca="1" ref="BJ309" ca="1">IFERROR(COLUMN(INDIRECT(AN309)),"x")</f>
        <v>20</v>
      </c>
      <c r="BK309" s="23" cm="1">
        <f t="array" aca="1" ref="BK309" ca="1">IFERROR(COLUMN(INDIRECT(AO309)),"x")</f>
        <v>4</v>
      </c>
      <c r="BL309" s="23" cm="1">
        <f t="array" aca="1" ref="BL309" ca="1">IFERROR(COLUMN(INDIRECT(AP309)),"x")</f>
        <v>18</v>
      </c>
      <c r="BM309" s="23" cm="1">
        <f t="array" aca="1" ref="BM309" ca="1">IFERROR(COLUMN(INDIRECT(AQ309)),"x")</f>
        <v>6</v>
      </c>
      <c r="BN309" s="23" cm="1">
        <f t="array" aca="1" ref="BN309" ca="1">IFERROR(COLUMN(INDIRECT(AR309)),"x")</f>
        <v>7</v>
      </c>
      <c r="BO309" s="23" cm="1">
        <f t="array" aca="1" ref="BO309" ca="1">IFERROR(COLUMN(INDIRECT(AS309)),"x")</f>
        <v>8</v>
      </c>
      <c r="BP309" s="23" cm="1">
        <f t="array" aca="1" ref="BP309" ca="1">IFERROR(COLUMN(INDIRECT(AT309)),"x")</f>
        <v>9</v>
      </c>
      <c r="BQ309" s="23" cm="1">
        <f t="array" aca="1" ref="BQ309" ca="1">IFERROR(COLUMN(INDIRECT(AU309)),"x")</f>
        <v>10</v>
      </c>
      <c r="BR309" s="23" cm="1">
        <f t="array" aca="1" ref="BR309" ca="1">IFERROR(COLUMN(INDIRECT(AV309)),"x")</f>
        <v>11</v>
      </c>
      <c r="BS309" s="23" cm="1">
        <f t="array" aca="1" ref="BS309" ca="1">IFERROR(COLUMN(INDIRECT(AW309)),"x")</f>
        <v>12</v>
      </c>
      <c r="BT309" s="23" cm="1">
        <f t="array" aca="1" ref="BT309" ca="1">IFERROR(COLUMN(INDIRECT(AX309)),"x")</f>
        <v>13</v>
      </c>
      <c r="BU309" s="23" cm="1">
        <f t="array" aca="1" ref="BU309" ca="1">IFERROR(COLUMN(INDIRECT(AY309)),"x")</f>
        <v>9</v>
      </c>
      <c r="BW309" s="23" t="str">
        <f t="shared" ref="BW309:BW327" ca="1" si="40">IFERROR(IF(ABS(21-BB309)&gt;=ABS(1-BB309),-1,1), "x")</f>
        <v>x</v>
      </c>
      <c r="BX309" s="23" t="str">
        <f t="shared" ref="BX309:BX327" ca="1" si="41">IFERROR(IF(ABS(21-BC309)&gt;=ABS(1-BC309),-1,1), "x")</f>
        <v>x</v>
      </c>
      <c r="BY309" s="23" t="str">
        <f t="shared" ref="BY309:BY327" ca="1" si="42">IFERROR(IF(ABS(21-BD309)&gt;=ABS(1-BD309),-1,1), "x")</f>
        <v>x</v>
      </c>
      <c r="BZ309" s="23" t="str">
        <f t="shared" ref="BZ309:BZ327" ca="1" si="43">IFERROR(IF(ABS(21-BE309)&gt;=ABS(1-BE309),-1,1), "x")</f>
        <v>x</v>
      </c>
      <c r="CA309" s="23" t="str">
        <f t="shared" ref="CA309:CA327" ca="1" si="44">IFERROR(IF(ABS(21-BF309)&gt;=ABS(1-BF309),-1,1), "x")</f>
        <v>x</v>
      </c>
      <c r="CB309" s="23" t="str">
        <f t="shared" ref="CB309:CB327" ca="1" si="45">IFERROR(IF(ABS(21-BG309)&gt;=ABS(1-BG309),-1,1), "x")</f>
        <v>x</v>
      </c>
      <c r="CC309" s="23" t="str">
        <f t="shared" ref="CC309:CC327" ca="1" si="46">IFERROR(IF(ABS(21-BH309)&gt;=ABS(1-BH309),-1,1), "x")</f>
        <v>x</v>
      </c>
      <c r="CD309" s="23">
        <f t="shared" ref="CD309:CD327" ca="1" si="47">IFERROR(IF(ABS(21-BI309)&gt;=ABS(1-BI309),-1,1), "x")</f>
        <v>1</v>
      </c>
      <c r="CE309" s="23">
        <f t="shared" ref="CE309:CE327" ca="1" si="48">IFERROR(IF(ABS(21-BJ309)&gt;=ABS(1-BJ309),-1,1), "x")</f>
        <v>1</v>
      </c>
      <c r="CF309" s="23">
        <f t="shared" ref="CF309:CF327" ca="1" si="49">IFERROR(IF(ABS(21-BK309)&gt;=ABS(1-BK309),-1,1), "x")</f>
        <v>-1</v>
      </c>
      <c r="CG309" s="23">
        <f t="shared" ref="CG309:CG327" ca="1" si="50">IFERROR(IF(ABS(21-BL309)&gt;=ABS(1-BL309),-1,1), "x")</f>
        <v>1</v>
      </c>
      <c r="CH309" s="23">
        <f t="shared" ref="CH309:CH327" ca="1" si="51">IFERROR(IF(ABS(21-BM309)&gt;=ABS(1-BM309),-1,1), "x")</f>
        <v>-1</v>
      </c>
      <c r="CI309" s="23">
        <f t="shared" ref="CI309:CI327" ca="1" si="52">IFERROR(IF(ABS(21-BN309)&gt;=ABS(1-BN309),-1,1), "x")</f>
        <v>-1</v>
      </c>
      <c r="CJ309" s="23">
        <f t="shared" ref="CJ309:CJ327" ca="1" si="53">IFERROR(IF(ABS(21-BO309)&gt;=ABS(1-BO309),-1,1), "x")</f>
        <v>-1</v>
      </c>
      <c r="CK309" s="23">
        <f t="shared" ref="CK309:CK327" ca="1" si="54">IFERROR(IF(ABS(21-BP309)&gt;=ABS(1-BP309),-1,1), "x")</f>
        <v>-1</v>
      </c>
      <c r="CL309" s="23">
        <f t="shared" ref="CL309:CL327" ca="1" si="55">IFERROR(IF(ABS(21-BQ309)&gt;=ABS(1-BQ309),-1,1), "x")</f>
        <v>-1</v>
      </c>
      <c r="CM309" s="23">
        <f t="shared" ref="CM309:CM327" ca="1" si="56">IFERROR(IF(ABS(21-BR309)&gt;=ABS(1-BR309),-1,1), "x")</f>
        <v>-1</v>
      </c>
      <c r="CN309" s="23">
        <f t="shared" ref="CN309:CN327" ca="1" si="57">IFERROR(IF(ABS(21-BS309)&gt;=ABS(1-BS309),-1,1), "x")</f>
        <v>1</v>
      </c>
      <c r="CO309" s="23">
        <f t="shared" ref="CO309:CO327" ca="1" si="58">IFERROR(IF(ABS(21-BT309)&gt;=ABS(1-BT309),-1,1), "x")</f>
        <v>1</v>
      </c>
      <c r="CP309" s="23">
        <f t="shared" ref="CP309:CP327" ca="1" si="59">IFERROR(IF(ABS(21-BU309)&gt;=ABS(1-BU309),-1,1), "x")</f>
        <v>-1</v>
      </c>
      <c r="CQ309" s="75"/>
      <c r="CR309" s="23" t="str" cm="1">
        <f t="array" aca="1" ref="CR309" ca="1">_xlfn.LET(
_xlpm.x, IFERROR(SUBSTITUTE(CELL("adres",OFFSET(INDIRECT(AF309),,BW309*($I309-$G309)*2,1,1)),"$",""),"x"),
_xlpm.y, IFERROR(IF(OR(COLUMN(INDIRECT(_xlpm.x))&gt;21, COLUMN(INDIRECT(_xlpm.x))&lt;2),"x",_xlpm.x), "x"),
_xlpm.y)</f>
        <v>x</v>
      </c>
      <c r="CS309" s="23" t="str" cm="1">
        <f t="array" aca="1" ref="CS309" ca="1">_xlfn.LET(
_xlpm.x, IFERROR(SUBSTITUTE(CELL("adres",OFFSET(INDIRECT(AG309),,BX309*($I309-$G309)*2,1,1)),"$",""),"x"),
_xlpm.y, IFERROR(IF(OR(COLUMN(INDIRECT(_xlpm.x))&gt;21, COLUMN(INDIRECT(_xlpm.x))&lt;2),"x",_xlpm.x), "x"),
_xlpm.y)</f>
        <v>x</v>
      </c>
      <c r="CT309" s="23" t="str" cm="1">
        <f t="array" aca="1" ref="CT309" ca="1">_xlfn.LET(
_xlpm.x, IFERROR(SUBSTITUTE(CELL("adres",OFFSET(INDIRECT(AH309),,BY309*($I309-$G309)*2,1,1)),"$",""),"x"),
_xlpm.y, IFERROR(IF(OR(COLUMN(INDIRECT(_xlpm.x))&gt;21, COLUMN(INDIRECT(_xlpm.x))&lt;2),"x",_xlpm.x), "x"),
_xlpm.y)</f>
        <v>x</v>
      </c>
      <c r="CU309" s="23" t="str" cm="1">
        <f t="array" aca="1" ref="CU309" ca="1">_xlfn.LET(
_xlpm.x, IFERROR(SUBSTITUTE(CELL("adres",OFFSET(INDIRECT(AI309),,BZ309*($I309-$G309)*2,1,1)),"$",""),"x"),
_xlpm.y, IFERROR(IF(OR(COLUMN(INDIRECT(_xlpm.x))&gt;21, COLUMN(INDIRECT(_xlpm.x))&lt;2),"x",_xlpm.x), "x"),
_xlpm.y)</f>
        <v>x</v>
      </c>
      <c r="CV309" s="23" t="str" cm="1">
        <f t="array" aca="1" ref="CV309" ca="1">_xlfn.LET(
_xlpm.x, IFERROR(SUBSTITUTE(CELL("adres",OFFSET(INDIRECT(AJ309),,CA309*($I309-$G309)*2,1,1)),"$",""),"x"),
_xlpm.y, IFERROR(IF(OR(COLUMN(INDIRECT(_xlpm.x))&gt;21, COLUMN(INDIRECT(_xlpm.x))&lt;2),"x",_xlpm.x), "x"),
_xlpm.y)</f>
        <v>x</v>
      </c>
      <c r="CW309" s="23" t="str" cm="1">
        <f t="array" aca="1" ref="CW309" ca="1">_xlfn.LET(
_xlpm.x, IFERROR(SUBSTITUTE(CELL("adres",OFFSET(INDIRECT(AK309),,CB309*($I309-$G309)*2,1,1)),"$",""),"x"),
_xlpm.y, IFERROR(IF(OR(COLUMN(INDIRECT(_xlpm.x))&gt;21, COLUMN(INDIRECT(_xlpm.x))&lt;2),"x",_xlpm.x), "x"),
_xlpm.y)</f>
        <v>x</v>
      </c>
      <c r="CX309" s="23" t="str" cm="1">
        <f t="array" aca="1" ref="CX309" ca="1">_xlfn.LET(
_xlpm.x, IFERROR(SUBSTITUTE(CELL("adres",OFFSET(INDIRECT(AL309),,CC309*($I309-$G309)*2,1,1)),"$",""),"x"),
_xlpm.y, IFERROR(IF(OR(COLUMN(INDIRECT(_xlpm.x))&gt;21, COLUMN(INDIRECT(_xlpm.x))&lt;2),"x",_xlpm.x), "x"),
_xlpm.y)</f>
        <v>x</v>
      </c>
      <c r="CY309" s="23" t="str" cm="1">
        <f t="array" aca="1" ref="CY309" ca="1">_xlfn.LET(
_xlpm.x, IFERROR(SUBSTITUTE(CELL("adres",OFFSET(INDIRECT(AM309),,CD309*($I309-$G309)*2,1,1)),"$",""),"x"),
_xlpm.y, IFERROR(IF(OR(COLUMN(INDIRECT(_xlpm.x))&gt;21, COLUMN(INDIRECT(_xlpm.x))&lt;2),"x",_xlpm.x), "x"),
_xlpm.y)</f>
        <v>x</v>
      </c>
      <c r="CZ309" s="23" t="str" cm="1">
        <f t="array" aca="1" ref="CZ309" ca="1">_xlfn.LET(
_xlpm.x, IFERROR(SUBSTITUTE(CELL("adres",OFFSET(INDIRECT(AN309),,CE309*($I309-$G309)*2,1,1)),"$",""),"x"),
_xlpm.y, IFERROR(IF(OR(COLUMN(INDIRECT(_xlpm.x))&gt;21, COLUMN(INDIRECT(_xlpm.x))&lt;2),"x",_xlpm.x), "x"),
_xlpm.y)</f>
        <v>x</v>
      </c>
      <c r="DA309" s="23" t="str" cm="1">
        <f t="array" aca="1" ref="DA309" ca="1">_xlfn.LET(
_xlpm.x, IFERROR(SUBSTITUTE(CELL("adres",OFFSET(INDIRECT(AO309),,CF309*($I309-$G309)*2,1,1)),"$",""),"x"),
_xlpm.y, IFERROR(IF(OR(COLUMN(INDIRECT(_xlpm.x))&gt;21, COLUMN(INDIRECT(_xlpm.x))&lt;2),"x",_xlpm.x), "x"),
_xlpm.y)</f>
        <v>x</v>
      </c>
      <c r="DB309" s="23" t="str" cm="1">
        <f t="array" aca="1" ref="DB309" ca="1">_xlfn.LET(
_xlpm.x, IFERROR(SUBSTITUTE(CELL("adres",OFFSET(INDIRECT(AP309),,CG309*($I309-$G309)*2,1,1)),"$",""),"x"),
_xlpm.y, IFERROR(IF(OR(COLUMN(INDIRECT(_xlpm.x))&gt;21, COLUMN(INDIRECT(_xlpm.x))&lt;2),"x",_xlpm.x), "x"),
_xlpm.y)</f>
        <v>x</v>
      </c>
      <c r="DC309" s="23" t="str" cm="1">
        <f t="array" aca="1" ref="DC309" ca="1">_xlfn.LET(
_xlpm.x, IFERROR(SUBSTITUTE(CELL("adres",OFFSET(INDIRECT(AQ309),,CH309*($I309-$G309)*2,1,1)),"$",""),"x"),
_xlpm.y, IFERROR(IF(OR(COLUMN(INDIRECT(_xlpm.x))&gt;21, COLUMN(INDIRECT(_xlpm.x))&lt;2),"x",_xlpm.x), "x"),
_xlpm.y)</f>
        <v>B21</v>
      </c>
      <c r="DD309" s="23" t="str" cm="1">
        <f t="array" aca="1" ref="DD309" ca="1">_xlfn.LET(
_xlpm.x, IFERROR(SUBSTITUTE(CELL("adres",OFFSET(INDIRECT(AR309),,CI309*($I309-$G309)*2,1,1)),"$",""),"x"),
_xlpm.y, IFERROR(IF(OR(COLUMN(INDIRECT(_xlpm.x))&gt;21, COLUMN(INDIRECT(_xlpm.x))&lt;2),"x",_xlpm.x), "x"),
_xlpm.y)</f>
        <v>C13</v>
      </c>
      <c r="DE309" s="23" t="str" cm="1">
        <f t="array" aca="1" ref="DE309" ca="1">_xlfn.LET(
_xlpm.x, IFERROR(SUBSTITUTE(CELL("adres",OFFSET(INDIRECT(AS309),,CJ309*($I309-$G309)*2,1,1)),"$",""),"x"),
_xlpm.y, IFERROR(IF(OR(COLUMN(INDIRECT(_xlpm.x))&gt;21, COLUMN(INDIRECT(_xlpm.x))&lt;2),"x",_xlpm.x), "x"),
_xlpm.y)</f>
        <v>D22</v>
      </c>
      <c r="DF309" s="23" t="str" cm="1">
        <f t="array" aca="1" ref="DF309" ca="1">_xlfn.LET(
_xlpm.x, IFERROR(SUBSTITUTE(CELL("adres",OFFSET(INDIRECT(AT309),,CK309*($I309-$G309)*2,1,1)),"$",""),"x"),
_xlpm.y, IFERROR(IF(OR(COLUMN(INDIRECT(_xlpm.x))&gt;21, COLUMN(INDIRECT(_xlpm.x))&lt;2),"x",_xlpm.x), "x"),
_xlpm.y)</f>
        <v>E2</v>
      </c>
      <c r="DG309" s="23" t="str" cm="1">
        <f t="array" aca="1" ref="DG309" ca="1">_xlfn.LET(
_xlpm.x, IFERROR(SUBSTITUTE(CELL("adres",OFFSET(INDIRECT(AU309),,CL309*($I309-$G309)*2,1,1)),"$",""),"x"),
_xlpm.y, IFERROR(IF(OR(COLUMN(INDIRECT(_xlpm.x))&gt;21, COLUMN(INDIRECT(_xlpm.x))&lt;2),"x",_xlpm.x), "x"),
_xlpm.y)</f>
        <v>F20</v>
      </c>
      <c r="DH309" s="23" t="str" cm="1">
        <f t="array" aca="1" ref="DH309" ca="1">_xlfn.LET(
_xlpm.x, IFERROR(SUBSTITUTE(CELL("adres",OFFSET(INDIRECT(AV309),,CM309*($I309-$G309)*2,1,1)),"$",""),"x"),
_xlpm.y, IFERROR(IF(OR(COLUMN(INDIRECT(_xlpm.x))&gt;21, COLUMN(INDIRECT(_xlpm.x))&lt;2),"x",_xlpm.x), "x"),
_xlpm.y)</f>
        <v>G23</v>
      </c>
      <c r="DI309" s="23" t="str" cm="1">
        <f t="array" aca="1" ref="DI309" ca="1">_xlfn.LET(
_xlpm.x, IFERROR(SUBSTITUTE(CELL("adres",OFFSET(INDIRECT(AW309),,CN309*($I309-$G309)*2,1,1)),"$",""),"x"),
_xlpm.y, IFERROR(IF(OR(COLUMN(INDIRECT(_xlpm.x))&gt;21, COLUMN(INDIRECT(_xlpm.x))&lt;2),"x",_xlpm.x), "x"),
_xlpm.y)</f>
        <v>P20</v>
      </c>
      <c r="DJ309" s="23" t="str" cm="1">
        <f t="array" aca="1" ref="DJ309" ca="1">_xlfn.LET(
_xlpm.x, IFERROR(SUBSTITUTE(CELL("adres",OFFSET(INDIRECT(AX309),,CO309*($I309-$G309)*2,1,1)),"$",""),"x"),
_xlpm.y, IFERROR(IF(OR(COLUMN(INDIRECT(_xlpm.x))&gt;21, COLUMN(INDIRECT(_xlpm.x))&lt;2),"x",_xlpm.x), "x"),
_xlpm.y)</f>
        <v>Q17</v>
      </c>
      <c r="DK309" s="23" t="str" cm="1">
        <f t="array" aca="1" ref="DK309" ca="1">_xlfn.LET(
_xlpm.x, IFERROR(SUBSTITUTE(CELL("adres",OFFSET(INDIRECT(AY309),,CP309*($I309-$G309)*2,1,1)),"$",""),"x"),
_xlpm.y, IFERROR(IF(OR(COLUMN(INDIRECT(_xlpm.x))&gt;21, COLUMN(INDIRECT(_xlpm.x))&lt;2),"x",_xlpm.x), "x"),
_xlpm.y)</f>
        <v>E14</v>
      </c>
      <c r="DM309" s="23" t="e" cm="1">
        <f t="array" aca="1" ref="DM309" ca="1">ROW(INDIRECT(CR309))</f>
        <v>#REF!</v>
      </c>
      <c r="DN309" s="23" cm="1">
        <f t="array" aca="1" ref="DN309" ca="1">ROW(INDIRECT(J309))</f>
        <v>10</v>
      </c>
      <c r="DO309" s="23" t="e">
        <f t="shared" ref="DO309:DO327" ca="1" si="60">ABS(DN309-DM309)</f>
        <v>#REF!</v>
      </c>
      <c r="DP309" s="23" t="e" cm="1">
        <f t="array" aca="1" ref="DP309" ca="1">COLUMN(INDIRECT(CR309))</f>
        <v>#REF!</v>
      </c>
      <c r="DQ309" s="23" cm="1">
        <f t="array" aca="1" ref="DQ309" ca="1">COLUMN(INDIRECT(J309))</f>
        <v>2</v>
      </c>
      <c r="DR309" s="23" t="e">
        <f t="shared" ref="DR309:DR327" ca="1" si="61">ABS(DQ309-DP309)</f>
        <v>#REF!</v>
      </c>
      <c r="DS309" s="23">
        <f t="shared" ca="1" si="39"/>
        <v>1000</v>
      </c>
      <c r="DU309" s="23" cm="1">
        <f t="array" aca="1" ref="DU309" ca="1">IFERROR(MAX(ABS(ROW(INDIRECT($J309))-ROW(INDIRECT(CR309))),ABS(COLUMN(INDIRECT($J309))-COLUMN(INDIRECT(CR309)))),1000)</f>
        <v>1000</v>
      </c>
      <c r="DV309" s="23" cm="1">
        <f t="array" aca="1" ref="DV309" ca="1">IFERROR(MAX(ABS(ROW(INDIRECT($J309))-ROW(INDIRECT(CS309))),ABS(COLUMN(INDIRECT($J309))-COLUMN(INDIRECT(CS309)))),1000)</f>
        <v>1000</v>
      </c>
      <c r="DW309" s="23" cm="1">
        <f t="array" aca="1" ref="DW309" ca="1">IFERROR(MAX(ABS(ROW(INDIRECT($J309))-ROW(INDIRECT(CT309))),ABS(COLUMN(INDIRECT($J309))-COLUMN(INDIRECT(CT309)))),1000)</f>
        <v>1000</v>
      </c>
      <c r="DX309" s="23" cm="1">
        <f t="array" aca="1" ref="DX309" ca="1">IFERROR(MAX(ABS(ROW(INDIRECT($J309))-ROW(INDIRECT(CU309))),ABS(COLUMN(INDIRECT($J309))-COLUMN(INDIRECT(CU309)))),1000)</f>
        <v>1000</v>
      </c>
      <c r="DY309" s="23" cm="1">
        <f t="array" aca="1" ref="DY309" ca="1">IFERROR(MAX(ABS(ROW(INDIRECT($J309))-ROW(INDIRECT(CV309))),ABS(COLUMN(INDIRECT($J309))-COLUMN(INDIRECT(CV309)))),1000)</f>
        <v>1000</v>
      </c>
      <c r="DZ309" s="23" cm="1">
        <f t="array" aca="1" ref="DZ309" ca="1">IFERROR(MAX(ABS(ROW(INDIRECT($J309))-ROW(INDIRECT(CW309))),ABS(COLUMN(INDIRECT($J309))-COLUMN(INDIRECT(CW309)))),1000)</f>
        <v>1000</v>
      </c>
      <c r="EA309" s="23" cm="1">
        <f t="array" aca="1" ref="EA309" ca="1">IFERROR(MAX(ABS(ROW(INDIRECT($J309))-ROW(INDIRECT(CX309))),ABS(COLUMN(INDIRECT($J309))-COLUMN(INDIRECT(CX309)))),1000)</f>
        <v>1000</v>
      </c>
      <c r="EB309" s="23" cm="1">
        <f t="array" aca="1" ref="EB309" ca="1">IFERROR(MAX(ABS(ROW(INDIRECT($J309))-ROW(INDIRECT(CY309))),ABS(COLUMN(INDIRECT($J309))-COLUMN(INDIRECT(CY309)))),1000)</f>
        <v>1000</v>
      </c>
      <c r="EC309" s="23" cm="1">
        <f t="array" aca="1" ref="EC309" ca="1">IFERROR(MAX(ABS(ROW(INDIRECT($J309))-ROW(INDIRECT(CZ309))),ABS(COLUMN(INDIRECT($J309))-COLUMN(INDIRECT(CZ309)))),1000)</f>
        <v>1000</v>
      </c>
      <c r="ED309" s="23" cm="1">
        <f t="array" aca="1" ref="ED309" ca="1">IFERROR(MAX(ABS(ROW(INDIRECT($J309))-ROW(INDIRECT(DA309))),ABS(COLUMN(INDIRECT($J309))-COLUMN(INDIRECT(DA309)))),1000)</f>
        <v>1000</v>
      </c>
      <c r="EE309" s="23" cm="1">
        <f t="array" aca="1" ref="EE309" ca="1">IFERROR(MAX(ABS(ROW(INDIRECT($J309))-ROW(INDIRECT(DB309))),ABS(COLUMN(INDIRECT($J309))-COLUMN(INDIRECT(DB309)))),1000)</f>
        <v>1000</v>
      </c>
      <c r="EF309" s="23" cm="1">
        <f t="array" aca="1" ref="EF309" ca="1">IFERROR(MAX(ABS(ROW(INDIRECT($J309))-ROW(INDIRECT(DC309))),ABS(COLUMN(INDIRECT($J309))-COLUMN(INDIRECT(DC309)))),1000)</f>
        <v>11</v>
      </c>
      <c r="EG309" s="23" cm="1">
        <f t="array" aca="1" ref="EG309" ca="1">IFERROR(MAX(ABS(ROW(INDIRECT($J309))-ROW(INDIRECT(DD309))),ABS(COLUMN(INDIRECT($J309))-COLUMN(INDIRECT(DD309)))),1000)</f>
        <v>3</v>
      </c>
      <c r="EH309" s="23" cm="1">
        <f t="array" aca="1" ref="EH309" ca="1">IFERROR(MAX(ABS(ROW(INDIRECT($J309))-ROW(INDIRECT(DE309))),ABS(COLUMN(INDIRECT($J309))-COLUMN(INDIRECT(DE309)))),1000)</f>
        <v>12</v>
      </c>
      <c r="EI309" s="23" cm="1">
        <f t="array" aca="1" ref="EI309" ca="1">IFERROR(MAX(ABS(ROW(INDIRECT($J309))-ROW(INDIRECT(DF309))),ABS(COLUMN(INDIRECT($J309))-COLUMN(INDIRECT(DF309)))),1000)</f>
        <v>8</v>
      </c>
      <c r="EJ309" s="23" cm="1">
        <f t="array" aca="1" ref="EJ309" ca="1">IFERROR(MAX(ABS(ROW(INDIRECT($J309))-ROW(INDIRECT(DG309))),ABS(COLUMN(INDIRECT($J309))-COLUMN(INDIRECT(DG309)))),1000)</f>
        <v>10</v>
      </c>
      <c r="EK309" s="23" cm="1">
        <f t="array" aca="1" ref="EK309" ca="1">IFERROR(MAX(ABS(ROW(INDIRECT($J309))-ROW(INDIRECT(DH309))),ABS(COLUMN(INDIRECT($J309))-COLUMN(INDIRECT(DH309)))),1000)</f>
        <v>13</v>
      </c>
      <c r="EL309" s="23" cm="1">
        <f t="array" aca="1" ref="EL309" ca="1">IFERROR(MAX(ABS(ROW(INDIRECT($J309))-ROW(INDIRECT(DI309))),ABS(COLUMN(INDIRECT($J309))-COLUMN(INDIRECT(DI309)))),1000)</f>
        <v>14</v>
      </c>
      <c r="EM309" s="23" cm="1">
        <f t="array" aca="1" ref="EM309" ca="1">IFERROR(MAX(ABS(ROW(INDIRECT($J309))-ROW(INDIRECT(DJ309))),ABS(COLUMN(INDIRECT($J309))-COLUMN(INDIRECT(DJ309)))),1000)</f>
        <v>15</v>
      </c>
      <c r="EN309" s="23" cm="1">
        <f t="array" aca="1" ref="EN309" ca="1">IFERROR(MAX(ABS(ROW(INDIRECT($J309))-ROW(INDIRECT(DK309))),ABS(COLUMN(INDIRECT($J309))-COLUMN(INDIRECT(DK309)))),1000)</f>
        <v>4</v>
      </c>
      <c r="EP309" s="23">
        <f t="shared" ref="EP309:EP327" ca="1" si="62">MIN(DU309:EN309)</f>
        <v>3</v>
      </c>
      <c r="EQ309" s="23">
        <f t="shared" ref="EQ309:EQ327" ca="1" si="63">COUNTIF(DU309:EN309,EP309)</f>
        <v>1</v>
      </c>
      <c r="ER309" s="23">
        <f t="shared" ref="ER309:ER327" ca="1" si="64">_xlfn.XMATCH(EP309,DU309:EN309,0,1)</f>
        <v>13</v>
      </c>
      <c r="ES309" s="23" t="str" cm="1">
        <f t="array" aca="1" ref="ES309" ca="1">INDEX(CR309:DK309,1,ER309)</f>
        <v>C13</v>
      </c>
    </row>
    <row r="310" spans="2:149" ht="22.5" customHeight="1">
      <c r="B310" s="32">
        <f t="shared" ref="B310:B327" si="65">B309+1</f>
        <v>123</v>
      </c>
      <c r="C310" s="32">
        <v>7</v>
      </c>
      <c r="D310" s="30">
        <v>12</v>
      </c>
      <c r="E310" s="34" t="str">
        <f ca="1"/>
        <v>E12</v>
      </c>
      <c r="F310" s="103"/>
      <c r="G310" s="33">
        <v>22</v>
      </c>
      <c r="H310" s="33" t="s">
        <v>282</v>
      </c>
      <c r="I310" s="33">
        <v>25</v>
      </c>
      <c r="J310" s="33" t="s">
        <v>283</v>
      </c>
      <c r="K310" s="33" t="s">
        <v>111</v>
      </c>
      <c r="L310" s="33" t="s">
        <v>192</v>
      </c>
      <c r="M310" s="33" t="s">
        <v>113</v>
      </c>
      <c r="N310" s="33" t="s">
        <v>113</v>
      </c>
      <c r="O310" s="33" t="s">
        <v>192</v>
      </c>
      <c r="P310" s="33" t="s">
        <v>90</v>
      </c>
      <c r="Q310" s="33" t="s">
        <v>59</v>
      </c>
      <c r="R310" s="33" t="s">
        <v>190</v>
      </c>
      <c r="S310" s="33" t="s">
        <v>155</v>
      </c>
      <c r="T310" s="33" t="s">
        <v>190</v>
      </c>
      <c r="U310" s="33" t="s">
        <v>184</v>
      </c>
      <c r="V310" s="33" t="s">
        <v>81</v>
      </c>
      <c r="W310" s="33" t="s">
        <v>90</v>
      </c>
      <c r="X310" s="33" t="s">
        <v>57</v>
      </c>
      <c r="Y310" s="33" t="s">
        <v>52</v>
      </c>
      <c r="Z310" s="33" t="s">
        <v>62</v>
      </c>
      <c r="AA310" s="33" t="s">
        <v>65</v>
      </c>
      <c r="AB310" s="33" t="s">
        <v>62</v>
      </c>
      <c r="AC310" s="33" t="s">
        <v>110</v>
      </c>
      <c r="AD310" s="33" t="s">
        <v>191</v>
      </c>
      <c r="AF310" s="31" t="str" cm="1">
        <f t="array" aca="1" ref="AF310" ca="1">_xlfn.LET(
_xlpm.x, IF(K$303&gt;$G310,"x",IFERROR(SUBSTITUTE(CELL("adres",OFFSET(INDIRECT(K310),,IF(LEFT(K310)="V",-1,1)*($G310-K$303),1,1)),"$",""),"x")),
_xlpm.y, IFERROR(IF(OR(COLUMN(INDIRECT(_xlpm.x))&gt;21, COLUMN(INDIRECT(_xlpm.x)) &lt;2), "x",_xlpm.x),"x"),
_xlpm.y)</f>
        <v>x</v>
      </c>
      <c r="AG310" s="31" t="str" cm="1">
        <f t="array" aca="1" ref="AG310" ca="1">_xlfn.LET(
_xlpm.x, IF(L$303&gt;$G310,"x",IFERROR(SUBSTITUTE(CELL("adres",OFFSET(INDIRECT(L310),,IF(LEFT(L310)="V",-1,1)*($G310-L$303),1,1)),"$",""),"x")),
_xlpm.y, IFERROR(IF(OR(COLUMN(INDIRECT(_xlpm.x))&gt;21, COLUMN(INDIRECT(_xlpm.x)) &lt;2), "x",_xlpm.x),"x"),
_xlpm.y)</f>
        <v>x</v>
      </c>
      <c r="AH310" s="31" t="str" cm="1">
        <f t="array" aca="1" ref="AH310" ca="1">_xlfn.LET(
_xlpm.x, IF(M$303&gt;$G310,"x",IFERROR(SUBSTITUTE(CELL("adres",OFFSET(INDIRECT(M310),,IF(LEFT(M310)="V",-1,1)*($G310-M$303),1,1)),"$",""),"x")),
_xlpm.y, IFERROR(IF(OR(COLUMN(INDIRECT(_xlpm.x))&gt;21, COLUMN(INDIRECT(_xlpm.x)) &lt;2), "x",_xlpm.x),"x"),
_xlpm.y)</f>
        <v>U14</v>
      </c>
      <c r="AI310" s="31" t="str" cm="1">
        <f t="array" aca="1" ref="AI310" ca="1">_xlfn.LET(
_xlpm.x, IF(N$303&gt;$G310,"x",IFERROR(SUBSTITUTE(CELL("adres",OFFSET(INDIRECT(N310),,IF(LEFT(N310)="V",-1,1)*($G310-N$303),1,1)),"$",""),"x")),
_xlpm.y, IFERROR(IF(OR(COLUMN(INDIRECT(_xlpm.x))&gt;21, COLUMN(INDIRECT(_xlpm.x)) &lt;2), "x",_xlpm.x),"x"),
_xlpm.y)</f>
        <v>T14</v>
      </c>
      <c r="AJ310" s="31" t="str" cm="1">
        <f t="array" aca="1" ref="AJ310" ca="1">_xlfn.LET(
_xlpm.x, IF(O$303&gt;$G310,"x",IFERROR(SUBSTITUTE(CELL("adres",OFFSET(INDIRECT(O310),,IF(LEFT(O310)="V",-1,1)*($G310-O$303),1,1)),"$",""),"x")),
_xlpm.y, IFERROR(IF(OR(COLUMN(INDIRECT(_xlpm.x))&gt;21, COLUMN(INDIRECT(_xlpm.x)) &lt;2), "x",_xlpm.x),"x"),
_xlpm.y)</f>
        <v>S23</v>
      </c>
      <c r="AK310" s="31" t="str" cm="1">
        <f t="array" aca="1" ref="AK310" ca="1">_xlfn.LET(
_xlpm.x, IF(P$303&gt;$G310,"x",IFERROR(SUBSTITUTE(CELL("adres",OFFSET(INDIRECT(P310),,IF(LEFT(P310)="V",-1,1)*($G310-P$303),1,1)),"$",""),"x")),
_xlpm.y, IFERROR(IF(OR(COLUMN(INDIRECT(_xlpm.x))&gt;21, COLUMN(INDIRECT(_xlpm.x)) &lt;2), "x",_xlpm.x),"x"),
_xlpm.y)</f>
        <v>E24</v>
      </c>
      <c r="AL310" s="31" t="str" cm="1">
        <f t="array" aca="1" ref="AL310" ca="1">_xlfn.LET(
_xlpm.x, IF(Q$303&gt;$G310,"x",IFERROR(SUBSTITUTE(CELL("adres",OFFSET(INDIRECT(Q310),,IF(LEFT(Q310)="V",-1,1)*($G310-Q$303),1,1)),"$",""),"x")),
_xlpm.y, IFERROR(IF(OR(COLUMN(INDIRECT(_xlpm.x))&gt;21, COLUMN(INDIRECT(_xlpm.x)) &lt;2), "x",_xlpm.x),"x"),
_xlpm.y)</f>
        <v>Q7</v>
      </c>
      <c r="AM310" s="31" t="str" cm="1">
        <f t="array" aca="1" ref="AM310" ca="1">_xlfn.LET(
_xlpm.x, IF(R$303&gt;$G310,"x",IFERROR(SUBSTITUTE(CELL("adres",OFFSET(INDIRECT(R310),,IF(LEFT(R310)="V",-1,1)*($G310-R$303),1,1)),"$",""),"x")),
_xlpm.y, IFERROR(IF(OR(COLUMN(INDIRECT(_xlpm.x))&gt;21, COLUMN(INDIRECT(_xlpm.x)) &lt;2), "x",_xlpm.x),"x"),
_xlpm.y)</f>
        <v>P24</v>
      </c>
      <c r="AN310" s="31" t="str" cm="1">
        <f t="array" aca="1" ref="AN310" ca="1">_xlfn.LET(
_xlpm.x, IF(S$303&gt;$G310,"x",IFERROR(SUBSTITUTE(CELL("adres",OFFSET(INDIRECT(S310),,IF(LEFT(S310)="V",-1,1)*($G310-S$303),1,1)),"$",""),"x")),
_xlpm.y, IFERROR(IF(OR(COLUMN(INDIRECT(_xlpm.x))&gt;21, COLUMN(INDIRECT(_xlpm.x)) &lt;2), "x",_xlpm.x),"x"),
_xlpm.y)</f>
        <v>H20</v>
      </c>
      <c r="AO310" s="31" t="str" cm="1">
        <f t="array" aca="1" ref="AO310" ca="1">_xlfn.LET(
_xlpm.x, IF(T$303&gt;$G310,"x",IFERROR(SUBSTITUTE(CELL("adres",OFFSET(INDIRECT(T310),,IF(LEFT(T310)="V",-1,1)*($G310-T$303),1,1)),"$",""),"x")),
_xlpm.y, IFERROR(IF(OR(COLUMN(INDIRECT(_xlpm.x))&gt;21, COLUMN(INDIRECT(_xlpm.x)) &lt;2), "x",_xlpm.x),"x"),
_xlpm.y)</f>
        <v>N24</v>
      </c>
      <c r="AP310" s="31" t="str" cm="1">
        <f t="array" aca="1" ref="AP310" ca="1">_xlfn.LET(
_xlpm.x, IF(U$303&gt;$G310,"x",IFERROR(SUBSTITUTE(CELL("adres",OFFSET(INDIRECT(U310),,IF(LEFT(U310)="V",-1,1)*($G310-U$303),1,1)),"$",""),"x")),
_xlpm.y, IFERROR(IF(OR(COLUMN(INDIRECT(_xlpm.x))&gt;21, COLUMN(INDIRECT(_xlpm.x)) &lt;2), "x",_xlpm.x),"x"),
_xlpm.y)</f>
        <v>J19</v>
      </c>
      <c r="AQ310" s="31" t="str" cm="1">
        <f t="array" aca="1" ref="AQ310" ca="1">_xlfn.LET(
_xlpm.x, IF(V$303&gt;$G310,"x",IFERROR(SUBSTITUTE(CELL("adres",OFFSET(INDIRECT(V310),,IF(LEFT(V310)="V",-1,1)*($G310-V$303),1,1)),"$",""),"x")),
_xlpm.y, IFERROR(IF(OR(COLUMN(INDIRECT(_xlpm.x))&gt;21, COLUMN(INDIRECT(_xlpm.x)) &lt;2), "x",_xlpm.x),"x"),
_xlpm.y)</f>
        <v>K12</v>
      </c>
      <c r="AR310" s="31" t="str" cm="1">
        <f t="array" aca="1" ref="AR310" ca="1">_xlfn.LET(
_xlpm.x, IF(W$303&gt;$G310,"x",IFERROR(SUBSTITUTE(CELL("adres",OFFSET(INDIRECT(W310),,IF(LEFT(W310)="V",-1,1)*($G310-W$303),1,1)),"$",""),"x")),
_xlpm.y, IFERROR(IF(OR(COLUMN(INDIRECT(_xlpm.x))&gt;21, COLUMN(INDIRECT(_xlpm.x)) &lt;2), "x",_xlpm.x),"x"),
_xlpm.y)</f>
        <v>L24</v>
      </c>
      <c r="AS310" s="31" t="str" cm="1">
        <f t="array" aca="1" ref="AS310" ca="1">_xlfn.LET(
_xlpm.x, IF(X$303&gt;$G310,"x",IFERROR(SUBSTITUTE(CELL("adres",OFFSET(INDIRECT(X310),,IF(LEFT(X310)="V",-1,1)*($G310-X$303),1,1)),"$",""),"x")),
_xlpm.y, IFERROR(IF(OR(COLUMN(INDIRECT(_xlpm.x))&gt;21, COLUMN(INDIRECT(_xlpm.x)) &lt;2), "x",_xlpm.x),"x"),
_xlpm.y)</f>
        <v>J17</v>
      </c>
      <c r="AT310" s="31" t="str" cm="1">
        <f t="array" aca="1" ref="AT310" ca="1">_xlfn.LET(
_xlpm.x, IF(Y$303&gt;$G310,"x",IFERROR(SUBSTITUTE(CELL("adres",OFFSET(INDIRECT(Y310),,IF(LEFT(Y310)="V",-1,1)*($G310-Y$303),1,1)),"$",""),"x")),
_xlpm.y, IFERROR(IF(OR(COLUMN(INDIRECT(_xlpm.x))&gt;21, COLUMN(INDIRECT(_xlpm.x)) &lt;2), "x",_xlpm.x),"x"),
_xlpm.y)</f>
        <v>I25</v>
      </c>
      <c r="AU310" s="31" t="str" cm="1">
        <f t="array" aca="1" ref="AU310" ca="1">_xlfn.LET(
_xlpm.x, IF(Z$303&gt;$G310,"x",IFERROR(SUBSTITUTE(CELL("adres",OFFSET(INDIRECT(Z310),,IF(LEFT(Z310)="V",-1,1)*($G310-Z$303),1,1)),"$",""),"x")),
_xlpm.y, IFERROR(IF(OR(COLUMN(INDIRECT(_xlpm.x))&gt;21, COLUMN(INDIRECT(_xlpm.x)) &lt;2), "x",_xlpm.x),"x"),
_xlpm.y)</f>
        <v>H6</v>
      </c>
      <c r="AV310" s="31" t="str" cm="1">
        <f t="array" aca="1" ref="AV310" ca="1">_xlfn.LET(
_xlpm.x, IF(AA$303&gt;$G310,"x",IFERROR(SUBSTITUTE(CELL("adres",OFFSET(INDIRECT(AA310),,IF(LEFT(AA310)="V",-1,1)*($G310-AA$303),1,1)),"$",""),"x")),
_xlpm.y, IFERROR(IF(OR(COLUMN(INDIRECT(_xlpm.x))&gt;21, COLUMN(INDIRECT(_xlpm.x)) &lt;2), "x",_xlpm.x),"x"),
_xlpm.y)</f>
        <v>G12</v>
      </c>
      <c r="AW310" s="31" t="str" cm="1">
        <f t="array" aca="1" ref="AW310" ca="1">_xlfn.LET(
_xlpm.x, IF(AB$303&gt;$G310,"x",IFERROR(SUBSTITUTE(CELL("adres",OFFSET(INDIRECT(AB310),,IF(LEFT(AB310)="V",-1,1)*($G310-AB$303),1,1)),"$",""),"x")),
_xlpm.y, IFERROR(IF(OR(COLUMN(INDIRECT(_xlpm.x))&gt;21, COLUMN(INDIRECT(_xlpm.x)) &lt;2), "x",_xlpm.x),"x"),
_xlpm.y)</f>
        <v>F6</v>
      </c>
      <c r="AX310" s="31" t="str" cm="1">
        <f t="array" aca="1" ref="AX310" ca="1">_xlfn.LET(
_xlpm.x, IF(AC$303&gt;$G310,"x",IFERROR(SUBSTITUTE(CELL("adres",OFFSET(INDIRECT(AC310),,IF(LEFT(AC310)="V",-1,1)*($G310-AC$303),1,1)),"$",""),"x")),
_xlpm.y, IFERROR(IF(OR(COLUMN(INDIRECT(_xlpm.x))&gt;21, COLUMN(INDIRECT(_xlpm.x)) &lt;2), "x",_xlpm.x),"x"),
_xlpm.y)</f>
        <v>E11</v>
      </c>
      <c r="AY310" s="31" t="str" cm="1">
        <f t="array" aca="1" ref="AY310" ca="1">_xlfn.LET(
_xlpm.x, IF(AD$303&gt;$G310,"x",IFERROR(SUBSTITUTE(CELL("adres",OFFSET(INDIRECT(AD310),,IF(LEFT(AD310)="V",-1,1)*($G310-AD$303),1,1)),"$",""),"x")),
_xlpm.y, IFERROR(IF(OR(COLUMN(INDIRECT(_xlpm.x))&gt;21, COLUMN(INDIRECT(_xlpm.x)) &lt;2), "x",_xlpm.x),"x"),
_xlpm.y)</f>
        <v>S7</v>
      </c>
      <c r="BB310" s="23" t="str" cm="1">
        <f t="array" aca="1" ref="BB310" ca="1">IFERROR(COLUMN(INDIRECT(AF310)),"x")</f>
        <v>x</v>
      </c>
      <c r="BC310" s="23" t="str" cm="1">
        <f t="array" aca="1" ref="BC310" ca="1">IFERROR(COLUMN(INDIRECT(AG310)),"x")</f>
        <v>x</v>
      </c>
      <c r="BD310" s="23" cm="1">
        <f t="array" aca="1" ref="BD310" ca="1">IFERROR(COLUMN(INDIRECT(AH310)),"x")</f>
        <v>21</v>
      </c>
      <c r="BE310" s="23" cm="1">
        <f t="array" aca="1" ref="BE310" ca="1">IFERROR(COLUMN(INDIRECT(AI310)),"x")</f>
        <v>20</v>
      </c>
      <c r="BF310" s="23" cm="1">
        <f t="array" aca="1" ref="BF310" ca="1">IFERROR(COLUMN(INDIRECT(AJ310)),"x")</f>
        <v>19</v>
      </c>
      <c r="BG310" s="23" cm="1">
        <f t="array" aca="1" ref="BG310" ca="1">IFERROR(COLUMN(INDIRECT(AK310)),"x")</f>
        <v>5</v>
      </c>
      <c r="BH310" s="23" cm="1">
        <f t="array" aca="1" ref="BH310" ca="1">IFERROR(COLUMN(INDIRECT(AL310)),"x")</f>
        <v>17</v>
      </c>
      <c r="BI310" s="23" cm="1">
        <f t="array" aca="1" ref="BI310" ca="1">IFERROR(COLUMN(INDIRECT(AM310)),"x")</f>
        <v>16</v>
      </c>
      <c r="BJ310" s="23" cm="1">
        <f t="array" aca="1" ref="BJ310" ca="1">IFERROR(COLUMN(INDIRECT(AN310)),"x")</f>
        <v>8</v>
      </c>
      <c r="BK310" s="23" cm="1">
        <f t="array" aca="1" ref="BK310" ca="1">IFERROR(COLUMN(INDIRECT(AO310)),"x")</f>
        <v>14</v>
      </c>
      <c r="BL310" s="23" cm="1">
        <f t="array" aca="1" ref="BL310" ca="1">IFERROR(COLUMN(INDIRECT(AP310)),"x")</f>
        <v>10</v>
      </c>
      <c r="BM310" s="23" cm="1">
        <f t="array" aca="1" ref="BM310" ca="1">IFERROR(COLUMN(INDIRECT(AQ310)),"x")</f>
        <v>11</v>
      </c>
      <c r="BN310" s="23" cm="1">
        <f t="array" aca="1" ref="BN310" ca="1">IFERROR(COLUMN(INDIRECT(AR310)),"x")</f>
        <v>12</v>
      </c>
      <c r="BO310" s="23" cm="1">
        <f t="array" aca="1" ref="BO310" ca="1">IFERROR(COLUMN(INDIRECT(AS310)),"x")</f>
        <v>10</v>
      </c>
      <c r="BP310" s="23" cm="1">
        <f t="array" aca="1" ref="BP310" ca="1">IFERROR(COLUMN(INDIRECT(AT310)),"x")</f>
        <v>9</v>
      </c>
      <c r="BQ310" s="23" cm="1">
        <f t="array" aca="1" ref="BQ310" ca="1">IFERROR(COLUMN(INDIRECT(AU310)),"x")</f>
        <v>8</v>
      </c>
      <c r="BR310" s="23" cm="1">
        <f t="array" aca="1" ref="BR310" ca="1">IFERROR(COLUMN(INDIRECT(AV310)),"x")</f>
        <v>7</v>
      </c>
      <c r="BS310" s="23" cm="1">
        <f t="array" aca="1" ref="BS310" ca="1">IFERROR(COLUMN(INDIRECT(AW310)),"x")</f>
        <v>6</v>
      </c>
      <c r="BT310" s="23" cm="1">
        <f t="array" aca="1" ref="BT310" ca="1">IFERROR(COLUMN(INDIRECT(AX310)),"x")</f>
        <v>5</v>
      </c>
      <c r="BU310" s="23" cm="1">
        <f t="array" aca="1" ref="BU310" ca="1">IFERROR(COLUMN(INDIRECT(AY310)),"x")</f>
        <v>19</v>
      </c>
      <c r="BW310" s="23" t="str">
        <f t="shared" ca="1" si="40"/>
        <v>x</v>
      </c>
      <c r="BX310" s="23" t="str">
        <f t="shared" ca="1" si="41"/>
        <v>x</v>
      </c>
      <c r="BY310" s="23">
        <f t="shared" ca="1" si="42"/>
        <v>1</v>
      </c>
      <c r="BZ310" s="23">
        <f t="shared" ca="1" si="43"/>
        <v>1</v>
      </c>
      <c r="CA310" s="23">
        <f t="shared" ca="1" si="44"/>
        <v>1</v>
      </c>
      <c r="CB310" s="23">
        <f t="shared" ca="1" si="45"/>
        <v>-1</v>
      </c>
      <c r="CC310" s="23">
        <f t="shared" ca="1" si="46"/>
        <v>1</v>
      </c>
      <c r="CD310" s="23">
        <f t="shared" ca="1" si="47"/>
        <v>1</v>
      </c>
      <c r="CE310" s="23">
        <f t="shared" ca="1" si="48"/>
        <v>-1</v>
      </c>
      <c r="CF310" s="23">
        <f t="shared" ca="1" si="49"/>
        <v>1</v>
      </c>
      <c r="CG310" s="23">
        <f t="shared" ca="1" si="50"/>
        <v>-1</v>
      </c>
      <c r="CH310" s="23">
        <f t="shared" ca="1" si="51"/>
        <v>-1</v>
      </c>
      <c r="CI310" s="23">
        <f t="shared" ca="1" si="52"/>
        <v>1</v>
      </c>
      <c r="CJ310" s="23">
        <f t="shared" ca="1" si="53"/>
        <v>-1</v>
      </c>
      <c r="CK310" s="23">
        <f t="shared" ca="1" si="54"/>
        <v>-1</v>
      </c>
      <c r="CL310" s="23">
        <f t="shared" ca="1" si="55"/>
        <v>-1</v>
      </c>
      <c r="CM310" s="23">
        <f t="shared" ca="1" si="56"/>
        <v>-1</v>
      </c>
      <c r="CN310" s="23">
        <f t="shared" ca="1" si="57"/>
        <v>-1</v>
      </c>
      <c r="CO310" s="23">
        <f t="shared" ca="1" si="58"/>
        <v>-1</v>
      </c>
      <c r="CP310" s="23">
        <f t="shared" ca="1" si="59"/>
        <v>1</v>
      </c>
      <c r="CQ310" s="75"/>
      <c r="CR310" s="23" t="str" cm="1">
        <f t="array" aca="1" ref="CR310" ca="1">_xlfn.LET(
_xlpm.x, IFERROR(SUBSTITUTE(CELL("adres",OFFSET(INDIRECT(AF310),,BW310*($I310-$G310)*2,1,1)),"$",""),"x"),
_xlpm.y, IFERROR(IF(OR(COLUMN(INDIRECT(_xlpm.x))&gt;21, COLUMN(INDIRECT(_xlpm.x))&lt;2),"x",_xlpm.x), "x"),
_xlpm.y)</f>
        <v>x</v>
      </c>
      <c r="CS310" s="23" t="str" cm="1">
        <f t="array" aca="1" ref="CS310" ca="1">_xlfn.LET(
_xlpm.x, IFERROR(SUBSTITUTE(CELL("adres",OFFSET(INDIRECT(AG310),,BX310*($I310-$G310)*2,1,1)),"$",""),"x"),
_xlpm.y, IFERROR(IF(OR(COLUMN(INDIRECT(_xlpm.x))&gt;21, COLUMN(INDIRECT(_xlpm.x))&lt;2),"x",_xlpm.x), "x"),
_xlpm.y)</f>
        <v>x</v>
      </c>
      <c r="CT310" s="23" t="str" cm="1">
        <f t="array" aca="1" ref="CT310" ca="1">_xlfn.LET(
_xlpm.x, IFERROR(SUBSTITUTE(CELL("adres",OFFSET(INDIRECT(AH310),,BY310*($I310-$G310)*2,1,1)),"$",""),"x"),
_xlpm.y, IFERROR(IF(OR(COLUMN(INDIRECT(_xlpm.x))&gt;21, COLUMN(INDIRECT(_xlpm.x))&lt;2),"x",_xlpm.x), "x"),
_xlpm.y)</f>
        <v>x</v>
      </c>
      <c r="CU310" s="23" t="str" cm="1">
        <f t="array" aca="1" ref="CU310" ca="1">_xlfn.LET(
_xlpm.x, IFERROR(SUBSTITUTE(CELL("adres",OFFSET(INDIRECT(AI310),,BZ310*($I310-$G310)*2,1,1)),"$",""),"x"),
_xlpm.y, IFERROR(IF(OR(COLUMN(INDIRECT(_xlpm.x))&gt;21, COLUMN(INDIRECT(_xlpm.x))&lt;2),"x",_xlpm.x), "x"),
_xlpm.y)</f>
        <v>x</v>
      </c>
      <c r="CV310" s="23" t="str" cm="1">
        <f t="array" aca="1" ref="CV310" ca="1">_xlfn.LET(
_xlpm.x, IFERROR(SUBSTITUTE(CELL("adres",OFFSET(INDIRECT(AJ310),,CA310*($I310-$G310)*2,1,1)),"$",""),"x"),
_xlpm.y, IFERROR(IF(OR(COLUMN(INDIRECT(_xlpm.x))&gt;21, COLUMN(INDIRECT(_xlpm.x))&lt;2),"x",_xlpm.x), "x"),
_xlpm.y)</f>
        <v>x</v>
      </c>
      <c r="CW310" s="23" t="str" cm="1">
        <f t="array" aca="1" ref="CW310" ca="1">_xlfn.LET(
_xlpm.x, IFERROR(SUBSTITUTE(CELL("adres",OFFSET(INDIRECT(AK310),,CB310*($I310-$G310)*2,1,1)),"$",""),"x"),
_xlpm.y, IFERROR(IF(OR(COLUMN(INDIRECT(_xlpm.x))&gt;21, COLUMN(INDIRECT(_xlpm.x))&lt;2),"x",_xlpm.x), "x"),
_xlpm.y)</f>
        <v>x</v>
      </c>
      <c r="CX310" s="23" t="str" cm="1">
        <f t="array" aca="1" ref="CX310" ca="1">_xlfn.LET(
_xlpm.x, IFERROR(SUBSTITUTE(CELL("adres",OFFSET(INDIRECT(AL310),,CC310*($I310-$G310)*2,1,1)),"$",""),"x"),
_xlpm.y, IFERROR(IF(OR(COLUMN(INDIRECT(_xlpm.x))&gt;21, COLUMN(INDIRECT(_xlpm.x))&lt;2),"x",_xlpm.x), "x"),
_xlpm.y)</f>
        <v>x</v>
      </c>
      <c r="CY310" s="23" t="str" cm="1">
        <f t="array" aca="1" ref="CY310" ca="1">_xlfn.LET(
_xlpm.x, IFERROR(SUBSTITUTE(CELL("adres",OFFSET(INDIRECT(AM310),,CD310*($I310-$G310)*2,1,1)),"$",""),"x"),
_xlpm.y, IFERROR(IF(OR(COLUMN(INDIRECT(_xlpm.x))&gt;21, COLUMN(INDIRECT(_xlpm.x))&lt;2),"x",_xlpm.x), "x"),
_xlpm.y)</f>
        <v>x</v>
      </c>
      <c r="CZ310" s="23" t="str" cm="1">
        <f t="array" aca="1" ref="CZ310" ca="1">_xlfn.LET(
_xlpm.x, IFERROR(SUBSTITUTE(CELL("adres",OFFSET(INDIRECT(AN310),,CE310*($I310-$G310)*2,1,1)),"$",""),"x"),
_xlpm.y, IFERROR(IF(OR(COLUMN(INDIRECT(_xlpm.x))&gt;21, COLUMN(INDIRECT(_xlpm.x))&lt;2),"x",_xlpm.x), "x"),
_xlpm.y)</f>
        <v>B20</v>
      </c>
      <c r="DA310" s="23" t="str" cm="1">
        <f t="array" aca="1" ref="DA310" ca="1">_xlfn.LET(
_xlpm.x, IFERROR(SUBSTITUTE(CELL("adres",OFFSET(INDIRECT(AO310),,CF310*($I310-$G310)*2,1,1)),"$",""),"x"),
_xlpm.y, IFERROR(IF(OR(COLUMN(INDIRECT(_xlpm.x))&gt;21, COLUMN(INDIRECT(_xlpm.x))&lt;2),"x",_xlpm.x), "x"),
_xlpm.y)</f>
        <v>T24</v>
      </c>
      <c r="DB310" s="23" t="str" cm="1">
        <f t="array" aca="1" ref="DB310" ca="1">_xlfn.LET(
_xlpm.x, IFERROR(SUBSTITUTE(CELL("adres",OFFSET(INDIRECT(AP310),,CG310*($I310-$G310)*2,1,1)),"$",""),"x"),
_xlpm.y, IFERROR(IF(OR(COLUMN(INDIRECT(_xlpm.x))&gt;21, COLUMN(INDIRECT(_xlpm.x))&lt;2),"x",_xlpm.x), "x"),
_xlpm.y)</f>
        <v>D19</v>
      </c>
      <c r="DC310" s="23" t="str" cm="1">
        <f t="array" aca="1" ref="DC310" ca="1">_xlfn.LET(
_xlpm.x, IFERROR(SUBSTITUTE(CELL("adres",OFFSET(INDIRECT(AQ310),,CH310*($I310-$G310)*2,1,1)),"$",""),"x"),
_xlpm.y, IFERROR(IF(OR(COLUMN(INDIRECT(_xlpm.x))&gt;21, COLUMN(INDIRECT(_xlpm.x))&lt;2),"x",_xlpm.x), "x"),
_xlpm.y)</f>
        <v>E12</v>
      </c>
      <c r="DD310" s="23" t="str" cm="1">
        <f t="array" aca="1" ref="DD310" ca="1">_xlfn.LET(
_xlpm.x, IFERROR(SUBSTITUTE(CELL("adres",OFFSET(INDIRECT(AR310),,CI310*($I310-$G310)*2,1,1)),"$",""),"x"),
_xlpm.y, IFERROR(IF(OR(COLUMN(INDIRECT(_xlpm.x))&gt;21, COLUMN(INDIRECT(_xlpm.x))&lt;2),"x",_xlpm.x), "x"),
_xlpm.y)</f>
        <v>R24</v>
      </c>
      <c r="DE310" s="23" t="str" cm="1">
        <f t="array" aca="1" ref="DE310" ca="1">_xlfn.LET(
_xlpm.x, IFERROR(SUBSTITUTE(CELL("adres",OFFSET(INDIRECT(AS310),,CJ310*($I310-$G310)*2,1,1)),"$",""),"x"),
_xlpm.y, IFERROR(IF(OR(COLUMN(INDIRECT(_xlpm.x))&gt;21, COLUMN(INDIRECT(_xlpm.x))&lt;2),"x",_xlpm.x), "x"),
_xlpm.y)</f>
        <v>D17</v>
      </c>
      <c r="DF310" s="23" t="str" cm="1">
        <f t="array" aca="1" ref="DF310" ca="1">_xlfn.LET(
_xlpm.x, IFERROR(SUBSTITUTE(CELL("adres",OFFSET(INDIRECT(AT310),,CK310*($I310-$G310)*2,1,1)),"$",""),"x"),
_xlpm.y, IFERROR(IF(OR(COLUMN(INDIRECT(_xlpm.x))&gt;21, COLUMN(INDIRECT(_xlpm.x))&lt;2),"x",_xlpm.x), "x"),
_xlpm.y)</f>
        <v>C25</v>
      </c>
      <c r="DG310" s="23" t="str" cm="1">
        <f t="array" aca="1" ref="DG310" ca="1">_xlfn.LET(
_xlpm.x, IFERROR(SUBSTITUTE(CELL("adres",OFFSET(INDIRECT(AU310),,CL310*($I310-$G310)*2,1,1)),"$",""),"x"),
_xlpm.y, IFERROR(IF(OR(COLUMN(INDIRECT(_xlpm.x))&gt;21, COLUMN(INDIRECT(_xlpm.x))&lt;2),"x",_xlpm.x), "x"),
_xlpm.y)</f>
        <v>B6</v>
      </c>
      <c r="DH310" s="23" t="str" cm="1">
        <f t="array" aca="1" ref="DH310" ca="1">_xlfn.LET(
_xlpm.x, IFERROR(SUBSTITUTE(CELL("adres",OFFSET(INDIRECT(AV310),,CM310*($I310-$G310)*2,1,1)),"$",""),"x"),
_xlpm.y, IFERROR(IF(OR(COLUMN(INDIRECT(_xlpm.x))&gt;21, COLUMN(INDIRECT(_xlpm.x))&lt;2),"x",_xlpm.x), "x"),
_xlpm.y)</f>
        <v>x</v>
      </c>
      <c r="DI310" s="23" t="str" cm="1">
        <f t="array" aca="1" ref="DI310" ca="1">_xlfn.LET(
_xlpm.x, IFERROR(SUBSTITUTE(CELL("adres",OFFSET(INDIRECT(AW310),,CN310*($I310-$G310)*2,1,1)),"$",""),"x"),
_xlpm.y, IFERROR(IF(OR(COLUMN(INDIRECT(_xlpm.x))&gt;21, COLUMN(INDIRECT(_xlpm.x))&lt;2),"x",_xlpm.x), "x"),
_xlpm.y)</f>
        <v>x</v>
      </c>
      <c r="DJ310" s="23" t="str" cm="1">
        <f t="array" aca="1" ref="DJ310" ca="1">_xlfn.LET(
_xlpm.x, IFERROR(SUBSTITUTE(CELL("adres",OFFSET(INDIRECT(AX310),,CO310*($I310-$G310)*2,1,1)),"$",""),"x"),
_xlpm.y, IFERROR(IF(OR(COLUMN(INDIRECT(_xlpm.x))&gt;21, COLUMN(INDIRECT(_xlpm.x))&lt;2),"x",_xlpm.x), "x"),
_xlpm.y)</f>
        <v>x</v>
      </c>
      <c r="DK310" s="23" t="str" cm="1">
        <f t="array" aca="1" ref="DK310" ca="1">_xlfn.LET(
_xlpm.x, IFERROR(SUBSTITUTE(CELL("adres",OFFSET(INDIRECT(AY310),,CP310*($I310-$G310)*2,1,1)),"$",""),"x"),
_xlpm.y, IFERROR(IF(OR(COLUMN(INDIRECT(_xlpm.x))&gt;21, COLUMN(INDIRECT(_xlpm.x))&lt;2),"x",_xlpm.x), "x"),
_xlpm.y)</f>
        <v>x</v>
      </c>
      <c r="DM310" s="23" t="e" cm="1">
        <f t="array" aca="1" ref="DM310" ca="1">ROW(INDIRECT(CR310))</f>
        <v>#REF!</v>
      </c>
      <c r="DN310" s="23" cm="1">
        <f t="array" aca="1" ref="DN310" ca="1">ROW(INDIRECT(J310))</f>
        <v>8</v>
      </c>
      <c r="DO310" s="23" t="e">
        <f t="shared" ca="1" si="60"/>
        <v>#REF!</v>
      </c>
      <c r="DP310" s="23" t="e" cm="1">
        <f t="array" aca="1" ref="DP310" ca="1">COLUMN(INDIRECT(CR310))</f>
        <v>#REF!</v>
      </c>
      <c r="DQ310" s="23" cm="1">
        <f t="array" aca="1" ref="DQ310" ca="1">COLUMN(INDIRECT(J310))</f>
        <v>12</v>
      </c>
      <c r="DR310" s="23" t="e">
        <f t="shared" ca="1" si="61"/>
        <v>#REF!</v>
      </c>
      <c r="DS310" s="23">
        <f t="shared" ca="1" si="39"/>
        <v>1000</v>
      </c>
      <c r="DU310" s="23" cm="1">
        <f t="array" aca="1" ref="DU310" ca="1">IFERROR(MAX(ABS(ROW(INDIRECT($J310))-ROW(INDIRECT(CR310))),ABS(COLUMN(INDIRECT($J310))-COLUMN(INDIRECT(CR310)))),1000)</f>
        <v>1000</v>
      </c>
      <c r="DV310" s="23" cm="1">
        <f t="array" aca="1" ref="DV310" ca="1">IFERROR(MAX(ABS(ROW(INDIRECT($J310))-ROW(INDIRECT(CS310))),ABS(COLUMN(INDIRECT($J310))-COLUMN(INDIRECT(CS310)))),1000)</f>
        <v>1000</v>
      </c>
      <c r="DW310" s="23" cm="1">
        <f t="array" aca="1" ref="DW310" ca="1">IFERROR(MAX(ABS(ROW(INDIRECT($J310))-ROW(INDIRECT(CT310))),ABS(COLUMN(INDIRECT($J310))-COLUMN(INDIRECT(CT310)))),1000)</f>
        <v>1000</v>
      </c>
      <c r="DX310" s="23" cm="1">
        <f t="array" aca="1" ref="DX310" ca="1">IFERROR(MAX(ABS(ROW(INDIRECT($J310))-ROW(INDIRECT(CU310))),ABS(COLUMN(INDIRECT($J310))-COLUMN(INDIRECT(CU310)))),1000)</f>
        <v>1000</v>
      </c>
      <c r="DY310" s="23" cm="1">
        <f t="array" aca="1" ref="DY310" ca="1">IFERROR(MAX(ABS(ROW(INDIRECT($J310))-ROW(INDIRECT(CV310))),ABS(COLUMN(INDIRECT($J310))-COLUMN(INDIRECT(CV310)))),1000)</f>
        <v>1000</v>
      </c>
      <c r="DZ310" s="23" cm="1">
        <f t="array" aca="1" ref="DZ310" ca="1">IFERROR(MAX(ABS(ROW(INDIRECT($J310))-ROW(INDIRECT(CW310))),ABS(COLUMN(INDIRECT($J310))-COLUMN(INDIRECT(CW310)))),1000)</f>
        <v>1000</v>
      </c>
      <c r="EA310" s="23" cm="1">
        <f t="array" aca="1" ref="EA310" ca="1">IFERROR(MAX(ABS(ROW(INDIRECT($J310))-ROW(INDIRECT(CX310))),ABS(COLUMN(INDIRECT($J310))-COLUMN(INDIRECT(CX310)))),1000)</f>
        <v>1000</v>
      </c>
      <c r="EB310" s="23" cm="1">
        <f t="array" aca="1" ref="EB310" ca="1">IFERROR(MAX(ABS(ROW(INDIRECT($J310))-ROW(INDIRECT(CY310))),ABS(COLUMN(INDIRECT($J310))-COLUMN(INDIRECT(CY310)))),1000)</f>
        <v>1000</v>
      </c>
      <c r="EC310" s="23" cm="1">
        <f t="array" aca="1" ref="EC310" ca="1">IFERROR(MAX(ABS(ROW(INDIRECT($J310))-ROW(INDIRECT(CZ310))),ABS(COLUMN(INDIRECT($J310))-COLUMN(INDIRECT(CZ310)))),1000)</f>
        <v>12</v>
      </c>
      <c r="ED310" s="23" cm="1">
        <f t="array" aca="1" ref="ED310" ca="1">IFERROR(MAX(ABS(ROW(INDIRECT($J310))-ROW(INDIRECT(DA310))),ABS(COLUMN(INDIRECT($J310))-COLUMN(INDIRECT(DA310)))),1000)</f>
        <v>16</v>
      </c>
      <c r="EE310" s="23" cm="1">
        <f t="array" aca="1" ref="EE310" ca="1">IFERROR(MAX(ABS(ROW(INDIRECT($J310))-ROW(INDIRECT(DB310))),ABS(COLUMN(INDIRECT($J310))-COLUMN(INDIRECT(DB310)))),1000)</f>
        <v>11</v>
      </c>
      <c r="EF310" s="23" cm="1">
        <f t="array" aca="1" ref="EF310" ca="1">IFERROR(MAX(ABS(ROW(INDIRECT($J310))-ROW(INDIRECT(DC310))),ABS(COLUMN(INDIRECT($J310))-COLUMN(INDIRECT(DC310)))),1000)</f>
        <v>7</v>
      </c>
      <c r="EG310" s="23" cm="1">
        <f t="array" aca="1" ref="EG310" ca="1">IFERROR(MAX(ABS(ROW(INDIRECT($J310))-ROW(INDIRECT(DD310))),ABS(COLUMN(INDIRECT($J310))-COLUMN(INDIRECT(DD310)))),1000)</f>
        <v>16</v>
      </c>
      <c r="EH310" s="23" cm="1">
        <f t="array" aca="1" ref="EH310" ca="1">IFERROR(MAX(ABS(ROW(INDIRECT($J310))-ROW(INDIRECT(DE310))),ABS(COLUMN(INDIRECT($J310))-COLUMN(INDIRECT(DE310)))),1000)</f>
        <v>9</v>
      </c>
      <c r="EI310" s="23" cm="1">
        <f t="array" aca="1" ref="EI310" ca="1">IFERROR(MAX(ABS(ROW(INDIRECT($J310))-ROW(INDIRECT(DF310))),ABS(COLUMN(INDIRECT($J310))-COLUMN(INDIRECT(DF310)))),1000)</f>
        <v>17</v>
      </c>
      <c r="EJ310" s="23" cm="1">
        <f t="array" aca="1" ref="EJ310" ca="1">IFERROR(MAX(ABS(ROW(INDIRECT($J310))-ROW(INDIRECT(DG310))),ABS(COLUMN(INDIRECT($J310))-COLUMN(INDIRECT(DG310)))),1000)</f>
        <v>10</v>
      </c>
      <c r="EK310" s="23" cm="1">
        <f t="array" aca="1" ref="EK310" ca="1">IFERROR(MAX(ABS(ROW(INDIRECT($J310))-ROW(INDIRECT(DH310))),ABS(COLUMN(INDIRECT($J310))-COLUMN(INDIRECT(DH310)))),1000)</f>
        <v>1000</v>
      </c>
      <c r="EL310" s="23" cm="1">
        <f t="array" aca="1" ref="EL310" ca="1">IFERROR(MAX(ABS(ROW(INDIRECT($J310))-ROW(INDIRECT(DI310))),ABS(COLUMN(INDIRECT($J310))-COLUMN(INDIRECT(DI310)))),1000)</f>
        <v>1000</v>
      </c>
      <c r="EM310" s="23" cm="1">
        <f t="array" aca="1" ref="EM310" ca="1">IFERROR(MAX(ABS(ROW(INDIRECT($J310))-ROW(INDIRECT(DJ310))),ABS(COLUMN(INDIRECT($J310))-COLUMN(INDIRECT(DJ310)))),1000)</f>
        <v>1000</v>
      </c>
      <c r="EN310" s="23" cm="1">
        <f t="array" aca="1" ref="EN310" ca="1">IFERROR(MAX(ABS(ROW(INDIRECT($J310))-ROW(INDIRECT(DK310))),ABS(COLUMN(INDIRECT($J310))-COLUMN(INDIRECT(DK310)))),1000)</f>
        <v>1000</v>
      </c>
      <c r="EP310" s="23">
        <f t="shared" ca="1" si="62"/>
        <v>7</v>
      </c>
      <c r="EQ310" s="23">
        <f t="shared" ca="1" si="63"/>
        <v>1</v>
      </c>
      <c r="ER310" s="23">
        <f t="shared" ca="1" si="64"/>
        <v>12</v>
      </c>
      <c r="ES310" s="23" t="str" cm="1">
        <f t="array" aca="1" ref="ES310" ca="1">INDEX(CR310:DK310,1,ER310)</f>
        <v>E12</v>
      </c>
    </row>
    <row r="311" spans="2:149" ht="22.5" customHeight="1">
      <c r="B311" s="32">
        <f t="shared" si="65"/>
        <v>124</v>
      </c>
      <c r="C311" s="32">
        <v>7</v>
      </c>
      <c r="D311" s="30">
        <v>12</v>
      </c>
      <c r="E311" s="34" t="str">
        <f ca="1"/>
        <v>P26</v>
      </c>
      <c r="F311" s="103"/>
      <c r="G311" s="33">
        <v>29</v>
      </c>
      <c r="H311" s="33" t="s">
        <v>284</v>
      </c>
      <c r="I311" s="33">
        <v>31</v>
      </c>
      <c r="J311" s="33" t="s">
        <v>255</v>
      </c>
      <c r="K311" s="33" t="s">
        <v>89</v>
      </c>
      <c r="L311" s="33" t="s">
        <v>57</v>
      </c>
      <c r="M311" s="33" t="s">
        <v>190</v>
      </c>
      <c r="N311" s="33" t="s">
        <v>54</v>
      </c>
      <c r="O311" s="33" t="s">
        <v>86</v>
      </c>
      <c r="P311" s="33" t="s">
        <v>81</v>
      </c>
      <c r="Q311" s="33" t="s">
        <v>179</v>
      </c>
      <c r="R311" s="33" t="s">
        <v>56</v>
      </c>
      <c r="S311" s="33" t="s">
        <v>186</v>
      </c>
      <c r="T311" s="33" t="s">
        <v>88</v>
      </c>
      <c r="U311" s="33" t="s">
        <v>82</v>
      </c>
      <c r="V311" s="33" t="s">
        <v>81</v>
      </c>
      <c r="W311" s="33" t="s">
        <v>58</v>
      </c>
      <c r="X311" s="33" t="s">
        <v>88</v>
      </c>
      <c r="Y311" s="33" t="s">
        <v>63</v>
      </c>
      <c r="Z311" s="33" t="s">
        <v>181</v>
      </c>
      <c r="AA311" s="33" t="s">
        <v>181</v>
      </c>
      <c r="AB311" s="33" t="s">
        <v>186</v>
      </c>
      <c r="AC311" s="33" t="s">
        <v>88</v>
      </c>
      <c r="AD311" s="33" t="s">
        <v>84</v>
      </c>
      <c r="AF311" s="31" t="str" cm="1">
        <f t="array" aca="1" ref="AF311" ca="1">_xlfn.LET(
_xlpm.x, IF(K$303&gt;$G311,"x",IFERROR(SUBSTITUTE(CELL("adres",OFFSET(INDIRECT(K311),,IF(LEFT(K311)="V",-1,1)*($G311-K$303),1,1)),"$",""),"x")),
_xlpm.y, IFERROR(IF(OR(COLUMN(INDIRECT(_xlpm.x))&gt;21, COLUMN(INDIRECT(_xlpm.x)) &lt;2), "x",_xlpm.x),"x"),
_xlpm.y)</f>
        <v>x</v>
      </c>
      <c r="AG311" s="31" t="str" cm="1">
        <f t="array" aca="1" ref="AG311" ca="1">_xlfn.LET(
_xlpm.x, IF(L$303&gt;$G311,"x",IFERROR(SUBSTITUTE(CELL("adres",OFFSET(INDIRECT(L311),,IF(LEFT(L311)="V",-1,1)*($G311-L$303),1,1)),"$",""),"x")),
_xlpm.y, IFERROR(IF(OR(COLUMN(INDIRECT(_xlpm.x))&gt;21, COLUMN(INDIRECT(_xlpm.x)) &lt;2), "x",_xlpm.x),"x"),
_xlpm.y)</f>
        <v>x</v>
      </c>
      <c r="AH311" s="31" t="str" cm="1">
        <f t="array" aca="1" ref="AH311" ca="1">_xlfn.LET(
_xlpm.x, IF(M$303&gt;$G311,"x",IFERROR(SUBSTITUTE(CELL("adres",OFFSET(INDIRECT(M311),,IF(LEFT(M311)="V",-1,1)*($G311-M$303),1,1)),"$",""),"x")),
_xlpm.y, IFERROR(IF(OR(COLUMN(INDIRECT(_xlpm.x))&gt;21, COLUMN(INDIRECT(_xlpm.x)) &lt;2), "x",_xlpm.x),"x"),
_xlpm.y)</f>
        <v>x</v>
      </c>
      <c r="AI311" s="31" t="str" cm="1">
        <f t="array" aca="1" ref="AI311" ca="1">_xlfn.LET(
_xlpm.x, IF(N$303&gt;$G311,"x",IFERROR(SUBSTITUTE(CELL("adres",OFFSET(INDIRECT(N311),,IF(LEFT(N311)="V",-1,1)*($G311-N$303),1,1)),"$",""),"x")),
_xlpm.y, IFERROR(IF(OR(COLUMN(INDIRECT(_xlpm.x))&gt;21, COLUMN(INDIRECT(_xlpm.x)) &lt;2), "x",_xlpm.x),"x"),
_xlpm.y)</f>
        <v>x</v>
      </c>
      <c r="AJ311" s="31" t="str" cm="1">
        <f t="array" aca="1" ref="AJ311" ca="1">_xlfn.LET(
_xlpm.x, IF(O$303&gt;$G311,"x",IFERROR(SUBSTITUTE(CELL("adres",OFFSET(INDIRECT(O311),,IF(LEFT(O311)="V",-1,1)*($G311-O$303),1,1)),"$",""),"x")),
_xlpm.y, IFERROR(IF(OR(COLUMN(INDIRECT(_xlpm.x))&gt;21, COLUMN(INDIRECT(_xlpm.x)) &lt;2), "x",_xlpm.x),"x"),
_xlpm.y)</f>
        <v>x</v>
      </c>
      <c r="AK311" s="31" t="str" cm="1">
        <f t="array" aca="1" ref="AK311" ca="1">_xlfn.LET(
_xlpm.x, IF(P$303&gt;$G311,"x",IFERROR(SUBSTITUTE(CELL("adres",OFFSET(INDIRECT(P311),,IF(LEFT(P311)="V",-1,1)*($G311-P$303),1,1)),"$",""),"x")),
_xlpm.y, IFERROR(IF(OR(COLUMN(INDIRECT(_xlpm.x))&gt;21, COLUMN(INDIRECT(_xlpm.x)) &lt;2), "x",_xlpm.x),"x"),
_xlpm.y)</f>
        <v>x</v>
      </c>
      <c r="AL311" s="31" t="str" cm="1">
        <f t="array" aca="1" ref="AL311" ca="1">_xlfn.LET(
_xlpm.x, IF(Q$303&gt;$G311,"x",IFERROR(SUBSTITUTE(CELL("adres",OFFSET(INDIRECT(Q311),,IF(LEFT(Q311)="V",-1,1)*($G311-Q$303),1,1)),"$",""),"x")),
_xlpm.y, IFERROR(IF(OR(COLUMN(INDIRECT(_xlpm.x))&gt;21, COLUMN(INDIRECT(_xlpm.x)) &lt;2), "x",_xlpm.x),"x"),
_xlpm.y)</f>
        <v>x</v>
      </c>
      <c r="AM311" s="31" t="str" cm="1">
        <f t="array" aca="1" ref="AM311" ca="1">_xlfn.LET(
_xlpm.x, IF(R$303&gt;$G311,"x",IFERROR(SUBSTITUTE(CELL("adres",OFFSET(INDIRECT(R311),,IF(LEFT(R311)="V",-1,1)*($G311-R$303),1,1)),"$",""),"x")),
_xlpm.y, IFERROR(IF(OR(COLUMN(INDIRECT(_xlpm.x))&gt;21, COLUMN(INDIRECT(_xlpm.x)) &lt;2), "x",_xlpm.x),"x"),
_xlpm.y)</f>
        <v>x</v>
      </c>
      <c r="AN311" s="31" t="str" cm="1">
        <f t="array" aca="1" ref="AN311" ca="1">_xlfn.LET(
_xlpm.x, IF(S$303&gt;$G311,"x",IFERROR(SUBSTITUTE(CELL("adres",OFFSET(INDIRECT(S311),,IF(LEFT(S311)="V",-1,1)*($G311-S$303),1,1)),"$",""),"x")),
_xlpm.y, IFERROR(IF(OR(COLUMN(INDIRECT(_xlpm.x))&gt;21, COLUMN(INDIRECT(_xlpm.x)) &lt;2), "x",_xlpm.x),"x"),
_xlpm.y)</f>
        <v>x</v>
      </c>
      <c r="AO311" s="31" t="str" cm="1">
        <f t="array" aca="1" ref="AO311" ca="1">_xlfn.LET(
_xlpm.x, IF(T$303&gt;$G311,"x",IFERROR(SUBSTITUTE(CELL("adres",OFFSET(INDIRECT(T311),,IF(LEFT(T311)="V",-1,1)*($G311-T$303),1,1)),"$",""),"x")),
_xlpm.y, IFERROR(IF(OR(COLUMN(INDIRECT(_xlpm.x))&gt;21, COLUMN(INDIRECT(_xlpm.x)) &lt;2), "x",_xlpm.x),"x"),
_xlpm.y)</f>
        <v>B9</v>
      </c>
      <c r="AP311" s="31" t="str" cm="1">
        <f t="array" aca="1" ref="AP311" ca="1">_xlfn.LET(
_xlpm.x, IF(U$303&gt;$G311,"x",IFERROR(SUBSTITUTE(CELL("adres",OFFSET(INDIRECT(U311),,IF(LEFT(U311)="V",-1,1)*($G311-U$303),1,1)),"$",""),"x")),
_xlpm.y, IFERROR(IF(OR(COLUMN(INDIRECT(_xlpm.x))&gt;21, COLUMN(INDIRECT(_xlpm.x)) &lt;2), "x",_xlpm.x),"x"),
_xlpm.y)</f>
        <v>C16</v>
      </c>
      <c r="AQ311" s="31" t="str" cm="1">
        <f t="array" aca="1" ref="AQ311" ca="1">_xlfn.LET(
_xlpm.x, IF(V$303&gt;$G311,"x",IFERROR(SUBSTITUTE(CELL("adres",OFFSET(INDIRECT(V311),,IF(LEFT(V311)="V",-1,1)*($G311-V$303),1,1)),"$",""),"x")),
_xlpm.y, IFERROR(IF(OR(COLUMN(INDIRECT(_xlpm.x))&gt;21, COLUMN(INDIRECT(_xlpm.x)) &lt;2), "x",_xlpm.x),"x"),
_xlpm.y)</f>
        <v>D12</v>
      </c>
      <c r="AR311" s="31" t="str" cm="1">
        <f t="array" aca="1" ref="AR311" ca="1">_xlfn.LET(
_xlpm.x, IF(W$303&gt;$G311,"x",IFERROR(SUBSTITUTE(CELL("adres",OFFSET(INDIRECT(W311),,IF(LEFT(W311)="V",-1,1)*($G311-W$303),1,1)),"$",""),"x")),
_xlpm.y, IFERROR(IF(OR(COLUMN(INDIRECT(_xlpm.x))&gt;21, COLUMN(INDIRECT(_xlpm.x)) &lt;2), "x",_xlpm.x),"x"),
_xlpm.y)</f>
        <v>R16</v>
      </c>
      <c r="AS311" s="31" t="str" cm="1">
        <f t="array" aca="1" ref="AS311" ca="1">_xlfn.LET(
_xlpm.x, IF(X$303&gt;$G311,"x",IFERROR(SUBSTITUTE(CELL("adres",OFFSET(INDIRECT(X311),,IF(LEFT(X311)="V",-1,1)*($G311-X$303),1,1)),"$",""),"x")),
_xlpm.y, IFERROR(IF(OR(COLUMN(INDIRECT(_xlpm.x))&gt;21, COLUMN(INDIRECT(_xlpm.x)) &lt;2), "x",_xlpm.x),"x"),
_xlpm.y)</f>
        <v>F9</v>
      </c>
      <c r="AT311" s="31" t="str" cm="1">
        <f t="array" aca="1" ref="AT311" ca="1">_xlfn.LET(
_xlpm.x, IF(Y$303&gt;$G311,"x",IFERROR(SUBSTITUTE(CELL("adres",OFFSET(INDIRECT(Y311),,IF(LEFT(Y311)="V",-1,1)*($G311-Y$303),1,1)),"$",""),"x")),
_xlpm.y, IFERROR(IF(OR(COLUMN(INDIRECT(_xlpm.x))&gt;21, COLUMN(INDIRECT(_xlpm.x)) &lt;2), "x",_xlpm.x),"x"),
_xlpm.y)</f>
        <v>P22</v>
      </c>
      <c r="AU311" s="31" t="str" cm="1">
        <f t="array" aca="1" ref="AU311" ca="1">_xlfn.LET(
_xlpm.x, IF(Z$303&gt;$G311,"x",IFERROR(SUBSTITUTE(CELL("adres",OFFSET(INDIRECT(Z311),,IF(LEFT(Z311)="V",-1,1)*($G311-Z$303),1,1)),"$",""),"x")),
_xlpm.y, IFERROR(IF(OR(COLUMN(INDIRECT(_xlpm.x))&gt;21, COLUMN(INDIRECT(_xlpm.x)) &lt;2), "x",_xlpm.x),"x"),
_xlpm.y)</f>
        <v>H14</v>
      </c>
      <c r="AV311" s="31" t="str" cm="1">
        <f t="array" aca="1" ref="AV311" ca="1">_xlfn.LET(
_xlpm.x, IF(AA$303&gt;$G311,"x",IFERROR(SUBSTITUTE(CELL("adres",OFFSET(INDIRECT(AA311),,IF(LEFT(AA311)="V",-1,1)*($G311-AA$303),1,1)),"$",""),"x")),
_xlpm.y, IFERROR(IF(OR(COLUMN(INDIRECT(_xlpm.x))&gt;21, COLUMN(INDIRECT(_xlpm.x)) &lt;2), "x",_xlpm.x),"x"),
_xlpm.y)</f>
        <v>I14</v>
      </c>
      <c r="AW311" s="31" t="str" cm="1">
        <f t="array" aca="1" ref="AW311" ca="1">_xlfn.LET(
_xlpm.x, IF(AB$303&gt;$G311,"x",IFERROR(SUBSTITUTE(CELL("adres",OFFSET(INDIRECT(AB311),,IF(LEFT(AB311)="V",-1,1)*($G311-AB$303),1,1)),"$",""),"x")),
_xlpm.y, IFERROR(IF(OR(COLUMN(INDIRECT(_xlpm.x))&gt;21, COLUMN(INDIRECT(_xlpm.x)) &lt;2), "x",_xlpm.x),"x"),
_xlpm.y)</f>
        <v>J15</v>
      </c>
      <c r="AX311" s="31" t="str" cm="1">
        <f t="array" aca="1" ref="AX311" ca="1">_xlfn.LET(
_xlpm.x, IF(AC$303&gt;$G311,"x",IFERROR(SUBSTITUTE(CELL("adres",OFFSET(INDIRECT(AC311),,IF(LEFT(AC311)="V",-1,1)*($G311-AC$303),1,1)),"$",""),"x")),
_xlpm.y, IFERROR(IF(OR(COLUMN(INDIRECT(_xlpm.x))&gt;21, COLUMN(INDIRECT(_xlpm.x)) &lt;2), "x",_xlpm.x),"x"),
_xlpm.y)</f>
        <v>K9</v>
      </c>
      <c r="AY311" s="31" t="str" cm="1">
        <f t="array" aca="1" ref="AY311" ca="1">_xlfn.LET(
_xlpm.x, IF(AD$303&gt;$G311,"x",IFERROR(SUBSTITUTE(CELL("adres",OFFSET(INDIRECT(AD311),,IF(LEFT(AD311)="V",-1,1)*($G311-AD$303),1,1)),"$",""),"x")),
_xlpm.y, IFERROR(IF(OR(COLUMN(INDIRECT(_xlpm.x))&gt;21, COLUMN(INDIRECT(_xlpm.x)) &lt;2), "x",_xlpm.x),"x"),
_xlpm.y)</f>
        <v>L26</v>
      </c>
      <c r="BB311" s="23" t="str" cm="1">
        <f t="array" aca="1" ref="BB311" ca="1">IFERROR(COLUMN(INDIRECT(AF311)),"x")</f>
        <v>x</v>
      </c>
      <c r="BC311" s="23" t="str" cm="1">
        <f t="array" aca="1" ref="BC311" ca="1">IFERROR(COLUMN(INDIRECT(AG311)),"x")</f>
        <v>x</v>
      </c>
      <c r="BD311" s="23" t="str" cm="1">
        <f t="array" aca="1" ref="BD311" ca="1">IFERROR(COLUMN(INDIRECT(AH311)),"x")</f>
        <v>x</v>
      </c>
      <c r="BE311" s="23" t="str" cm="1">
        <f t="array" aca="1" ref="BE311" ca="1">IFERROR(COLUMN(INDIRECT(AI311)),"x")</f>
        <v>x</v>
      </c>
      <c r="BF311" s="23" t="str" cm="1">
        <f t="array" aca="1" ref="BF311" ca="1">IFERROR(COLUMN(INDIRECT(AJ311)),"x")</f>
        <v>x</v>
      </c>
      <c r="BG311" s="23" t="str" cm="1">
        <f t="array" aca="1" ref="BG311" ca="1">IFERROR(COLUMN(INDIRECT(AK311)),"x")</f>
        <v>x</v>
      </c>
      <c r="BH311" s="23" t="str" cm="1">
        <f t="array" aca="1" ref="BH311" ca="1">IFERROR(COLUMN(INDIRECT(AL311)),"x")</f>
        <v>x</v>
      </c>
      <c r="BI311" s="23" t="str" cm="1">
        <f t="array" aca="1" ref="BI311" ca="1">IFERROR(COLUMN(INDIRECT(AM311)),"x")</f>
        <v>x</v>
      </c>
      <c r="BJ311" s="23" t="str" cm="1">
        <f t="array" aca="1" ref="BJ311" ca="1">IFERROR(COLUMN(INDIRECT(AN311)),"x")</f>
        <v>x</v>
      </c>
      <c r="BK311" s="23" cm="1">
        <f t="array" aca="1" ref="BK311" ca="1">IFERROR(COLUMN(INDIRECT(AO311)),"x")</f>
        <v>2</v>
      </c>
      <c r="BL311" s="23" cm="1">
        <f t="array" aca="1" ref="BL311" ca="1">IFERROR(COLUMN(INDIRECT(AP311)),"x")</f>
        <v>3</v>
      </c>
      <c r="BM311" s="23" cm="1">
        <f t="array" aca="1" ref="BM311" ca="1">IFERROR(COLUMN(INDIRECT(AQ311)),"x")</f>
        <v>4</v>
      </c>
      <c r="BN311" s="23" cm="1">
        <f t="array" aca="1" ref="BN311" ca="1">IFERROR(COLUMN(INDIRECT(AR311)),"x")</f>
        <v>18</v>
      </c>
      <c r="BO311" s="23" cm="1">
        <f t="array" aca="1" ref="BO311" ca="1">IFERROR(COLUMN(INDIRECT(AS311)),"x")</f>
        <v>6</v>
      </c>
      <c r="BP311" s="23" cm="1">
        <f t="array" aca="1" ref="BP311" ca="1">IFERROR(COLUMN(INDIRECT(AT311)),"x")</f>
        <v>16</v>
      </c>
      <c r="BQ311" s="23" cm="1">
        <f t="array" aca="1" ref="BQ311" ca="1">IFERROR(COLUMN(INDIRECT(AU311)),"x")</f>
        <v>8</v>
      </c>
      <c r="BR311" s="23" cm="1">
        <f t="array" aca="1" ref="BR311" ca="1">IFERROR(COLUMN(INDIRECT(AV311)),"x")</f>
        <v>9</v>
      </c>
      <c r="BS311" s="23" cm="1">
        <f t="array" aca="1" ref="BS311" ca="1">IFERROR(COLUMN(INDIRECT(AW311)),"x")</f>
        <v>10</v>
      </c>
      <c r="BT311" s="23" cm="1">
        <f t="array" aca="1" ref="BT311" ca="1">IFERROR(COLUMN(INDIRECT(AX311)),"x")</f>
        <v>11</v>
      </c>
      <c r="BU311" s="23" cm="1">
        <f t="array" aca="1" ref="BU311" ca="1">IFERROR(COLUMN(INDIRECT(AY311)),"x")</f>
        <v>12</v>
      </c>
      <c r="BW311" s="23" t="str">
        <f t="shared" ca="1" si="40"/>
        <v>x</v>
      </c>
      <c r="BX311" s="23" t="str">
        <f t="shared" ca="1" si="41"/>
        <v>x</v>
      </c>
      <c r="BY311" s="23" t="str">
        <f t="shared" ca="1" si="42"/>
        <v>x</v>
      </c>
      <c r="BZ311" s="23" t="str">
        <f t="shared" ca="1" si="43"/>
        <v>x</v>
      </c>
      <c r="CA311" s="23" t="str">
        <f t="shared" ca="1" si="44"/>
        <v>x</v>
      </c>
      <c r="CB311" s="23" t="str">
        <f t="shared" ca="1" si="45"/>
        <v>x</v>
      </c>
      <c r="CC311" s="23" t="str">
        <f t="shared" ca="1" si="46"/>
        <v>x</v>
      </c>
      <c r="CD311" s="23" t="str">
        <f t="shared" ca="1" si="47"/>
        <v>x</v>
      </c>
      <c r="CE311" s="23" t="str">
        <f t="shared" ca="1" si="48"/>
        <v>x</v>
      </c>
      <c r="CF311" s="23">
        <f t="shared" ca="1" si="49"/>
        <v>-1</v>
      </c>
      <c r="CG311" s="23">
        <f t="shared" ca="1" si="50"/>
        <v>-1</v>
      </c>
      <c r="CH311" s="23">
        <f t="shared" ca="1" si="51"/>
        <v>-1</v>
      </c>
      <c r="CI311" s="23">
        <f t="shared" ca="1" si="52"/>
        <v>1</v>
      </c>
      <c r="CJ311" s="23">
        <f t="shared" ca="1" si="53"/>
        <v>-1</v>
      </c>
      <c r="CK311" s="23">
        <f t="shared" ca="1" si="54"/>
        <v>1</v>
      </c>
      <c r="CL311" s="23">
        <f t="shared" ca="1" si="55"/>
        <v>-1</v>
      </c>
      <c r="CM311" s="23">
        <f t="shared" ca="1" si="56"/>
        <v>-1</v>
      </c>
      <c r="CN311" s="23">
        <f t="shared" ca="1" si="57"/>
        <v>-1</v>
      </c>
      <c r="CO311" s="23">
        <f t="shared" ca="1" si="58"/>
        <v>-1</v>
      </c>
      <c r="CP311" s="23">
        <f t="shared" ca="1" si="59"/>
        <v>1</v>
      </c>
      <c r="CQ311" s="75"/>
      <c r="CR311" s="23" t="str" cm="1">
        <f t="array" aca="1" ref="CR311" ca="1">_xlfn.LET(
_xlpm.x, IFERROR(SUBSTITUTE(CELL("adres",OFFSET(INDIRECT(AF311),,BW311*($I311-$G311)*2,1,1)),"$",""),"x"),
_xlpm.y, IFERROR(IF(OR(COLUMN(INDIRECT(_xlpm.x))&gt;21, COLUMN(INDIRECT(_xlpm.x))&lt;2),"x",_xlpm.x), "x"),
_xlpm.y)</f>
        <v>x</v>
      </c>
      <c r="CS311" s="23" t="str" cm="1">
        <f t="array" aca="1" ref="CS311" ca="1">_xlfn.LET(
_xlpm.x, IFERROR(SUBSTITUTE(CELL("adres",OFFSET(INDIRECT(AG311),,BX311*($I311-$G311)*2,1,1)),"$",""),"x"),
_xlpm.y, IFERROR(IF(OR(COLUMN(INDIRECT(_xlpm.x))&gt;21, COLUMN(INDIRECT(_xlpm.x))&lt;2),"x",_xlpm.x), "x"),
_xlpm.y)</f>
        <v>x</v>
      </c>
      <c r="CT311" s="23" t="str" cm="1">
        <f t="array" aca="1" ref="CT311" ca="1">_xlfn.LET(
_xlpm.x, IFERROR(SUBSTITUTE(CELL("adres",OFFSET(INDIRECT(AH311),,BY311*($I311-$G311)*2,1,1)),"$",""),"x"),
_xlpm.y, IFERROR(IF(OR(COLUMN(INDIRECT(_xlpm.x))&gt;21, COLUMN(INDIRECT(_xlpm.x))&lt;2),"x",_xlpm.x), "x"),
_xlpm.y)</f>
        <v>x</v>
      </c>
      <c r="CU311" s="23" t="str" cm="1">
        <f t="array" aca="1" ref="CU311" ca="1">_xlfn.LET(
_xlpm.x, IFERROR(SUBSTITUTE(CELL("adres",OFFSET(INDIRECT(AI311),,BZ311*($I311-$G311)*2,1,1)),"$",""),"x"),
_xlpm.y, IFERROR(IF(OR(COLUMN(INDIRECT(_xlpm.x))&gt;21, COLUMN(INDIRECT(_xlpm.x))&lt;2),"x",_xlpm.x), "x"),
_xlpm.y)</f>
        <v>x</v>
      </c>
      <c r="CV311" s="23" t="str" cm="1">
        <f t="array" aca="1" ref="CV311" ca="1">_xlfn.LET(
_xlpm.x, IFERROR(SUBSTITUTE(CELL("adres",OFFSET(INDIRECT(AJ311),,CA311*($I311-$G311)*2,1,1)),"$",""),"x"),
_xlpm.y, IFERROR(IF(OR(COLUMN(INDIRECT(_xlpm.x))&gt;21, COLUMN(INDIRECT(_xlpm.x))&lt;2),"x",_xlpm.x), "x"),
_xlpm.y)</f>
        <v>x</v>
      </c>
      <c r="CW311" s="23" t="str" cm="1">
        <f t="array" aca="1" ref="CW311" ca="1">_xlfn.LET(
_xlpm.x, IFERROR(SUBSTITUTE(CELL("adres",OFFSET(INDIRECT(AK311),,CB311*($I311-$G311)*2,1,1)),"$",""),"x"),
_xlpm.y, IFERROR(IF(OR(COLUMN(INDIRECT(_xlpm.x))&gt;21, COLUMN(INDIRECT(_xlpm.x))&lt;2),"x",_xlpm.x), "x"),
_xlpm.y)</f>
        <v>x</v>
      </c>
      <c r="CX311" s="23" t="str" cm="1">
        <f t="array" aca="1" ref="CX311" ca="1">_xlfn.LET(
_xlpm.x, IFERROR(SUBSTITUTE(CELL("adres",OFFSET(INDIRECT(AL311),,CC311*($I311-$G311)*2,1,1)),"$",""),"x"),
_xlpm.y, IFERROR(IF(OR(COLUMN(INDIRECT(_xlpm.x))&gt;21, COLUMN(INDIRECT(_xlpm.x))&lt;2),"x",_xlpm.x), "x"),
_xlpm.y)</f>
        <v>x</v>
      </c>
      <c r="CY311" s="23" t="str" cm="1">
        <f t="array" aca="1" ref="CY311" ca="1">_xlfn.LET(
_xlpm.x, IFERROR(SUBSTITUTE(CELL("adres",OFFSET(INDIRECT(AM311),,CD311*($I311-$G311)*2,1,1)),"$",""),"x"),
_xlpm.y, IFERROR(IF(OR(COLUMN(INDIRECT(_xlpm.x))&gt;21, COLUMN(INDIRECT(_xlpm.x))&lt;2),"x",_xlpm.x), "x"),
_xlpm.y)</f>
        <v>x</v>
      </c>
      <c r="CZ311" s="23" t="str" cm="1">
        <f t="array" aca="1" ref="CZ311" ca="1">_xlfn.LET(
_xlpm.x, IFERROR(SUBSTITUTE(CELL("adres",OFFSET(INDIRECT(AN311),,CE311*($I311-$G311)*2,1,1)),"$",""),"x"),
_xlpm.y, IFERROR(IF(OR(COLUMN(INDIRECT(_xlpm.x))&gt;21, COLUMN(INDIRECT(_xlpm.x))&lt;2),"x",_xlpm.x), "x"),
_xlpm.y)</f>
        <v>x</v>
      </c>
      <c r="DA311" s="23" t="str" cm="1">
        <f t="array" aca="1" ref="DA311" ca="1">_xlfn.LET(
_xlpm.x, IFERROR(SUBSTITUTE(CELL("adres",OFFSET(INDIRECT(AO311),,CF311*($I311-$G311)*2,1,1)),"$",""),"x"),
_xlpm.y, IFERROR(IF(OR(COLUMN(INDIRECT(_xlpm.x))&gt;21, COLUMN(INDIRECT(_xlpm.x))&lt;2),"x",_xlpm.x), "x"),
_xlpm.y)</f>
        <v>x</v>
      </c>
      <c r="DB311" s="23" t="str" cm="1">
        <f t="array" aca="1" ref="DB311" ca="1">_xlfn.LET(
_xlpm.x, IFERROR(SUBSTITUTE(CELL("adres",OFFSET(INDIRECT(AP311),,CG311*($I311-$G311)*2,1,1)),"$",""),"x"),
_xlpm.y, IFERROR(IF(OR(COLUMN(INDIRECT(_xlpm.x))&gt;21, COLUMN(INDIRECT(_xlpm.x))&lt;2),"x",_xlpm.x), "x"),
_xlpm.y)</f>
        <v>x</v>
      </c>
      <c r="DC311" s="23" t="str" cm="1">
        <f t="array" aca="1" ref="DC311" ca="1">_xlfn.LET(
_xlpm.x, IFERROR(SUBSTITUTE(CELL("adres",OFFSET(INDIRECT(AQ311),,CH311*($I311-$G311)*2,1,1)),"$",""),"x"),
_xlpm.y, IFERROR(IF(OR(COLUMN(INDIRECT(_xlpm.x))&gt;21, COLUMN(INDIRECT(_xlpm.x))&lt;2),"x",_xlpm.x), "x"),
_xlpm.y)</f>
        <v>x</v>
      </c>
      <c r="DD311" s="23" t="str" cm="1">
        <f t="array" aca="1" ref="DD311" ca="1">_xlfn.LET(
_xlpm.x, IFERROR(SUBSTITUTE(CELL("adres",OFFSET(INDIRECT(AR311),,CI311*($I311-$G311)*2,1,1)),"$",""),"x"),
_xlpm.y, IFERROR(IF(OR(COLUMN(INDIRECT(_xlpm.x))&gt;21, COLUMN(INDIRECT(_xlpm.x))&lt;2),"x",_xlpm.x), "x"),
_xlpm.y)</f>
        <v>x</v>
      </c>
      <c r="DE311" s="23" t="str" cm="1">
        <f t="array" aca="1" ref="DE311" ca="1">_xlfn.LET(
_xlpm.x, IFERROR(SUBSTITUTE(CELL("adres",OFFSET(INDIRECT(AS311),,CJ311*($I311-$G311)*2,1,1)),"$",""),"x"),
_xlpm.y, IFERROR(IF(OR(COLUMN(INDIRECT(_xlpm.x))&gt;21, COLUMN(INDIRECT(_xlpm.x))&lt;2),"x",_xlpm.x), "x"),
_xlpm.y)</f>
        <v>B9</v>
      </c>
      <c r="DF311" s="23" t="str" cm="1">
        <f t="array" aca="1" ref="DF311" ca="1">_xlfn.LET(
_xlpm.x, IFERROR(SUBSTITUTE(CELL("adres",OFFSET(INDIRECT(AT311),,CK311*($I311-$G311)*2,1,1)),"$",""),"x"),
_xlpm.y, IFERROR(IF(OR(COLUMN(INDIRECT(_xlpm.x))&gt;21, COLUMN(INDIRECT(_xlpm.x))&lt;2),"x",_xlpm.x), "x"),
_xlpm.y)</f>
        <v>T22</v>
      </c>
      <c r="DG311" s="23" t="str" cm="1">
        <f t="array" aca="1" ref="DG311" ca="1">_xlfn.LET(
_xlpm.x, IFERROR(SUBSTITUTE(CELL("adres",OFFSET(INDIRECT(AU311),,CL311*($I311-$G311)*2,1,1)),"$",""),"x"),
_xlpm.y, IFERROR(IF(OR(COLUMN(INDIRECT(_xlpm.x))&gt;21, COLUMN(INDIRECT(_xlpm.x))&lt;2),"x",_xlpm.x), "x"),
_xlpm.y)</f>
        <v>D14</v>
      </c>
      <c r="DH311" s="23" t="str" cm="1">
        <f t="array" aca="1" ref="DH311" ca="1">_xlfn.LET(
_xlpm.x, IFERROR(SUBSTITUTE(CELL("adres",OFFSET(INDIRECT(AV311),,CM311*($I311-$G311)*2,1,1)),"$",""),"x"),
_xlpm.y, IFERROR(IF(OR(COLUMN(INDIRECT(_xlpm.x))&gt;21, COLUMN(INDIRECT(_xlpm.x))&lt;2),"x",_xlpm.x), "x"),
_xlpm.y)</f>
        <v>E14</v>
      </c>
      <c r="DI311" s="23" t="str" cm="1">
        <f t="array" aca="1" ref="DI311" ca="1">_xlfn.LET(
_xlpm.x, IFERROR(SUBSTITUTE(CELL("adres",OFFSET(INDIRECT(AW311),,CN311*($I311-$G311)*2,1,1)),"$",""),"x"),
_xlpm.y, IFERROR(IF(OR(COLUMN(INDIRECT(_xlpm.x))&gt;21, COLUMN(INDIRECT(_xlpm.x))&lt;2),"x",_xlpm.x), "x"),
_xlpm.y)</f>
        <v>F15</v>
      </c>
      <c r="DJ311" s="23" t="str" cm="1">
        <f t="array" aca="1" ref="DJ311" ca="1">_xlfn.LET(
_xlpm.x, IFERROR(SUBSTITUTE(CELL("adres",OFFSET(INDIRECT(AX311),,CO311*($I311-$G311)*2,1,1)),"$",""),"x"),
_xlpm.y, IFERROR(IF(OR(COLUMN(INDIRECT(_xlpm.x))&gt;21, COLUMN(INDIRECT(_xlpm.x))&lt;2),"x",_xlpm.x), "x"),
_xlpm.y)</f>
        <v>G9</v>
      </c>
      <c r="DK311" s="23" t="str" cm="1">
        <f t="array" aca="1" ref="DK311" ca="1">_xlfn.LET(
_xlpm.x, IFERROR(SUBSTITUTE(CELL("adres",OFFSET(INDIRECT(AY311),,CP311*($I311-$G311)*2,1,1)),"$",""),"x"),
_xlpm.y, IFERROR(IF(OR(COLUMN(INDIRECT(_xlpm.x))&gt;21, COLUMN(INDIRECT(_xlpm.x))&lt;2),"x",_xlpm.x), "x"),
_xlpm.y)</f>
        <v>P26</v>
      </c>
      <c r="DM311" s="23" t="e" cm="1">
        <f t="array" aca="1" ref="DM311" ca="1">ROW(INDIRECT(CR311))</f>
        <v>#REF!</v>
      </c>
      <c r="DN311" s="23" cm="1">
        <f t="array" aca="1" ref="DN311" ca="1">ROW(INDIRECT(J311))</f>
        <v>25</v>
      </c>
      <c r="DO311" s="23" t="e">
        <f t="shared" ca="1" si="60"/>
        <v>#REF!</v>
      </c>
      <c r="DP311" s="23" t="e" cm="1">
        <f t="array" aca="1" ref="DP311" ca="1">COLUMN(INDIRECT(CR311))</f>
        <v>#REF!</v>
      </c>
      <c r="DQ311" s="23" cm="1">
        <f t="array" aca="1" ref="DQ311" ca="1">COLUMN(INDIRECT(J311))</f>
        <v>11</v>
      </c>
      <c r="DR311" s="23" t="e">
        <f t="shared" ca="1" si="61"/>
        <v>#REF!</v>
      </c>
      <c r="DS311" s="23">
        <f t="shared" ca="1" si="39"/>
        <v>1000</v>
      </c>
      <c r="DU311" s="23" cm="1">
        <f t="array" aca="1" ref="DU311" ca="1">IFERROR(MAX(ABS(ROW(INDIRECT($J311))-ROW(INDIRECT(CR311))),ABS(COLUMN(INDIRECT($J311))-COLUMN(INDIRECT(CR311)))),1000)</f>
        <v>1000</v>
      </c>
      <c r="DV311" s="23" cm="1">
        <f t="array" aca="1" ref="DV311" ca="1">IFERROR(MAX(ABS(ROW(INDIRECT($J311))-ROW(INDIRECT(CS311))),ABS(COLUMN(INDIRECT($J311))-COLUMN(INDIRECT(CS311)))),1000)</f>
        <v>1000</v>
      </c>
      <c r="DW311" s="23" cm="1">
        <f t="array" aca="1" ref="DW311" ca="1">IFERROR(MAX(ABS(ROW(INDIRECT($J311))-ROW(INDIRECT(CT311))),ABS(COLUMN(INDIRECT($J311))-COLUMN(INDIRECT(CT311)))),1000)</f>
        <v>1000</v>
      </c>
      <c r="DX311" s="23" cm="1">
        <f t="array" aca="1" ref="DX311" ca="1">IFERROR(MAX(ABS(ROW(INDIRECT($J311))-ROW(INDIRECT(CU311))),ABS(COLUMN(INDIRECT($J311))-COLUMN(INDIRECT(CU311)))),1000)</f>
        <v>1000</v>
      </c>
      <c r="DY311" s="23" cm="1">
        <f t="array" aca="1" ref="DY311" ca="1">IFERROR(MAX(ABS(ROW(INDIRECT($J311))-ROW(INDIRECT(CV311))),ABS(COLUMN(INDIRECT($J311))-COLUMN(INDIRECT(CV311)))),1000)</f>
        <v>1000</v>
      </c>
      <c r="DZ311" s="23" cm="1">
        <f t="array" aca="1" ref="DZ311" ca="1">IFERROR(MAX(ABS(ROW(INDIRECT($J311))-ROW(INDIRECT(CW311))),ABS(COLUMN(INDIRECT($J311))-COLUMN(INDIRECT(CW311)))),1000)</f>
        <v>1000</v>
      </c>
      <c r="EA311" s="23" cm="1">
        <f t="array" aca="1" ref="EA311" ca="1">IFERROR(MAX(ABS(ROW(INDIRECT($J311))-ROW(INDIRECT(CX311))),ABS(COLUMN(INDIRECT($J311))-COLUMN(INDIRECT(CX311)))),1000)</f>
        <v>1000</v>
      </c>
      <c r="EB311" s="23" cm="1">
        <f t="array" aca="1" ref="EB311" ca="1">IFERROR(MAX(ABS(ROW(INDIRECT($J311))-ROW(INDIRECT(CY311))),ABS(COLUMN(INDIRECT($J311))-COLUMN(INDIRECT(CY311)))),1000)</f>
        <v>1000</v>
      </c>
      <c r="EC311" s="23" cm="1">
        <f t="array" aca="1" ref="EC311" ca="1">IFERROR(MAX(ABS(ROW(INDIRECT($J311))-ROW(INDIRECT(CZ311))),ABS(COLUMN(INDIRECT($J311))-COLUMN(INDIRECT(CZ311)))),1000)</f>
        <v>1000</v>
      </c>
      <c r="ED311" s="23" cm="1">
        <f t="array" aca="1" ref="ED311" ca="1">IFERROR(MAX(ABS(ROW(INDIRECT($J311))-ROW(INDIRECT(DA311))),ABS(COLUMN(INDIRECT($J311))-COLUMN(INDIRECT(DA311)))),1000)</f>
        <v>1000</v>
      </c>
      <c r="EE311" s="23" cm="1">
        <f t="array" aca="1" ref="EE311" ca="1">IFERROR(MAX(ABS(ROW(INDIRECT($J311))-ROW(INDIRECT(DB311))),ABS(COLUMN(INDIRECT($J311))-COLUMN(INDIRECT(DB311)))),1000)</f>
        <v>1000</v>
      </c>
      <c r="EF311" s="23" cm="1">
        <f t="array" aca="1" ref="EF311" ca="1">IFERROR(MAX(ABS(ROW(INDIRECT($J311))-ROW(INDIRECT(DC311))),ABS(COLUMN(INDIRECT($J311))-COLUMN(INDIRECT(DC311)))),1000)</f>
        <v>1000</v>
      </c>
      <c r="EG311" s="23" cm="1">
        <f t="array" aca="1" ref="EG311" ca="1">IFERROR(MAX(ABS(ROW(INDIRECT($J311))-ROW(INDIRECT(DD311))),ABS(COLUMN(INDIRECT($J311))-COLUMN(INDIRECT(DD311)))),1000)</f>
        <v>1000</v>
      </c>
      <c r="EH311" s="23" cm="1">
        <f t="array" aca="1" ref="EH311" ca="1">IFERROR(MAX(ABS(ROW(INDIRECT($J311))-ROW(INDIRECT(DE311))),ABS(COLUMN(INDIRECT($J311))-COLUMN(INDIRECT(DE311)))),1000)</f>
        <v>16</v>
      </c>
      <c r="EI311" s="23" cm="1">
        <f t="array" aca="1" ref="EI311" ca="1">IFERROR(MAX(ABS(ROW(INDIRECT($J311))-ROW(INDIRECT(DF311))),ABS(COLUMN(INDIRECT($J311))-COLUMN(INDIRECT(DF311)))),1000)</f>
        <v>9</v>
      </c>
      <c r="EJ311" s="23" cm="1">
        <f t="array" aca="1" ref="EJ311" ca="1">IFERROR(MAX(ABS(ROW(INDIRECT($J311))-ROW(INDIRECT(DG311))),ABS(COLUMN(INDIRECT($J311))-COLUMN(INDIRECT(DG311)))),1000)</f>
        <v>11</v>
      </c>
      <c r="EK311" s="23" cm="1">
        <f t="array" aca="1" ref="EK311" ca="1">IFERROR(MAX(ABS(ROW(INDIRECT($J311))-ROW(INDIRECT(DH311))),ABS(COLUMN(INDIRECT($J311))-COLUMN(INDIRECT(DH311)))),1000)</f>
        <v>11</v>
      </c>
      <c r="EL311" s="23" cm="1">
        <f t="array" aca="1" ref="EL311" ca="1">IFERROR(MAX(ABS(ROW(INDIRECT($J311))-ROW(INDIRECT(DI311))),ABS(COLUMN(INDIRECT($J311))-COLUMN(INDIRECT(DI311)))),1000)</f>
        <v>10</v>
      </c>
      <c r="EM311" s="23" cm="1">
        <f t="array" aca="1" ref="EM311" ca="1">IFERROR(MAX(ABS(ROW(INDIRECT($J311))-ROW(INDIRECT(DJ311))),ABS(COLUMN(INDIRECT($J311))-COLUMN(INDIRECT(DJ311)))),1000)</f>
        <v>16</v>
      </c>
      <c r="EN311" s="23" cm="1">
        <f t="array" aca="1" ref="EN311" ca="1">IFERROR(MAX(ABS(ROW(INDIRECT($J311))-ROW(INDIRECT(DK311))),ABS(COLUMN(INDIRECT($J311))-COLUMN(INDIRECT(DK311)))),1000)</f>
        <v>5</v>
      </c>
      <c r="EP311" s="23">
        <f t="shared" ca="1" si="62"/>
        <v>5</v>
      </c>
      <c r="EQ311" s="23">
        <f t="shared" ca="1" si="63"/>
        <v>1</v>
      </c>
      <c r="ER311" s="23">
        <f t="shared" ca="1" si="64"/>
        <v>20</v>
      </c>
      <c r="ES311" s="23" t="str" cm="1">
        <f t="array" aca="1" ref="ES311" ca="1">INDEX(CR311:DK311,1,ER311)</f>
        <v>P26</v>
      </c>
    </row>
    <row r="312" spans="2:149" ht="22.5" customHeight="1">
      <c r="B312" s="32">
        <f t="shared" si="65"/>
        <v>125</v>
      </c>
      <c r="C312" s="32">
        <v>7</v>
      </c>
      <c r="D312" s="30">
        <v>12</v>
      </c>
      <c r="E312" s="34" t="str">
        <f ca="1"/>
        <v>Q20</v>
      </c>
      <c r="F312" s="103"/>
      <c r="G312" s="33">
        <v>24</v>
      </c>
      <c r="H312" s="33" t="s">
        <v>138</v>
      </c>
      <c r="I312" s="33">
        <v>25</v>
      </c>
      <c r="J312" s="33" t="s">
        <v>203</v>
      </c>
      <c r="K312" s="33" t="s">
        <v>65</v>
      </c>
      <c r="L312" s="33" t="s">
        <v>52</v>
      </c>
      <c r="M312" s="33" t="s">
        <v>112</v>
      </c>
      <c r="N312" s="33" t="s">
        <v>178</v>
      </c>
      <c r="O312" s="33" t="s">
        <v>111</v>
      </c>
      <c r="P312" s="33" t="s">
        <v>62</v>
      </c>
      <c r="Q312" s="33" t="s">
        <v>86</v>
      </c>
      <c r="R312" s="33" t="s">
        <v>53</v>
      </c>
      <c r="S312" s="33" t="s">
        <v>57</v>
      </c>
      <c r="T312" s="33" t="s">
        <v>64</v>
      </c>
      <c r="U312" s="33" t="s">
        <v>181</v>
      </c>
      <c r="V312" s="33" t="s">
        <v>178</v>
      </c>
      <c r="W312" s="33" t="s">
        <v>64</v>
      </c>
      <c r="X312" s="33" t="s">
        <v>81</v>
      </c>
      <c r="Y312" s="33" t="s">
        <v>80</v>
      </c>
      <c r="Z312" s="33" t="s">
        <v>62</v>
      </c>
      <c r="AA312" s="33" t="s">
        <v>184</v>
      </c>
      <c r="AB312" s="33" t="s">
        <v>155</v>
      </c>
      <c r="AC312" s="33" t="s">
        <v>51</v>
      </c>
      <c r="AD312" s="33" t="s">
        <v>113</v>
      </c>
      <c r="AF312" s="31" t="str" cm="1">
        <f t="array" aca="1" ref="AF312" ca="1">_xlfn.LET(
_xlpm.x, IF(K$303&gt;$G312,"x",IFERROR(SUBSTITUTE(CELL("adres",OFFSET(INDIRECT(K312),,IF(LEFT(K312)="V",-1,1)*($G312-K$303),1,1)),"$",""),"x")),
_xlpm.y, IFERROR(IF(OR(COLUMN(INDIRECT(_xlpm.x))&gt;21, COLUMN(INDIRECT(_xlpm.x)) &lt;2), "x",_xlpm.x),"x"),
_xlpm.y)</f>
        <v>x</v>
      </c>
      <c r="AG312" s="31" t="str" cm="1">
        <f t="array" aca="1" ref="AG312" ca="1">_xlfn.LET(
_xlpm.x, IF(L$303&gt;$G312,"x",IFERROR(SUBSTITUTE(CELL("adres",OFFSET(INDIRECT(L312),,IF(LEFT(L312)="V",-1,1)*($G312-L$303),1,1)),"$",""),"x")),
_xlpm.y, IFERROR(IF(OR(COLUMN(INDIRECT(_xlpm.x))&gt;21, COLUMN(INDIRECT(_xlpm.x)) &lt;2), "x",_xlpm.x),"x"),
_xlpm.y)</f>
        <v>x</v>
      </c>
      <c r="AH312" s="31" t="str" cm="1">
        <f t="array" aca="1" ref="AH312" ca="1">_xlfn.LET(
_xlpm.x, IF(M$303&gt;$G312,"x",IFERROR(SUBSTITUTE(CELL("adres",OFFSET(INDIRECT(M312),,IF(LEFT(M312)="V",-1,1)*($G312-M$303),1,1)),"$",""),"x")),
_xlpm.y, IFERROR(IF(OR(COLUMN(INDIRECT(_xlpm.x))&gt;21, COLUMN(INDIRECT(_xlpm.x)) &lt;2), "x",_xlpm.x),"x"),
_xlpm.y)</f>
        <v>x</v>
      </c>
      <c r="AI312" s="31" t="str" cm="1">
        <f t="array" aca="1" ref="AI312" ca="1">_xlfn.LET(
_xlpm.x, IF(N$303&gt;$G312,"x",IFERROR(SUBSTITUTE(CELL("adres",OFFSET(INDIRECT(N312),,IF(LEFT(N312)="V",-1,1)*($G312-N$303),1,1)),"$",""),"x")),
_xlpm.y, IFERROR(IF(OR(COLUMN(INDIRECT(_xlpm.x))&gt;21, COLUMN(INDIRECT(_xlpm.x)) &lt;2), "x",_xlpm.x),"x"),
_xlpm.y)</f>
        <v>x</v>
      </c>
      <c r="AJ312" s="31" t="str" cm="1">
        <f t="array" aca="1" ref="AJ312" ca="1">_xlfn.LET(
_xlpm.x, IF(O$303&gt;$G312,"x",IFERROR(SUBSTITUTE(CELL("adres",OFFSET(INDIRECT(O312),,IF(LEFT(O312)="V",-1,1)*($G312-O$303),1,1)),"$",""),"x")),
_xlpm.y, IFERROR(IF(OR(COLUMN(INDIRECT(_xlpm.x))&gt;21, COLUMN(INDIRECT(_xlpm.x)) &lt;2), "x",_xlpm.x),"x"),
_xlpm.y)</f>
        <v>B18</v>
      </c>
      <c r="AK312" s="31" t="str" cm="1">
        <f t="array" aca="1" ref="AK312" ca="1">_xlfn.LET(
_xlpm.x, IF(P$303&gt;$G312,"x",IFERROR(SUBSTITUTE(CELL("adres",OFFSET(INDIRECT(P312),,IF(LEFT(P312)="V",-1,1)*($G312-P$303),1,1)),"$",""),"x")),
_xlpm.y, IFERROR(IF(OR(COLUMN(INDIRECT(_xlpm.x))&gt;21, COLUMN(INDIRECT(_xlpm.x)) &lt;2), "x",_xlpm.x),"x"),
_xlpm.y)</f>
        <v>T6</v>
      </c>
      <c r="AL312" s="31" t="str" cm="1">
        <f t="array" aca="1" ref="AL312" ca="1">_xlfn.LET(
_xlpm.x, IF(Q$303&gt;$G312,"x",IFERROR(SUBSTITUTE(CELL("adres",OFFSET(INDIRECT(Q312),,IF(LEFT(Q312)="V",-1,1)*($G312-Q$303),1,1)),"$",""),"x")),
_xlpm.y, IFERROR(IF(OR(COLUMN(INDIRECT(_xlpm.x))&gt;21, COLUMN(INDIRECT(_xlpm.x)) &lt;2), "x",_xlpm.x),"x"),
_xlpm.y)</f>
        <v>D17</v>
      </c>
      <c r="AM312" s="31" t="str" cm="1">
        <f t="array" aca="1" ref="AM312" ca="1">_xlfn.LET(
_xlpm.x, IF(R$303&gt;$G312,"x",IFERROR(SUBSTITUTE(CELL("adres",OFFSET(INDIRECT(R312),,IF(LEFT(R312)="V",-1,1)*($G312-R$303),1,1)),"$",""),"x")),
_xlpm.y, IFERROR(IF(OR(COLUMN(INDIRECT(_xlpm.x))&gt;21, COLUMN(INDIRECT(_xlpm.x)) &lt;2), "x",_xlpm.x),"x"),
_xlpm.y)</f>
        <v>R4</v>
      </c>
      <c r="AN312" s="31" t="str" cm="1">
        <f t="array" aca="1" ref="AN312" ca="1">_xlfn.LET(
_xlpm.x, IF(S$303&gt;$G312,"x",IFERROR(SUBSTITUTE(CELL("adres",OFFSET(INDIRECT(S312),,IF(LEFT(S312)="V",-1,1)*($G312-S$303),1,1)),"$",""),"x")),
_xlpm.y, IFERROR(IF(OR(COLUMN(INDIRECT(_xlpm.x))&gt;21, COLUMN(INDIRECT(_xlpm.x)) &lt;2), "x",_xlpm.x),"x"),
_xlpm.y)</f>
        <v>Q17</v>
      </c>
      <c r="AO312" s="31" t="str" cm="1">
        <f t="array" aca="1" ref="AO312" ca="1">_xlfn.LET(
_xlpm.x, IF(T$303&gt;$G312,"x",IFERROR(SUBSTITUTE(CELL("adres",OFFSET(INDIRECT(T312),,IF(LEFT(T312)="V",-1,1)*($G312-T$303),1,1)),"$",""),"x")),
_xlpm.y, IFERROR(IF(OR(COLUMN(INDIRECT(_xlpm.x))&gt;21, COLUMN(INDIRECT(_xlpm.x)) &lt;2), "x",_xlpm.x),"x"),
_xlpm.y)</f>
        <v>P9</v>
      </c>
      <c r="AP312" s="31" t="str" cm="1">
        <f t="array" aca="1" ref="AP312" ca="1">_xlfn.LET(
_xlpm.x, IF(U$303&gt;$G312,"x",IFERROR(SUBSTITUTE(CELL("adres",OFFSET(INDIRECT(U312),,IF(LEFT(U312)="V",-1,1)*($G312-U$303),1,1)),"$",""),"x")),
_xlpm.y, IFERROR(IF(OR(COLUMN(INDIRECT(_xlpm.x))&gt;21, COLUMN(INDIRECT(_xlpm.x)) &lt;2), "x",_xlpm.x),"x"),
_xlpm.y)</f>
        <v>H14</v>
      </c>
      <c r="AQ312" s="31" t="str" cm="1">
        <f t="array" aca="1" ref="AQ312" ca="1">_xlfn.LET(
_xlpm.x, IF(V$303&gt;$G312,"x",IFERROR(SUBSTITUTE(CELL("adres",OFFSET(INDIRECT(V312),,IF(LEFT(V312)="V",-1,1)*($G312-V$303),1,1)),"$",""),"x")),
_xlpm.y, IFERROR(IF(OR(COLUMN(INDIRECT(_xlpm.x))&gt;21, COLUMN(INDIRECT(_xlpm.x)) &lt;2), "x",_xlpm.x),"x"),
_xlpm.y)</f>
        <v>N15</v>
      </c>
      <c r="AR312" s="31" t="str" cm="1">
        <f t="array" aca="1" ref="AR312" ca="1">_xlfn.LET(
_xlpm.x, IF(W$303&gt;$G312,"x",IFERROR(SUBSTITUTE(CELL("adres",OFFSET(INDIRECT(W312),,IF(LEFT(W312)="V",-1,1)*($G312-W$303),1,1)),"$",""),"x")),
_xlpm.y, IFERROR(IF(OR(COLUMN(INDIRECT(_xlpm.x))&gt;21, COLUMN(INDIRECT(_xlpm.x)) &lt;2), "x",_xlpm.x),"x"),
_xlpm.y)</f>
        <v>M9</v>
      </c>
      <c r="AS312" s="31" t="str" cm="1">
        <f t="array" aca="1" ref="AS312" ca="1">_xlfn.LET(
_xlpm.x, IF(X$303&gt;$G312,"x",IFERROR(SUBSTITUTE(CELL("adres",OFFSET(INDIRECT(X312),,IF(LEFT(X312)="V",-1,1)*($G312-X$303),1,1)),"$",""),"x")),
_xlpm.y, IFERROR(IF(OR(COLUMN(INDIRECT(_xlpm.x))&gt;21, COLUMN(INDIRECT(_xlpm.x)) &lt;2), "x",_xlpm.x),"x"),
_xlpm.y)</f>
        <v>K12</v>
      </c>
      <c r="AT312" s="31" t="str" cm="1">
        <f t="array" aca="1" ref="AT312" ca="1">_xlfn.LET(
_xlpm.x, IF(Y$303&gt;$G312,"x",IFERROR(SUBSTITUTE(CELL("adres",OFFSET(INDIRECT(Y312),,IF(LEFT(Y312)="V",-1,1)*($G312-Y$303),1,1)),"$",""),"x")),
_xlpm.y, IFERROR(IF(OR(COLUMN(INDIRECT(_xlpm.x))&gt;21, COLUMN(INDIRECT(_xlpm.x)) &lt;2), "x",_xlpm.x),"x"),
_xlpm.y)</f>
        <v>L6</v>
      </c>
      <c r="AU312" s="31" t="str" cm="1">
        <f t="array" aca="1" ref="AU312" ca="1">_xlfn.LET(
_xlpm.x, IF(Z$303&gt;$G312,"x",IFERROR(SUBSTITUTE(CELL("adres",OFFSET(INDIRECT(Z312),,IF(LEFT(Z312)="V",-1,1)*($G312-Z$303),1,1)),"$",""),"x")),
_xlpm.y, IFERROR(IF(OR(COLUMN(INDIRECT(_xlpm.x))&gt;21, COLUMN(INDIRECT(_xlpm.x)) &lt;2), "x",_xlpm.x),"x"),
_xlpm.y)</f>
        <v>J6</v>
      </c>
      <c r="AV312" s="31" t="str" cm="1">
        <f t="array" aca="1" ref="AV312" ca="1">_xlfn.LET(
_xlpm.x, IF(AA$303&gt;$G312,"x",IFERROR(SUBSTITUTE(CELL("adres",OFFSET(INDIRECT(AA312),,IF(LEFT(AA312)="V",-1,1)*($G312-AA$303),1,1)),"$",""),"x")),
_xlpm.y, IFERROR(IF(OR(COLUMN(INDIRECT(_xlpm.x))&gt;21, COLUMN(INDIRECT(_xlpm.x)) &lt;2), "x",_xlpm.x),"x"),
_xlpm.y)</f>
        <v>N19</v>
      </c>
      <c r="AW312" s="31" t="str" cm="1">
        <f t="array" aca="1" ref="AW312" ca="1">_xlfn.LET(
_xlpm.x, IF(AB$303&gt;$G312,"x",IFERROR(SUBSTITUTE(CELL("adres",OFFSET(INDIRECT(AB312),,IF(LEFT(AB312)="V",-1,1)*($G312-AB$303),1,1)),"$",""),"x")),
_xlpm.y, IFERROR(IF(OR(COLUMN(INDIRECT(_xlpm.x))&gt;21, COLUMN(INDIRECT(_xlpm.x)) &lt;2), "x",_xlpm.x),"x"),
_xlpm.y)</f>
        <v>O20</v>
      </c>
      <c r="AX312" s="31" t="str" cm="1">
        <f t="array" aca="1" ref="AX312" ca="1">_xlfn.LET(
_xlpm.x, IF(AC$303&gt;$G312,"x",IFERROR(SUBSTITUTE(CELL("adres",OFFSET(INDIRECT(AC312),,IF(LEFT(AC312)="V",-1,1)*($G312-AC$303),1,1)),"$",""),"x")),
_xlpm.y, IFERROR(IF(OR(COLUMN(INDIRECT(_xlpm.x))&gt;21, COLUMN(INDIRECT(_xlpm.x)) &lt;2), "x",_xlpm.x),"x"),
_xlpm.y)</f>
        <v>G10</v>
      </c>
      <c r="AY312" s="31" t="str" cm="1">
        <f t="array" aca="1" ref="AY312" ca="1">_xlfn.LET(
_xlpm.x, IF(AD$303&gt;$G312,"x",IFERROR(SUBSTITUTE(CELL("adres",OFFSET(INDIRECT(AD312),,IF(LEFT(AD312)="V",-1,1)*($G312-AD$303),1,1)),"$",""),"x")),
_xlpm.y, IFERROR(IF(OR(COLUMN(INDIRECT(_xlpm.x))&gt;21, COLUMN(INDIRECT(_xlpm.x)) &lt;2), "x",_xlpm.x),"x"),
_xlpm.y)</f>
        <v>F14</v>
      </c>
      <c r="BB312" s="23" t="str" cm="1">
        <f t="array" aca="1" ref="BB312" ca="1">IFERROR(COLUMN(INDIRECT(AF312)),"x")</f>
        <v>x</v>
      </c>
      <c r="BC312" s="23" t="str" cm="1">
        <f t="array" aca="1" ref="BC312" ca="1">IFERROR(COLUMN(INDIRECT(AG312)),"x")</f>
        <v>x</v>
      </c>
      <c r="BD312" s="23" t="str" cm="1">
        <f t="array" aca="1" ref="BD312" ca="1">IFERROR(COLUMN(INDIRECT(AH312)),"x")</f>
        <v>x</v>
      </c>
      <c r="BE312" s="23" t="str" cm="1">
        <f t="array" aca="1" ref="BE312" ca="1">IFERROR(COLUMN(INDIRECT(AI312)),"x")</f>
        <v>x</v>
      </c>
      <c r="BF312" s="23" cm="1">
        <f t="array" aca="1" ref="BF312" ca="1">IFERROR(COLUMN(INDIRECT(AJ312)),"x")</f>
        <v>2</v>
      </c>
      <c r="BG312" s="23" cm="1">
        <f t="array" aca="1" ref="BG312" ca="1">IFERROR(COLUMN(INDIRECT(AK312)),"x")</f>
        <v>20</v>
      </c>
      <c r="BH312" s="23" cm="1">
        <f t="array" aca="1" ref="BH312" ca="1">IFERROR(COLUMN(INDIRECT(AL312)),"x")</f>
        <v>4</v>
      </c>
      <c r="BI312" s="23" cm="1">
        <f t="array" aca="1" ref="BI312" ca="1">IFERROR(COLUMN(INDIRECT(AM312)),"x")</f>
        <v>18</v>
      </c>
      <c r="BJ312" s="23" cm="1">
        <f t="array" aca="1" ref="BJ312" ca="1">IFERROR(COLUMN(INDIRECT(AN312)),"x")</f>
        <v>17</v>
      </c>
      <c r="BK312" s="23" cm="1">
        <f t="array" aca="1" ref="BK312" ca="1">IFERROR(COLUMN(INDIRECT(AO312)),"x")</f>
        <v>16</v>
      </c>
      <c r="BL312" s="23" cm="1">
        <f t="array" aca="1" ref="BL312" ca="1">IFERROR(COLUMN(INDIRECT(AP312)),"x")</f>
        <v>8</v>
      </c>
      <c r="BM312" s="23" cm="1">
        <f t="array" aca="1" ref="BM312" ca="1">IFERROR(COLUMN(INDIRECT(AQ312)),"x")</f>
        <v>14</v>
      </c>
      <c r="BN312" s="23" cm="1">
        <f t="array" aca="1" ref="BN312" ca="1">IFERROR(COLUMN(INDIRECT(AR312)),"x")</f>
        <v>13</v>
      </c>
      <c r="BO312" s="23" cm="1">
        <f t="array" aca="1" ref="BO312" ca="1">IFERROR(COLUMN(INDIRECT(AS312)),"x")</f>
        <v>11</v>
      </c>
      <c r="BP312" s="23" cm="1">
        <f t="array" aca="1" ref="BP312" ca="1">IFERROR(COLUMN(INDIRECT(AT312)),"x")</f>
        <v>12</v>
      </c>
      <c r="BQ312" s="23" cm="1">
        <f t="array" aca="1" ref="BQ312" ca="1">IFERROR(COLUMN(INDIRECT(AU312)),"x")</f>
        <v>10</v>
      </c>
      <c r="BR312" s="23" cm="1">
        <f t="array" aca="1" ref="BR312" ca="1">IFERROR(COLUMN(INDIRECT(AV312)),"x")</f>
        <v>14</v>
      </c>
      <c r="BS312" s="23" cm="1">
        <f t="array" aca="1" ref="BS312" ca="1">IFERROR(COLUMN(INDIRECT(AW312)),"x")</f>
        <v>15</v>
      </c>
      <c r="BT312" s="23" cm="1">
        <f t="array" aca="1" ref="BT312" ca="1">IFERROR(COLUMN(INDIRECT(AX312)),"x")</f>
        <v>7</v>
      </c>
      <c r="BU312" s="23" cm="1">
        <f t="array" aca="1" ref="BU312" ca="1">IFERROR(COLUMN(INDIRECT(AY312)),"x")</f>
        <v>6</v>
      </c>
      <c r="BW312" s="23" t="str">
        <f t="shared" ca="1" si="40"/>
        <v>x</v>
      </c>
      <c r="BX312" s="23" t="str">
        <f t="shared" ca="1" si="41"/>
        <v>x</v>
      </c>
      <c r="BY312" s="23" t="str">
        <f t="shared" ca="1" si="42"/>
        <v>x</v>
      </c>
      <c r="BZ312" s="23" t="str">
        <f t="shared" ca="1" si="43"/>
        <v>x</v>
      </c>
      <c r="CA312" s="23">
        <f t="shared" ca="1" si="44"/>
        <v>-1</v>
      </c>
      <c r="CB312" s="23">
        <f t="shared" ca="1" si="45"/>
        <v>1</v>
      </c>
      <c r="CC312" s="23">
        <f t="shared" ca="1" si="46"/>
        <v>-1</v>
      </c>
      <c r="CD312" s="23">
        <f t="shared" ca="1" si="47"/>
        <v>1</v>
      </c>
      <c r="CE312" s="23">
        <f t="shared" ca="1" si="48"/>
        <v>1</v>
      </c>
      <c r="CF312" s="23">
        <f t="shared" ca="1" si="49"/>
        <v>1</v>
      </c>
      <c r="CG312" s="23">
        <f t="shared" ca="1" si="50"/>
        <v>-1</v>
      </c>
      <c r="CH312" s="23">
        <f t="shared" ca="1" si="51"/>
        <v>1</v>
      </c>
      <c r="CI312" s="23">
        <f t="shared" ca="1" si="52"/>
        <v>1</v>
      </c>
      <c r="CJ312" s="23">
        <f t="shared" ca="1" si="53"/>
        <v>-1</v>
      </c>
      <c r="CK312" s="23">
        <f t="shared" ca="1" si="54"/>
        <v>1</v>
      </c>
      <c r="CL312" s="23">
        <f t="shared" ca="1" si="55"/>
        <v>-1</v>
      </c>
      <c r="CM312" s="23">
        <f t="shared" ca="1" si="56"/>
        <v>1</v>
      </c>
      <c r="CN312" s="23">
        <f t="shared" ca="1" si="57"/>
        <v>1</v>
      </c>
      <c r="CO312" s="23">
        <f t="shared" ca="1" si="58"/>
        <v>-1</v>
      </c>
      <c r="CP312" s="23">
        <f t="shared" ca="1" si="59"/>
        <v>-1</v>
      </c>
      <c r="CQ312" s="75"/>
      <c r="CR312" s="23" t="str" cm="1">
        <f t="array" aca="1" ref="CR312" ca="1">_xlfn.LET(
_xlpm.x, IFERROR(SUBSTITUTE(CELL("adres",OFFSET(INDIRECT(AF312),,BW312*($I312-$G312)*2,1,1)),"$",""),"x"),
_xlpm.y, IFERROR(IF(OR(COLUMN(INDIRECT(_xlpm.x))&gt;21, COLUMN(INDIRECT(_xlpm.x))&lt;2),"x",_xlpm.x), "x"),
_xlpm.y)</f>
        <v>x</v>
      </c>
      <c r="CS312" s="23" t="str" cm="1">
        <f t="array" aca="1" ref="CS312" ca="1">_xlfn.LET(
_xlpm.x, IFERROR(SUBSTITUTE(CELL("adres",OFFSET(INDIRECT(AG312),,BX312*($I312-$G312)*2,1,1)),"$",""),"x"),
_xlpm.y, IFERROR(IF(OR(COLUMN(INDIRECT(_xlpm.x))&gt;21, COLUMN(INDIRECT(_xlpm.x))&lt;2),"x",_xlpm.x), "x"),
_xlpm.y)</f>
        <v>x</v>
      </c>
      <c r="CT312" s="23" t="str" cm="1">
        <f t="array" aca="1" ref="CT312" ca="1">_xlfn.LET(
_xlpm.x, IFERROR(SUBSTITUTE(CELL("adres",OFFSET(INDIRECT(AH312),,BY312*($I312-$G312)*2,1,1)),"$",""),"x"),
_xlpm.y, IFERROR(IF(OR(COLUMN(INDIRECT(_xlpm.x))&gt;21, COLUMN(INDIRECT(_xlpm.x))&lt;2),"x",_xlpm.x), "x"),
_xlpm.y)</f>
        <v>x</v>
      </c>
      <c r="CU312" s="23" t="str" cm="1">
        <f t="array" aca="1" ref="CU312" ca="1">_xlfn.LET(
_xlpm.x, IFERROR(SUBSTITUTE(CELL("adres",OFFSET(INDIRECT(AI312),,BZ312*($I312-$G312)*2,1,1)),"$",""),"x"),
_xlpm.y, IFERROR(IF(OR(COLUMN(INDIRECT(_xlpm.x))&gt;21, COLUMN(INDIRECT(_xlpm.x))&lt;2),"x",_xlpm.x), "x"),
_xlpm.y)</f>
        <v>x</v>
      </c>
      <c r="CV312" s="23" t="str" cm="1">
        <f t="array" aca="1" ref="CV312" ca="1">_xlfn.LET(
_xlpm.x, IFERROR(SUBSTITUTE(CELL("adres",OFFSET(INDIRECT(AJ312),,CA312*($I312-$G312)*2,1,1)),"$",""),"x"),
_xlpm.y, IFERROR(IF(OR(COLUMN(INDIRECT(_xlpm.x))&gt;21, COLUMN(INDIRECT(_xlpm.x))&lt;2),"x",_xlpm.x), "x"),
_xlpm.y)</f>
        <v>x</v>
      </c>
      <c r="CW312" s="23" t="str" cm="1">
        <f t="array" aca="1" ref="CW312" ca="1">_xlfn.LET(
_xlpm.x, IFERROR(SUBSTITUTE(CELL("adres",OFFSET(INDIRECT(AK312),,CB312*($I312-$G312)*2,1,1)),"$",""),"x"),
_xlpm.y, IFERROR(IF(OR(COLUMN(INDIRECT(_xlpm.x))&gt;21, COLUMN(INDIRECT(_xlpm.x))&lt;2),"x",_xlpm.x), "x"),
_xlpm.y)</f>
        <v>x</v>
      </c>
      <c r="CX312" s="23" t="str" cm="1">
        <f t="array" aca="1" ref="CX312" ca="1">_xlfn.LET(
_xlpm.x, IFERROR(SUBSTITUTE(CELL("adres",OFFSET(INDIRECT(AL312),,CC312*($I312-$G312)*2,1,1)),"$",""),"x"),
_xlpm.y, IFERROR(IF(OR(COLUMN(INDIRECT(_xlpm.x))&gt;21, COLUMN(INDIRECT(_xlpm.x))&lt;2),"x",_xlpm.x), "x"),
_xlpm.y)</f>
        <v>B17</v>
      </c>
      <c r="CY312" s="23" t="str" cm="1">
        <f t="array" aca="1" ref="CY312" ca="1">_xlfn.LET(
_xlpm.x, IFERROR(SUBSTITUTE(CELL("adres",OFFSET(INDIRECT(AM312),,CD312*($I312-$G312)*2,1,1)),"$",""),"x"),
_xlpm.y, IFERROR(IF(OR(COLUMN(INDIRECT(_xlpm.x))&gt;21, COLUMN(INDIRECT(_xlpm.x))&lt;2),"x",_xlpm.x), "x"),
_xlpm.y)</f>
        <v>T4</v>
      </c>
      <c r="CZ312" s="23" t="str" cm="1">
        <f t="array" aca="1" ref="CZ312" ca="1">_xlfn.LET(
_xlpm.x, IFERROR(SUBSTITUTE(CELL("adres",OFFSET(INDIRECT(AN312),,CE312*($I312-$G312)*2,1,1)),"$",""),"x"),
_xlpm.y, IFERROR(IF(OR(COLUMN(INDIRECT(_xlpm.x))&gt;21, COLUMN(INDIRECT(_xlpm.x))&lt;2),"x",_xlpm.x), "x"),
_xlpm.y)</f>
        <v>S17</v>
      </c>
      <c r="DA312" s="23" t="str" cm="1">
        <f t="array" aca="1" ref="DA312" ca="1">_xlfn.LET(
_xlpm.x, IFERROR(SUBSTITUTE(CELL("adres",OFFSET(INDIRECT(AO312),,CF312*($I312-$G312)*2,1,1)),"$",""),"x"),
_xlpm.y, IFERROR(IF(OR(COLUMN(INDIRECT(_xlpm.x))&gt;21, COLUMN(INDIRECT(_xlpm.x))&lt;2),"x",_xlpm.x), "x"),
_xlpm.y)</f>
        <v>R9</v>
      </c>
      <c r="DB312" s="23" t="str" cm="1">
        <f t="array" aca="1" ref="DB312" ca="1">_xlfn.LET(
_xlpm.x, IFERROR(SUBSTITUTE(CELL("adres",OFFSET(INDIRECT(AP312),,CG312*($I312-$G312)*2,1,1)),"$",""),"x"),
_xlpm.y, IFERROR(IF(OR(COLUMN(INDIRECT(_xlpm.x))&gt;21, COLUMN(INDIRECT(_xlpm.x))&lt;2),"x",_xlpm.x), "x"),
_xlpm.y)</f>
        <v>F14</v>
      </c>
      <c r="DC312" s="23" t="str" cm="1">
        <f t="array" aca="1" ref="DC312" ca="1">_xlfn.LET(
_xlpm.x, IFERROR(SUBSTITUTE(CELL("adres",OFFSET(INDIRECT(AQ312),,CH312*($I312-$G312)*2,1,1)),"$",""),"x"),
_xlpm.y, IFERROR(IF(OR(COLUMN(INDIRECT(_xlpm.x))&gt;21, COLUMN(INDIRECT(_xlpm.x))&lt;2),"x",_xlpm.x), "x"),
_xlpm.y)</f>
        <v>P15</v>
      </c>
      <c r="DD312" s="23" t="str" cm="1">
        <f t="array" aca="1" ref="DD312" ca="1">_xlfn.LET(
_xlpm.x, IFERROR(SUBSTITUTE(CELL("adres",OFFSET(INDIRECT(AR312),,CI312*($I312-$G312)*2,1,1)),"$",""),"x"),
_xlpm.y, IFERROR(IF(OR(COLUMN(INDIRECT(_xlpm.x))&gt;21, COLUMN(INDIRECT(_xlpm.x))&lt;2),"x",_xlpm.x), "x"),
_xlpm.y)</f>
        <v>O9</v>
      </c>
      <c r="DE312" s="23" t="str" cm="1">
        <f t="array" aca="1" ref="DE312" ca="1">_xlfn.LET(
_xlpm.x, IFERROR(SUBSTITUTE(CELL("adres",OFFSET(INDIRECT(AS312),,CJ312*($I312-$G312)*2,1,1)),"$",""),"x"),
_xlpm.y, IFERROR(IF(OR(COLUMN(INDIRECT(_xlpm.x))&gt;21, COLUMN(INDIRECT(_xlpm.x))&lt;2),"x",_xlpm.x), "x"),
_xlpm.y)</f>
        <v>I12</v>
      </c>
      <c r="DF312" s="23" t="str" cm="1">
        <f t="array" aca="1" ref="DF312" ca="1">_xlfn.LET(
_xlpm.x, IFERROR(SUBSTITUTE(CELL("adres",OFFSET(INDIRECT(AT312),,CK312*($I312-$G312)*2,1,1)),"$",""),"x"),
_xlpm.y, IFERROR(IF(OR(COLUMN(INDIRECT(_xlpm.x))&gt;21, COLUMN(INDIRECT(_xlpm.x))&lt;2),"x",_xlpm.x), "x"),
_xlpm.y)</f>
        <v>N6</v>
      </c>
      <c r="DG312" s="23" t="str" cm="1">
        <f t="array" aca="1" ref="DG312" ca="1">_xlfn.LET(
_xlpm.x, IFERROR(SUBSTITUTE(CELL("adres",OFFSET(INDIRECT(AU312),,CL312*($I312-$G312)*2,1,1)),"$",""),"x"),
_xlpm.y, IFERROR(IF(OR(COLUMN(INDIRECT(_xlpm.x))&gt;21, COLUMN(INDIRECT(_xlpm.x))&lt;2),"x",_xlpm.x), "x"),
_xlpm.y)</f>
        <v>H6</v>
      </c>
      <c r="DH312" s="23" t="str" cm="1">
        <f t="array" aca="1" ref="DH312" ca="1">_xlfn.LET(
_xlpm.x, IFERROR(SUBSTITUTE(CELL("adres",OFFSET(INDIRECT(AV312),,CM312*($I312-$G312)*2,1,1)),"$",""),"x"),
_xlpm.y, IFERROR(IF(OR(COLUMN(INDIRECT(_xlpm.x))&gt;21, COLUMN(INDIRECT(_xlpm.x))&lt;2),"x",_xlpm.x), "x"),
_xlpm.y)</f>
        <v>P19</v>
      </c>
      <c r="DI312" s="23" t="str" cm="1">
        <f t="array" aca="1" ref="DI312" ca="1">_xlfn.LET(
_xlpm.x, IFERROR(SUBSTITUTE(CELL("adres",OFFSET(INDIRECT(AW312),,CN312*($I312-$G312)*2,1,1)),"$",""),"x"),
_xlpm.y, IFERROR(IF(OR(COLUMN(INDIRECT(_xlpm.x))&gt;21, COLUMN(INDIRECT(_xlpm.x))&lt;2),"x",_xlpm.x), "x"),
_xlpm.y)</f>
        <v>Q20</v>
      </c>
      <c r="DJ312" s="23" t="str" cm="1">
        <f t="array" aca="1" ref="DJ312" ca="1">_xlfn.LET(
_xlpm.x, IFERROR(SUBSTITUTE(CELL("adres",OFFSET(INDIRECT(AX312),,CO312*($I312-$G312)*2,1,1)),"$",""),"x"),
_xlpm.y, IFERROR(IF(OR(COLUMN(INDIRECT(_xlpm.x))&gt;21, COLUMN(INDIRECT(_xlpm.x))&lt;2),"x",_xlpm.x), "x"),
_xlpm.y)</f>
        <v>E10</v>
      </c>
      <c r="DK312" s="23" t="str" cm="1">
        <f t="array" aca="1" ref="DK312" ca="1">_xlfn.LET(
_xlpm.x, IFERROR(SUBSTITUTE(CELL("adres",OFFSET(INDIRECT(AY312),,CP312*($I312-$G312)*2,1,1)),"$",""),"x"),
_xlpm.y, IFERROR(IF(OR(COLUMN(INDIRECT(_xlpm.x))&gt;21, COLUMN(INDIRECT(_xlpm.x))&lt;2),"x",_xlpm.x), "x"),
_xlpm.y)</f>
        <v>D14</v>
      </c>
      <c r="DM312" s="23" t="e" cm="1">
        <f t="array" aca="1" ref="DM312" ca="1">ROW(INDIRECT(CR312))</f>
        <v>#REF!</v>
      </c>
      <c r="DN312" s="23" cm="1">
        <f t="array" aca="1" ref="DN312" ca="1">ROW(INDIRECT(J312))</f>
        <v>21</v>
      </c>
      <c r="DO312" s="23" t="e">
        <f t="shared" ca="1" si="60"/>
        <v>#REF!</v>
      </c>
      <c r="DP312" s="23" t="e" cm="1">
        <f t="array" aca="1" ref="DP312" ca="1">COLUMN(INDIRECT(CR312))</f>
        <v>#REF!</v>
      </c>
      <c r="DQ312" s="23" cm="1">
        <f t="array" aca="1" ref="DQ312" ca="1">COLUMN(INDIRECT(J312))</f>
        <v>18</v>
      </c>
      <c r="DR312" s="23" t="e">
        <f t="shared" ca="1" si="61"/>
        <v>#REF!</v>
      </c>
      <c r="DS312" s="23">
        <f t="shared" ca="1" si="39"/>
        <v>1000</v>
      </c>
      <c r="DU312" s="23" cm="1">
        <f t="array" aca="1" ref="DU312" ca="1">IFERROR(MAX(ABS(ROW(INDIRECT($J312))-ROW(INDIRECT(CR312))),ABS(COLUMN(INDIRECT($J312))-COLUMN(INDIRECT(CR312)))),1000)</f>
        <v>1000</v>
      </c>
      <c r="DV312" s="23" cm="1">
        <f t="array" aca="1" ref="DV312" ca="1">IFERROR(MAX(ABS(ROW(INDIRECT($J312))-ROW(INDIRECT(CS312))),ABS(COLUMN(INDIRECT($J312))-COLUMN(INDIRECT(CS312)))),1000)</f>
        <v>1000</v>
      </c>
      <c r="DW312" s="23" cm="1">
        <f t="array" aca="1" ref="DW312" ca="1">IFERROR(MAX(ABS(ROW(INDIRECT($J312))-ROW(INDIRECT(CT312))),ABS(COLUMN(INDIRECT($J312))-COLUMN(INDIRECT(CT312)))),1000)</f>
        <v>1000</v>
      </c>
      <c r="DX312" s="23" cm="1">
        <f t="array" aca="1" ref="DX312" ca="1">IFERROR(MAX(ABS(ROW(INDIRECT($J312))-ROW(INDIRECT(CU312))),ABS(COLUMN(INDIRECT($J312))-COLUMN(INDIRECT(CU312)))),1000)</f>
        <v>1000</v>
      </c>
      <c r="DY312" s="23" cm="1">
        <f t="array" aca="1" ref="DY312" ca="1">IFERROR(MAX(ABS(ROW(INDIRECT($J312))-ROW(INDIRECT(CV312))),ABS(COLUMN(INDIRECT($J312))-COLUMN(INDIRECT(CV312)))),1000)</f>
        <v>1000</v>
      </c>
      <c r="DZ312" s="23" cm="1">
        <f t="array" aca="1" ref="DZ312" ca="1">IFERROR(MAX(ABS(ROW(INDIRECT($J312))-ROW(INDIRECT(CW312))),ABS(COLUMN(INDIRECT($J312))-COLUMN(INDIRECT(CW312)))),1000)</f>
        <v>1000</v>
      </c>
      <c r="EA312" s="23" cm="1">
        <f t="array" aca="1" ref="EA312" ca="1">IFERROR(MAX(ABS(ROW(INDIRECT($J312))-ROW(INDIRECT(CX312))),ABS(COLUMN(INDIRECT($J312))-COLUMN(INDIRECT(CX312)))),1000)</f>
        <v>16</v>
      </c>
      <c r="EB312" s="23" cm="1">
        <f t="array" aca="1" ref="EB312" ca="1">IFERROR(MAX(ABS(ROW(INDIRECT($J312))-ROW(INDIRECT(CY312))),ABS(COLUMN(INDIRECT($J312))-COLUMN(INDIRECT(CY312)))),1000)</f>
        <v>17</v>
      </c>
      <c r="EC312" s="23" cm="1">
        <f t="array" aca="1" ref="EC312" ca="1">IFERROR(MAX(ABS(ROW(INDIRECT($J312))-ROW(INDIRECT(CZ312))),ABS(COLUMN(INDIRECT($J312))-COLUMN(INDIRECT(CZ312)))),1000)</f>
        <v>4</v>
      </c>
      <c r="ED312" s="23" cm="1">
        <f t="array" aca="1" ref="ED312" ca="1">IFERROR(MAX(ABS(ROW(INDIRECT($J312))-ROW(INDIRECT(DA312))),ABS(COLUMN(INDIRECT($J312))-COLUMN(INDIRECT(DA312)))),1000)</f>
        <v>12</v>
      </c>
      <c r="EE312" s="23" cm="1">
        <f t="array" aca="1" ref="EE312" ca="1">IFERROR(MAX(ABS(ROW(INDIRECT($J312))-ROW(INDIRECT(DB312))),ABS(COLUMN(INDIRECT($J312))-COLUMN(INDIRECT(DB312)))),1000)</f>
        <v>12</v>
      </c>
      <c r="EF312" s="23" cm="1">
        <f t="array" aca="1" ref="EF312" ca="1">IFERROR(MAX(ABS(ROW(INDIRECT($J312))-ROW(INDIRECT(DC312))),ABS(COLUMN(INDIRECT($J312))-COLUMN(INDIRECT(DC312)))),1000)</f>
        <v>6</v>
      </c>
      <c r="EG312" s="23" cm="1">
        <f t="array" aca="1" ref="EG312" ca="1">IFERROR(MAX(ABS(ROW(INDIRECT($J312))-ROW(INDIRECT(DD312))),ABS(COLUMN(INDIRECT($J312))-COLUMN(INDIRECT(DD312)))),1000)</f>
        <v>12</v>
      </c>
      <c r="EH312" s="23" cm="1">
        <f t="array" aca="1" ref="EH312" ca="1">IFERROR(MAX(ABS(ROW(INDIRECT($J312))-ROW(INDIRECT(DE312))),ABS(COLUMN(INDIRECT($J312))-COLUMN(INDIRECT(DE312)))),1000)</f>
        <v>9</v>
      </c>
      <c r="EI312" s="23" cm="1">
        <f t="array" aca="1" ref="EI312" ca="1">IFERROR(MAX(ABS(ROW(INDIRECT($J312))-ROW(INDIRECT(DF312))),ABS(COLUMN(INDIRECT($J312))-COLUMN(INDIRECT(DF312)))),1000)</f>
        <v>15</v>
      </c>
      <c r="EJ312" s="23" cm="1">
        <f t="array" aca="1" ref="EJ312" ca="1">IFERROR(MAX(ABS(ROW(INDIRECT($J312))-ROW(INDIRECT(DG312))),ABS(COLUMN(INDIRECT($J312))-COLUMN(INDIRECT(DG312)))),1000)</f>
        <v>15</v>
      </c>
      <c r="EK312" s="23" cm="1">
        <f t="array" aca="1" ref="EK312" ca="1">IFERROR(MAX(ABS(ROW(INDIRECT($J312))-ROW(INDIRECT(DH312))),ABS(COLUMN(INDIRECT($J312))-COLUMN(INDIRECT(DH312)))),1000)</f>
        <v>2</v>
      </c>
      <c r="EL312" s="23" cm="1">
        <f t="array" aca="1" ref="EL312" ca="1">IFERROR(MAX(ABS(ROW(INDIRECT($J312))-ROW(INDIRECT(DI312))),ABS(COLUMN(INDIRECT($J312))-COLUMN(INDIRECT(DI312)))),1000)</f>
        <v>1</v>
      </c>
      <c r="EM312" s="23" cm="1">
        <f t="array" aca="1" ref="EM312" ca="1">IFERROR(MAX(ABS(ROW(INDIRECT($J312))-ROW(INDIRECT(DJ312))),ABS(COLUMN(INDIRECT($J312))-COLUMN(INDIRECT(DJ312)))),1000)</f>
        <v>13</v>
      </c>
      <c r="EN312" s="23" cm="1">
        <f t="array" aca="1" ref="EN312" ca="1">IFERROR(MAX(ABS(ROW(INDIRECT($J312))-ROW(INDIRECT(DK312))),ABS(COLUMN(INDIRECT($J312))-COLUMN(INDIRECT(DK312)))),1000)</f>
        <v>14</v>
      </c>
      <c r="EP312" s="23">
        <f t="shared" ca="1" si="62"/>
        <v>1</v>
      </c>
      <c r="EQ312" s="23">
        <f t="shared" ca="1" si="63"/>
        <v>1</v>
      </c>
      <c r="ER312" s="23">
        <f t="shared" ca="1" si="64"/>
        <v>18</v>
      </c>
      <c r="ES312" s="23" t="str" cm="1">
        <f t="array" aca="1" ref="ES312" ca="1">INDEX(CR312:DK312,1,ER312)</f>
        <v>Q20</v>
      </c>
    </row>
    <row r="313" spans="2:149" ht="22.5" customHeight="1">
      <c r="B313" s="32">
        <f t="shared" si="65"/>
        <v>126</v>
      </c>
      <c r="C313" s="32">
        <v>7</v>
      </c>
      <c r="D313" s="30">
        <v>12</v>
      </c>
      <c r="E313" s="34" t="str">
        <f ca="1"/>
        <v>S5</v>
      </c>
      <c r="F313" s="103"/>
      <c r="G313" s="33">
        <v>24</v>
      </c>
      <c r="H313" s="33" t="s">
        <v>285</v>
      </c>
      <c r="I313" s="33">
        <v>26</v>
      </c>
      <c r="J313" s="33" t="s">
        <v>286</v>
      </c>
      <c r="K313" s="33" t="s">
        <v>191</v>
      </c>
      <c r="L313" s="33" t="s">
        <v>61</v>
      </c>
      <c r="M313" s="33" t="s">
        <v>190</v>
      </c>
      <c r="N313" s="33" t="s">
        <v>88</v>
      </c>
      <c r="O313" s="33" t="s">
        <v>110</v>
      </c>
      <c r="P313" s="33" t="s">
        <v>62</v>
      </c>
      <c r="Q313" s="33" t="s">
        <v>50</v>
      </c>
      <c r="R313" s="33" t="s">
        <v>81</v>
      </c>
      <c r="S313" s="33" t="s">
        <v>56</v>
      </c>
      <c r="T313" s="33" t="s">
        <v>92</v>
      </c>
      <c r="U313" s="33" t="s">
        <v>109</v>
      </c>
      <c r="V313" s="33" t="s">
        <v>137</v>
      </c>
      <c r="W313" s="33" t="s">
        <v>144</v>
      </c>
      <c r="X313" s="33" t="s">
        <v>52</v>
      </c>
      <c r="Y313" s="33" t="s">
        <v>84</v>
      </c>
      <c r="Z313" s="33" t="s">
        <v>114</v>
      </c>
      <c r="AA313" s="33" t="s">
        <v>59</v>
      </c>
      <c r="AB313" s="33" t="s">
        <v>200</v>
      </c>
      <c r="AC313" s="33" t="s">
        <v>66</v>
      </c>
      <c r="AD313" s="33" t="s">
        <v>181</v>
      </c>
      <c r="AF313" s="31" t="str" cm="1">
        <f t="array" aca="1" ref="AF313" ca="1">_xlfn.LET(
_xlpm.x, IF(K$303&gt;$G313,"x",IFERROR(SUBSTITUTE(CELL("adres",OFFSET(INDIRECT(K313),,IF(LEFT(K313)="V",-1,1)*($G313-K$303),1,1)),"$",""),"x")),
_xlpm.y, IFERROR(IF(OR(COLUMN(INDIRECT(_xlpm.x))&gt;21, COLUMN(INDIRECT(_xlpm.x)) &lt;2), "x",_xlpm.x),"x"),
_xlpm.y)</f>
        <v>x</v>
      </c>
      <c r="AG313" s="31" t="str" cm="1">
        <f t="array" aca="1" ref="AG313" ca="1">_xlfn.LET(
_xlpm.x, IF(L$303&gt;$G313,"x",IFERROR(SUBSTITUTE(CELL("adres",OFFSET(INDIRECT(L313),,IF(LEFT(L313)="V",-1,1)*($G313-L$303),1,1)),"$",""),"x")),
_xlpm.y, IFERROR(IF(OR(COLUMN(INDIRECT(_xlpm.x))&gt;21, COLUMN(INDIRECT(_xlpm.x)) &lt;2), "x",_xlpm.x),"x"),
_xlpm.y)</f>
        <v>x</v>
      </c>
      <c r="AH313" s="31" t="str" cm="1">
        <f t="array" aca="1" ref="AH313" ca="1">_xlfn.LET(
_xlpm.x, IF(M$303&gt;$G313,"x",IFERROR(SUBSTITUTE(CELL("adres",OFFSET(INDIRECT(M313),,IF(LEFT(M313)="V",-1,1)*($G313-M$303),1,1)),"$",""),"x")),
_xlpm.y, IFERROR(IF(OR(COLUMN(INDIRECT(_xlpm.x))&gt;21, COLUMN(INDIRECT(_xlpm.x)) &lt;2), "x",_xlpm.x),"x"),
_xlpm.y)</f>
        <v>x</v>
      </c>
      <c r="AI313" s="31" t="str" cm="1">
        <f t="array" aca="1" ref="AI313" ca="1">_xlfn.LET(
_xlpm.x, IF(N$303&gt;$G313,"x",IFERROR(SUBSTITUTE(CELL("adres",OFFSET(INDIRECT(N313),,IF(LEFT(N313)="V",-1,1)*($G313-N$303),1,1)),"$",""),"x")),
_xlpm.y, IFERROR(IF(OR(COLUMN(INDIRECT(_xlpm.x))&gt;21, COLUMN(INDIRECT(_xlpm.x)) &lt;2), "x",_xlpm.x),"x"),
_xlpm.y)</f>
        <v>x</v>
      </c>
      <c r="AJ313" s="31" t="str" cm="1">
        <f t="array" aca="1" ref="AJ313" ca="1">_xlfn.LET(
_xlpm.x, IF(O$303&gt;$G313,"x",IFERROR(SUBSTITUTE(CELL("adres",OFFSET(INDIRECT(O313),,IF(LEFT(O313)="V",-1,1)*($G313-O$303),1,1)),"$",""),"x")),
_xlpm.y, IFERROR(IF(OR(COLUMN(INDIRECT(_xlpm.x))&gt;21, COLUMN(INDIRECT(_xlpm.x)) &lt;2), "x",_xlpm.x),"x"),
_xlpm.y)</f>
        <v>U11</v>
      </c>
      <c r="AK313" s="31" t="str" cm="1">
        <f t="array" aca="1" ref="AK313" ca="1">_xlfn.LET(
_xlpm.x, IF(P$303&gt;$G313,"x",IFERROR(SUBSTITUTE(CELL("adres",OFFSET(INDIRECT(P313),,IF(LEFT(P313)="V",-1,1)*($G313-P$303),1,1)),"$",""),"x")),
_xlpm.y, IFERROR(IF(OR(COLUMN(INDIRECT(_xlpm.x))&gt;21, COLUMN(INDIRECT(_xlpm.x)) &lt;2), "x",_xlpm.x),"x"),
_xlpm.y)</f>
        <v>T6</v>
      </c>
      <c r="AL313" s="31" t="str" cm="1">
        <f t="array" aca="1" ref="AL313" ca="1">_xlfn.LET(
_xlpm.x, IF(Q$303&gt;$G313,"x",IFERROR(SUBSTITUTE(CELL("adres",OFFSET(INDIRECT(Q313),,IF(LEFT(Q313)="V",-1,1)*($G313-Q$303),1,1)),"$",""),"x")),
_xlpm.y, IFERROR(IF(OR(COLUMN(INDIRECT(_xlpm.x))&gt;21, COLUMN(INDIRECT(_xlpm.x)) &lt;2), "x",_xlpm.x),"x"),
_xlpm.y)</f>
        <v>S13</v>
      </c>
      <c r="AM313" s="31" t="str" cm="1">
        <f t="array" aca="1" ref="AM313" ca="1">_xlfn.LET(
_xlpm.x, IF(R$303&gt;$G313,"x",IFERROR(SUBSTITUTE(CELL("adres",OFFSET(INDIRECT(R313),,IF(LEFT(R313)="V",-1,1)*($G313-R$303),1,1)),"$",""),"x")),
_xlpm.y, IFERROR(IF(OR(COLUMN(INDIRECT(_xlpm.x))&gt;21, COLUMN(INDIRECT(_xlpm.x)) &lt;2), "x",_xlpm.x),"x"),
_xlpm.y)</f>
        <v>E12</v>
      </c>
      <c r="AN313" s="31" t="str" cm="1">
        <f t="array" aca="1" ref="AN313" ca="1">_xlfn.LET(
_xlpm.x, IF(S$303&gt;$G313,"x",IFERROR(SUBSTITUTE(CELL("adres",OFFSET(INDIRECT(S313),,IF(LEFT(S313)="V",-1,1)*($G313-S$303),1,1)),"$",""),"x")),
_xlpm.y, IFERROR(IF(OR(COLUMN(INDIRECT(_xlpm.x))&gt;21, COLUMN(INDIRECT(_xlpm.x)) &lt;2), "x",_xlpm.x),"x"),
_xlpm.y)</f>
        <v>Q3</v>
      </c>
      <c r="AO313" s="31" t="str" cm="1">
        <f t="array" aca="1" ref="AO313" ca="1">_xlfn.LET(
_xlpm.x, IF(T$303&gt;$G313,"x",IFERROR(SUBSTITUTE(CELL("adres",OFFSET(INDIRECT(T313),,IF(LEFT(T313)="V",-1,1)*($G313-T$303),1,1)),"$",""),"x")),
_xlpm.y, IFERROR(IF(OR(COLUMN(INDIRECT(_xlpm.x))&gt;21, COLUMN(INDIRECT(_xlpm.x)) &lt;2), "x",_xlpm.x),"x"),
_xlpm.y)</f>
        <v>G5</v>
      </c>
      <c r="AP313" s="31" t="str" cm="1">
        <f t="array" aca="1" ref="AP313" ca="1">_xlfn.LET(
_xlpm.x, IF(U$303&gt;$G313,"x",IFERROR(SUBSTITUTE(CELL("adres",OFFSET(INDIRECT(U313),,IF(LEFT(U313)="V",-1,1)*($G313-U$303),1,1)),"$",""),"x")),
_xlpm.y, IFERROR(IF(OR(COLUMN(INDIRECT(_xlpm.x))&gt;21, COLUMN(INDIRECT(_xlpm.x)) &lt;2), "x",_xlpm.x),"x"),
_xlpm.y)</f>
        <v>O5</v>
      </c>
      <c r="AQ313" s="31" t="str" cm="1">
        <f t="array" aca="1" ref="AQ313" ca="1">_xlfn.LET(
_xlpm.x, IF(V$303&gt;$G313,"x",IFERROR(SUBSTITUTE(CELL("adres",OFFSET(INDIRECT(V313),,IF(LEFT(V313)="V",-1,1)*($G313-V$303),1,1)),"$",""),"x")),
_xlpm.y, IFERROR(IF(OR(COLUMN(INDIRECT(_xlpm.x))&gt;21, COLUMN(INDIRECT(_xlpm.x)) &lt;2), "x",_xlpm.x),"x"),
_xlpm.y)</f>
        <v>I4</v>
      </c>
      <c r="AR313" s="31" t="str" cm="1">
        <f t="array" aca="1" ref="AR313" ca="1">_xlfn.LET(
_xlpm.x, IF(W$303&gt;$G313,"x",IFERROR(SUBSTITUTE(CELL("adres",OFFSET(INDIRECT(W313),,IF(LEFT(W313)="V",-1,1)*($G313-W$303),1,1)),"$",""),"x")),
_xlpm.y, IFERROR(IF(OR(COLUMN(INDIRECT(_xlpm.x))&gt;21, COLUMN(INDIRECT(_xlpm.x)) &lt;2), "x",_xlpm.x),"x"),
_xlpm.y)</f>
        <v>J11</v>
      </c>
      <c r="AS313" s="31" t="str" cm="1">
        <f t="array" aca="1" ref="AS313" ca="1">_xlfn.LET(
_xlpm.x, IF(X$303&gt;$G313,"x",IFERROR(SUBSTITUTE(CELL("adres",OFFSET(INDIRECT(X313),,IF(LEFT(X313)="V",-1,1)*($G313-X$303),1,1)),"$",""),"x")),
_xlpm.y, IFERROR(IF(OR(COLUMN(INDIRECT(_xlpm.x))&gt;21, COLUMN(INDIRECT(_xlpm.x)) &lt;2), "x",_xlpm.x),"x"),
_xlpm.y)</f>
        <v>L25</v>
      </c>
      <c r="AT313" s="31" t="str" cm="1">
        <f t="array" aca="1" ref="AT313" ca="1">_xlfn.LET(
_xlpm.x, IF(Y$303&gt;$G313,"x",IFERROR(SUBSTITUTE(CELL("adres",OFFSET(INDIRECT(Y313),,IF(LEFT(Y313)="V",-1,1)*($G313-Y$303),1,1)),"$",""),"x")),
_xlpm.y, IFERROR(IF(OR(COLUMN(INDIRECT(_xlpm.x))&gt;21, COLUMN(INDIRECT(_xlpm.x)) &lt;2), "x",_xlpm.x),"x"),
_xlpm.y)</f>
        <v>L26</v>
      </c>
      <c r="AU313" s="31" t="str" cm="1">
        <f t="array" aca="1" ref="AU313" ca="1">_xlfn.LET(
_xlpm.x, IF(Z$303&gt;$G313,"x",IFERROR(SUBSTITUTE(CELL("adres",OFFSET(INDIRECT(Z313),,IF(LEFT(Z313)="V",-1,1)*($G313-Z$303),1,1)),"$",""),"x")),
_xlpm.y, IFERROR(IF(OR(COLUMN(INDIRECT(_xlpm.x))&gt;21, COLUMN(INDIRECT(_xlpm.x)) &lt;2), "x",_xlpm.x),"x"),
_xlpm.y)</f>
        <v>M13</v>
      </c>
      <c r="AV313" s="31" t="str" cm="1">
        <f t="array" aca="1" ref="AV313" ca="1">_xlfn.LET(
_xlpm.x, IF(AA$303&gt;$G313,"x",IFERROR(SUBSTITUTE(CELL("adres",OFFSET(INDIRECT(AA313),,IF(LEFT(AA313)="V",-1,1)*($G313-AA$303),1,1)),"$",""),"x")),
_xlpm.y, IFERROR(IF(OR(COLUMN(INDIRECT(_xlpm.x))&gt;21, COLUMN(INDIRECT(_xlpm.x)) &lt;2), "x",_xlpm.x),"x"),
_xlpm.y)</f>
        <v>I7</v>
      </c>
      <c r="AW313" s="31" t="str" cm="1">
        <f t="array" aca="1" ref="AW313" ca="1">_xlfn.LET(
_xlpm.x, IF(AB$303&gt;$G313,"x",IFERROR(SUBSTITUTE(CELL("adres",OFFSET(INDIRECT(AB313),,IF(LEFT(AB313)="V",-1,1)*($G313-AB$303),1,1)),"$",""),"x")),
_xlpm.y, IFERROR(IF(OR(COLUMN(INDIRECT(_xlpm.x))&gt;21, COLUMN(INDIRECT(_xlpm.x)) &lt;2), "x",_xlpm.x),"x"),
_xlpm.y)</f>
        <v>H18</v>
      </c>
      <c r="AX313" s="31" t="str" cm="1">
        <f t="array" aca="1" ref="AX313" ca="1">_xlfn.LET(
_xlpm.x, IF(AC$303&gt;$G313,"x",IFERROR(SUBSTITUTE(CELL("adres",OFFSET(INDIRECT(AC313),,IF(LEFT(AC313)="V",-1,1)*($G313-AC$303),1,1)),"$",""),"x")),
_xlpm.y, IFERROR(IF(OR(COLUMN(INDIRECT(_xlpm.x))&gt;21, COLUMN(INDIRECT(_xlpm.x)) &lt;2), "x",_xlpm.x),"x"),
_xlpm.y)</f>
        <v>G20</v>
      </c>
      <c r="AY313" s="31" t="str" cm="1">
        <f t="array" aca="1" ref="AY313" ca="1">_xlfn.LET(
_xlpm.x, IF(AD$303&gt;$G313,"x",IFERROR(SUBSTITUTE(CELL("adres",OFFSET(INDIRECT(AD313),,IF(LEFT(AD313)="V",-1,1)*($G313-AD$303),1,1)),"$",""),"x")),
_xlpm.y, IFERROR(IF(OR(COLUMN(INDIRECT(_xlpm.x))&gt;21, COLUMN(INDIRECT(_xlpm.x)) &lt;2), "x",_xlpm.x),"x"),
_xlpm.y)</f>
        <v>Q14</v>
      </c>
      <c r="BB313" s="23" t="str" cm="1">
        <f t="array" aca="1" ref="BB313" ca="1">IFERROR(COLUMN(INDIRECT(AF313)),"x")</f>
        <v>x</v>
      </c>
      <c r="BC313" s="23" t="str" cm="1">
        <f t="array" aca="1" ref="BC313" ca="1">IFERROR(COLUMN(INDIRECT(AG313)),"x")</f>
        <v>x</v>
      </c>
      <c r="BD313" s="23" t="str" cm="1">
        <f t="array" aca="1" ref="BD313" ca="1">IFERROR(COLUMN(INDIRECT(AH313)),"x")</f>
        <v>x</v>
      </c>
      <c r="BE313" s="23" t="str" cm="1">
        <f t="array" aca="1" ref="BE313" ca="1">IFERROR(COLUMN(INDIRECT(AI313)),"x")</f>
        <v>x</v>
      </c>
      <c r="BF313" s="23" cm="1">
        <f t="array" aca="1" ref="BF313" ca="1">IFERROR(COLUMN(INDIRECT(AJ313)),"x")</f>
        <v>21</v>
      </c>
      <c r="BG313" s="23" cm="1">
        <f t="array" aca="1" ref="BG313" ca="1">IFERROR(COLUMN(INDIRECT(AK313)),"x")</f>
        <v>20</v>
      </c>
      <c r="BH313" s="23" cm="1">
        <f t="array" aca="1" ref="BH313" ca="1">IFERROR(COLUMN(INDIRECT(AL313)),"x")</f>
        <v>19</v>
      </c>
      <c r="BI313" s="23" cm="1">
        <f t="array" aca="1" ref="BI313" ca="1">IFERROR(COLUMN(INDIRECT(AM313)),"x")</f>
        <v>5</v>
      </c>
      <c r="BJ313" s="23" cm="1">
        <f t="array" aca="1" ref="BJ313" ca="1">IFERROR(COLUMN(INDIRECT(AN313)),"x")</f>
        <v>17</v>
      </c>
      <c r="BK313" s="23" cm="1">
        <f t="array" aca="1" ref="BK313" ca="1">IFERROR(COLUMN(INDIRECT(AO313)),"x")</f>
        <v>7</v>
      </c>
      <c r="BL313" s="23" cm="1">
        <f t="array" aca="1" ref="BL313" ca="1">IFERROR(COLUMN(INDIRECT(AP313)),"x")</f>
        <v>15</v>
      </c>
      <c r="BM313" s="23" cm="1">
        <f t="array" aca="1" ref="BM313" ca="1">IFERROR(COLUMN(INDIRECT(AQ313)),"x")</f>
        <v>9</v>
      </c>
      <c r="BN313" s="23" cm="1">
        <f t="array" aca="1" ref="BN313" ca="1">IFERROR(COLUMN(INDIRECT(AR313)),"x")</f>
        <v>10</v>
      </c>
      <c r="BO313" s="23" cm="1">
        <f t="array" aca="1" ref="BO313" ca="1">IFERROR(COLUMN(INDIRECT(AS313)),"x")</f>
        <v>12</v>
      </c>
      <c r="BP313" s="23" cm="1">
        <f t="array" aca="1" ref="BP313" ca="1">IFERROR(COLUMN(INDIRECT(AT313)),"x")</f>
        <v>12</v>
      </c>
      <c r="BQ313" s="23" cm="1">
        <f t="array" aca="1" ref="BQ313" ca="1">IFERROR(COLUMN(INDIRECT(AU313)),"x")</f>
        <v>13</v>
      </c>
      <c r="BR313" s="23" cm="1">
        <f t="array" aca="1" ref="BR313" ca="1">IFERROR(COLUMN(INDIRECT(AV313)),"x")</f>
        <v>9</v>
      </c>
      <c r="BS313" s="23" cm="1">
        <f t="array" aca="1" ref="BS313" ca="1">IFERROR(COLUMN(INDIRECT(AW313)),"x")</f>
        <v>8</v>
      </c>
      <c r="BT313" s="23" cm="1">
        <f t="array" aca="1" ref="BT313" ca="1">IFERROR(COLUMN(INDIRECT(AX313)),"x")</f>
        <v>7</v>
      </c>
      <c r="BU313" s="23" cm="1">
        <f t="array" aca="1" ref="BU313" ca="1">IFERROR(COLUMN(INDIRECT(AY313)),"x")</f>
        <v>17</v>
      </c>
      <c r="BW313" s="23" t="str">
        <f t="shared" ca="1" si="40"/>
        <v>x</v>
      </c>
      <c r="BX313" s="23" t="str">
        <f t="shared" ca="1" si="41"/>
        <v>x</v>
      </c>
      <c r="BY313" s="23" t="str">
        <f t="shared" ca="1" si="42"/>
        <v>x</v>
      </c>
      <c r="BZ313" s="23" t="str">
        <f t="shared" ca="1" si="43"/>
        <v>x</v>
      </c>
      <c r="CA313" s="23">
        <f t="shared" ca="1" si="44"/>
        <v>1</v>
      </c>
      <c r="CB313" s="23">
        <f t="shared" ca="1" si="45"/>
        <v>1</v>
      </c>
      <c r="CC313" s="23">
        <f t="shared" ca="1" si="46"/>
        <v>1</v>
      </c>
      <c r="CD313" s="23">
        <f t="shared" ca="1" si="47"/>
        <v>-1</v>
      </c>
      <c r="CE313" s="23">
        <f t="shared" ca="1" si="48"/>
        <v>1</v>
      </c>
      <c r="CF313" s="23">
        <f t="shared" ca="1" si="49"/>
        <v>-1</v>
      </c>
      <c r="CG313" s="23">
        <f t="shared" ca="1" si="50"/>
        <v>1</v>
      </c>
      <c r="CH313" s="23">
        <f t="shared" ca="1" si="51"/>
        <v>-1</v>
      </c>
      <c r="CI313" s="23">
        <f t="shared" ca="1" si="52"/>
        <v>-1</v>
      </c>
      <c r="CJ313" s="23">
        <f t="shared" ca="1" si="53"/>
        <v>1</v>
      </c>
      <c r="CK313" s="23">
        <f t="shared" ca="1" si="54"/>
        <v>1</v>
      </c>
      <c r="CL313" s="23">
        <f t="shared" ca="1" si="55"/>
        <v>1</v>
      </c>
      <c r="CM313" s="23">
        <f t="shared" ca="1" si="56"/>
        <v>-1</v>
      </c>
      <c r="CN313" s="23">
        <f t="shared" ca="1" si="57"/>
        <v>-1</v>
      </c>
      <c r="CO313" s="23">
        <f t="shared" ca="1" si="58"/>
        <v>-1</v>
      </c>
      <c r="CP313" s="23">
        <f t="shared" ca="1" si="59"/>
        <v>1</v>
      </c>
      <c r="CQ313" s="75"/>
      <c r="CR313" s="23" t="str" cm="1">
        <f t="array" aca="1" ref="CR313" ca="1">_xlfn.LET(
_xlpm.x, IFERROR(SUBSTITUTE(CELL("adres",OFFSET(INDIRECT(AF313),,BW313*($I313-$G313)*2,1,1)),"$",""),"x"),
_xlpm.y, IFERROR(IF(OR(COLUMN(INDIRECT(_xlpm.x))&gt;21, COLUMN(INDIRECT(_xlpm.x))&lt;2),"x",_xlpm.x), "x"),
_xlpm.y)</f>
        <v>x</v>
      </c>
      <c r="CS313" s="23" t="str" cm="1">
        <f t="array" aca="1" ref="CS313" ca="1">_xlfn.LET(
_xlpm.x, IFERROR(SUBSTITUTE(CELL("adres",OFFSET(INDIRECT(AG313),,BX313*($I313-$G313)*2,1,1)),"$",""),"x"),
_xlpm.y, IFERROR(IF(OR(COLUMN(INDIRECT(_xlpm.x))&gt;21, COLUMN(INDIRECT(_xlpm.x))&lt;2),"x",_xlpm.x), "x"),
_xlpm.y)</f>
        <v>x</v>
      </c>
      <c r="CT313" s="23" t="str" cm="1">
        <f t="array" aca="1" ref="CT313" ca="1">_xlfn.LET(
_xlpm.x, IFERROR(SUBSTITUTE(CELL("adres",OFFSET(INDIRECT(AH313),,BY313*($I313-$G313)*2,1,1)),"$",""),"x"),
_xlpm.y, IFERROR(IF(OR(COLUMN(INDIRECT(_xlpm.x))&gt;21, COLUMN(INDIRECT(_xlpm.x))&lt;2),"x",_xlpm.x), "x"),
_xlpm.y)</f>
        <v>x</v>
      </c>
      <c r="CU313" s="23" t="str" cm="1">
        <f t="array" aca="1" ref="CU313" ca="1">_xlfn.LET(
_xlpm.x, IFERROR(SUBSTITUTE(CELL("adres",OFFSET(INDIRECT(AI313),,BZ313*($I313-$G313)*2,1,1)),"$",""),"x"),
_xlpm.y, IFERROR(IF(OR(COLUMN(INDIRECT(_xlpm.x))&gt;21, COLUMN(INDIRECT(_xlpm.x))&lt;2),"x",_xlpm.x), "x"),
_xlpm.y)</f>
        <v>x</v>
      </c>
      <c r="CV313" s="23" t="str" cm="1">
        <f t="array" aca="1" ref="CV313" ca="1">_xlfn.LET(
_xlpm.x, IFERROR(SUBSTITUTE(CELL("adres",OFFSET(INDIRECT(AJ313),,CA313*($I313-$G313)*2,1,1)),"$",""),"x"),
_xlpm.y, IFERROR(IF(OR(COLUMN(INDIRECT(_xlpm.x))&gt;21, COLUMN(INDIRECT(_xlpm.x))&lt;2),"x",_xlpm.x), "x"),
_xlpm.y)</f>
        <v>x</v>
      </c>
      <c r="CW313" s="23" t="str" cm="1">
        <f t="array" aca="1" ref="CW313" ca="1">_xlfn.LET(
_xlpm.x, IFERROR(SUBSTITUTE(CELL("adres",OFFSET(INDIRECT(AK313),,CB313*($I313-$G313)*2,1,1)),"$",""),"x"),
_xlpm.y, IFERROR(IF(OR(COLUMN(INDIRECT(_xlpm.x))&gt;21, COLUMN(INDIRECT(_xlpm.x))&lt;2),"x",_xlpm.x), "x"),
_xlpm.y)</f>
        <v>x</v>
      </c>
      <c r="CX313" s="23" t="str" cm="1">
        <f t="array" aca="1" ref="CX313" ca="1">_xlfn.LET(
_xlpm.x, IFERROR(SUBSTITUTE(CELL("adres",OFFSET(INDIRECT(AL313),,CC313*($I313-$G313)*2,1,1)),"$",""),"x"),
_xlpm.y, IFERROR(IF(OR(COLUMN(INDIRECT(_xlpm.x))&gt;21, COLUMN(INDIRECT(_xlpm.x))&lt;2),"x",_xlpm.x), "x"),
_xlpm.y)</f>
        <v>x</v>
      </c>
      <c r="CY313" s="23" t="str" cm="1">
        <f t="array" aca="1" ref="CY313" ca="1">_xlfn.LET(
_xlpm.x, IFERROR(SUBSTITUTE(CELL("adres",OFFSET(INDIRECT(AM313),,CD313*($I313-$G313)*2,1,1)),"$",""),"x"),
_xlpm.y, IFERROR(IF(OR(COLUMN(INDIRECT(_xlpm.x))&gt;21, COLUMN(INDIRECT(_xlpm.x))&lt;2),"x",_xlpm.x), "x"),
_xlpm.y)</f>
        <v>x</v>
      </c>
      <c r="CZ313" s="23" t="str" cm="1">
        <f t="array" aca="1" ref="CZ313" ca="1">_xlfn.LET(
_xlpm.x, IFERROR(SUBSTITUTE(CELL("adres",OFFSET(INDIRECT(AN313),,CE313*($I313-$G313)*2,1,1)),"$",""),"x"),
_xlpm.y, IFERROR(IF(OR(COLUMN(INDIRECT(_xlpm.x))&gt;21, COLUMN(INDIRECT(_xlpm.x))&lt;2),"x",_xlpm.x), "x"),
_xlpm.y)</f>
        <v>U3</v>
      </c>
      <c r="DA313" s="23" t="str" cm="1">
        <f t="array" aca="1" ref="DA313" ca="1">_xlfn.LET(
_xlpm.x, IFERROR(SUBSTITUTE(CELL("adres",OFFSET(INDIRECT(AO313),,CF313*($I313-$G313)*2,1,1)),"$",""),"x"),
_xlpm.y, IFERROR(IF(OR(COLUMN(INDIRECT(_xlpm.x))&gt;21, COLUMN(INDIRECT(_xlpm.x))&lt;2),"x",_xlpm.x), "x"),
_xlpm.y)</f>
        <v>C5</v>
      </c>
      <c r="DB313" s="23" t="str" cm="1">
        <f t="array" aca="1" ref="DB313" ca="1">_xlfn.LET(
_xlpm.x, IFERROR(SUBSTITUTE(CELL("adres",OFFSET(INDIRECT(AP313),,CG313*($I313-$G313)*2,1,1)),"$",""),"x"),
_xlpm.y, IFERROR(IF(OR(COLUMN(INDIRECT(_xlpm.x))&gt;21, COLUMN(INDIRECT(_xlpm.x))&lt;2),"x",_xlpm.x), "x"),
_xlpm.y)</f>
        <v>S5</v>
      </c>
      <c r="DC313" s="23" t="str" cm="1">
        <f t="array" aca="1" ref="DC313" ca="1">_xlfn.LET(
_xlpm.x, IFERROR(SUBSTITUTE(CELL("adres",OFFSET(INDIRECT(AQ313),,CH313*($I313-$G313)*2,1,1)),"$",""),"x"),
_xlpm.y, IFERROR(IF(OR(COLUMN(INDIRECT(_xlpm.x))&gt;21, COLUMN(INDIRECT(_xlpm.x))&lt;2),"x",_xlpm.x), "x"),
_xlpm.y)</f>
        <v>E4</v>
      </c>
      <c r="DD313" s="23" t="str" cm="1">
        <f t="array" aca="1" ref="DD313" ca="1">_xlfn.LET(
_xlpm.x, IFERROR(SUBSTITUTE(CELL("adres",OFFSET(INDIRECT(AR313),,CI313*($I313-$G313)*2,1,1)),"$",""),"x"),
_xlpm.y, IFERROR(IF(OR(COLUMN(INDIRECT(_xlpm.x))&gt;21, COLUMN(INDIRECT(_xlpm.x))&lt;2),"x",_xlpm.x), "x"),
_xlpm.y)</f>
        <v>F11</v>
      </c>
      <c r="DE313" s="23" t="str" cm="1">
        <f t="array" aca="1" ref="DE313" ca="1">_xlfn.LET(
_xlpm.x, IFERROR(SUBSTITUTE(CELL("adres",OFFSET(INDIRECT(AS313),,CJ313*($I313-$G313)*2,1,1)),"$",""),"x"),
_xlpm.y, IFERROR(IF(OR(COLUMN(INDIRECT(_xlpm.x))&gt;21, COLUMN(INDIRECT(_xlpm.x))&lt;2),"x",_xlpm.x), "x"),
_xlpm.y)</f>
        <v>P25</v>
      </c>
      <c r="DF313" s="23" t="str" cm="1">
        <f t="array" aca="1" ref="DF313" ca="1">_xlfn.LET(
_xlpm.x, IFERROR(SUBSTITUTE(CELL("adres",OFFSET(INDIRECT(AT313),,CK313*($I313-$G313)*2,1,1)),"$",""),"x"),
_xlpm.y, IFERROR(IF(OR(COLUMN(INDIRECT(_xlpm.x))&gt;21, COLUMN(INDIRECT(_xlpm.x))&lt;2),"x",_xlpm.x), "x"),
_xlpm.y)</f>
        <v>P26</v>
      </c>
      <c r="DG313" s="23" t="str" cm="1">
        <f t="array" aca="1" ref="DG313" ca="1">_xlfn.LET(
_xlpm.x, IFERROR(SUBSTITUTE(CELL("adres",OFFSET(INDIRECT(AU313),,CL313*($I313-$G313)*2,1,1)),"$",""),"x"),
_xlpm.y, IFERROR(IF(OR(COLUMN(INDIRECT(_xlpm.x))&gt;21, COLUMN(INDIRECT(_xlpm.x))&lt;2),"x",_xlpm.x), "x"),
_xlpm.y)</f>
        <v>Q13</v>
      </c>
      <c r="DH313" s="23" t="str" cm="1">
        <f t="array" aca="1" ref="DH313" ca="1">_xlfn.LET(
_xlpm.x, IFERROR(SUBSTITUTE(CELL("adres",OFFSET(INDIRECT(AV313),,CM313*($I313-$G313)*2,1,1)),"$",""),"x"),
_xlpm.y, IFERROR(IF(OR(COLUMN(INDIRECT(_xlpm.x))&gt;21, COLUMN(INDIRECT(_xlpm.x))&lt;2),"x",_xlpm.x), "x"),
_xlpm.y)</f>
        <v>E7</v>
      </c>
      <c r="DI313" s="23" t="str" cm="1">
        <f t="array" aca="1" ref="DI313" ca="1">_xlfn.LET(
_xlpm.x, IFERROR(SUBSTITUTE(CELL("adres",OFFSET(INDIRECT(AW313),,CN313*($I313-$G313)*2,1,1)),"$",""),"x"),
_xlpm.y, IFERROR(IF(OR(COLUMN(INDIRECT(_xlpm.x))&gt;21, COLUMN(INDIRECT(_xlpm.x))&lt;2),"x",_xlpm.x), "x"),
_xlpm.y)</f>
        <v>D18</v>
      </c>
      <c r="DJ313" s="23" t="str" cm="1">
        <f t="array" aca="1" ref="DJ313" ca="1">_xlfn.LET(
_xlpm.x, IFERROR(SUBSTITUTE(CELL("adres",OFFSET(INDIRECT(AX313),,CO313*($I313-$G313)*2,1,1)),"$",""),"x"),
_xlpm.y, IFERROR(IF(OR(COLUMN(INDIRECT(_xlpm.x))&gt;21, COLUMN(INDIRECT(_xlpm.x))&lt;2),"x",_xlpm.x), "x"),
_xlpm.y)</f>
        <v>C20</v>
      </c>
      <c r="DK313" s="23" t="str" cm="1">
        <f t="array" aca="1" ref="DK313" ca="1">_xlfn.LET(
_xlpm.x, IFERROR(SUBSTITUTE(CELL("adres",OFFSET(INDIRECT(AY313),,CP313*($I313-$G313)*2,1,1)),"$",""),"x"),
_xlpm.y, IFERROR(IF(OR(COLUMN(INDIRECT(_xlpm.x))&gt;21, COLUMN(INDIRECT(_xlpm.x))&lt;2),"x",_xlpm.x), "x"),
_xlpm.y)</f>
        <v>U14</v>
      </c>
      <c r="DM313" s="23" t="e" cm="1">
        <f t="array" aca="1" ref="DM313" ca="1">ROW(INDIRECT(CR313))</f>
        <v>#REF!</v>
      </c>
      <c r="DN313" s="23" cm="1">
        <f t="array" aca="1" ref="DN313" ca="1">ROW(INDIRECT(J313))</f>
        <v>7</v>
      </c>
      <c r="DO313" s="23" t="e">
        <f t="shared" ca="1" si="60"/>
        <v>#REF!</v>
      </c>
      <c r="DP313" s="23" t="e" cm="1">
        <f t="array" aca="1" ref="DP313" ca="1">COLUMN(INDIRECT(CR313))</f>
        <v>#REF!</v>
      </c>
      <c r="DQ313" s="23" cm="1">
        <f t="array" aca="1" ref="DQ313" ca="1">COLUMN(INDIRECT(J313))</f>
        <v>18</v>
      </c>
      <c r="DR313" s="23" t="e">
        <f t="shared" ca="1" si="61"/>
        <v>#REF!</v>
      </c>
      <c r="DS313" s="23">
        <f t="shared" ca="1" si="39"/>
        <v>1000</v>
      </c>
      <c r="DU313" s="23" cm="1">
        <f t="array" aca="1" ref="DU313" ca="1">IFERROR(MAX(ABS(ROW(INDIRECT($J313))-ROW(INDIRECT(CR313))),ABS(COLUMN(INDIRECT($J313))-COLUMN(INDIRECT(CR313)))),1000)</f>
        <v>1000</v>
      </c>
      <c r="DV313" s="23" cm="1">
        <f t="array" aca="1" ref="DV313" ca="1">IFERROR(MAX(ABS(ROW(INDIRECT($J313))-ROW(INDIRECT(CS313))),ABS(COLUMN(INDIRECT($J313))-COLUMN(INDIRECT(CS313)))),1000)</f>
        <v>1000</v>
      </c>
      <c r="DW313" s="23" cm="1">
        <f t="array" aca="1" ref="DW313" ca="1">IFERROR(MAX(ABS(ROW(INDIRECT($J313))-ROW(INDIRECT(CT313))),ABS(COLUMN(INDIRECT($J313))-COLUMN(INDIRECT(CT313)))),1000)</f>
        <v>1000</v>
      </c>
      <c r="DX313" s="23" cm="1">
        <f t="array" aca="1" ref="DX313" ca="1">IFERROR(MAX(ABS(ROW(INDIRECT($J313))-ROW(INDIRECT(CU313))),ABS(COLUMN(INDIRECT($J313))-COLUMN(INDIRECT(CU313)))),1000)</f>
        <v>1000</v>
      </c>
      <c r="DY313" s="23" cm="1">
        <f t="array" aca="1" ref="DY313" ca="1">IFERROR(MAX(ABS(ROW(INDIRECT($J313))-ROW(INDIRECT(CV313))),ABS(COLUMN(INDIRECT($J313))-COLUMN(INDIRECT(CV313)))),1000)</f>
        <v>1000</v>
      </c>
      <c r="DZ313" s="23" cm="1">
        <f t="array" aca="1" ref="DZ313" ca="1">IFERROR(MAX(ABS(ROW(INDIRECT($J313))-ROW(INDIRECT(CW313))),ABS(COLUMN(INDIRECT($J313))-COLUMN(INDIRECT(CW313)))),1000)</f>
        <v>1000</v>
      </c>
      <c r="EA313" s="23" cm="1">
        <f t="array" aca="1" ref="EA313" ca="1">IFERROR(MAX(ABS(ROW(INDIRECT($J313))-ROW(INDIRECT(CX313))),ABS(COLUMN(INDIRECT($J313))-COLUMN(INDIRECT(CX313)))),1000)</f>
        <v>1000</v>
      </c>
      <c r="EB313" s="23" cm="1">
        <f t="array" aca="1" ref="EB313" ca="1">IFERROR(MAX(ABS(ROW(INDIRECT($J313))-ROW(INDIRECT(CY313))),ABS(COLUMN(INDIRECT($J313))-COLUMN(INDIRECT(CY313)))),1000)</f>
        <v>1000</v>
      </c>
      <c r="EC313" s="23" cm="1">
        <f t="array" aca="1" ref="EC313" ca="1">IFERROR(MAX(ABS(ROW(INDIRECT($J313))-ROW(INDIRECT(CZ313))),ABS(COLUMN(INDIRECT($J313))-COLUMN(INDIRECT(CZ313)))),1000)</f>
        <v>4</v>
      </c>
      <c r="ED313" s="23" cm="1">
        <f t="array" aca="1" ref="ED313" ca="1">IFERROR(MAX(ABS(ROW(INDIRECT($J313))-ROW(INDIRECT(DA313))),ABS(COLUMN(INDIRECT($J313))-COLUMN(INDIRECT(DA313)))),1000)</f>
        <v>15</v>
      </c>
      <c r="EE313" s="23" cm="1">
        <f t="array" aca="1" ref="EE313" ca="1">IFERROR(MAX(ABS(ROW(INDIRECT($J313))-ROW(INDIRECT(DB313))),ABS(COLUMN(INDIRECT($J313))-COLUMN(INDIRECT(DB313)))),1000)</f>
        <v>2</v>
      </c>
      <c r="EF313" s="23" cm="1">
        <f t="array" aca="1" ref="EF313" ca="1">IFERROR(MAX(ABS(ROW(INDIRECT($J313))-ROW(INDIRECT(DC313))),ABS(COLUMN(INDIRECT($J313))-COLUMN(INDIRECT(DC313)))),1000)</f>
        <v>13</v>
      </c>
      <c r="EG313" s="23" cm="1">
        <f t="array" aca="1" ref="EG313" ca="1">IFERROR(MAX(ABS(ROW(INDIRECT($J313))-ROW(INDIRECT(DD313))),ABS(COLUMN(INDIRECT($J313))-COLUMN(INDIRECT(DD313)))),1000)</f>
        <v>12</v>
      </c>
      <c r="EH313" s="23" cm="1">
        <f t="array" aca="1" ref="EH313" ca="1">IFERROR(MAX(ABS(ROW(INDIRECT($J313))-ROW(INDIRECT(DE313))),ABS(COLUMN(INDIRECT($J313))-COLUMN(INDIRECT(DE313)))),1000)</f>
        <v>18</v>
      </c>
      <c r="EI313" s="23" cm="1">
        <f t="array" aca="1" ref="EI313" ca="1">IFERROR(MAX(ABS(ROW(INDIRECT($J313))-ROW(INDIRECT(DF313))),ABS(COLUMN(INDIRECT($J313))-COLUMN(INDIRECT(DF313)))),1000)</f>
        <v>19</v>
      </c>
      <c r="EJ313" s="23" cm="1">
        <f t="array" aca="1" ref="EJ313" ca="1">IFERROR(MAX(ABS(ROW(INDIRECT($J313))-ROW(INDIRECT(DG313))),ABS(COLUMN(INDIRECT($J313))-COLUMN(INDIRECT(DG313)))),1000)</f>
        <v>6</v>
      </c>
      <c r="EK313" s="23" cm="1">
        <f t="array" aca="1" ref="EK313" ca="1">IFERROR(MAX(ABS(ROW(INDIRECT($J313))-ROW(INDIRECT(DH313))),ABS(COLUMN(INDIRECT($J313))-COLUMN(INDIRECT(DH313)))),1000)</f>
        <v>13</v>
      </c>
      <c r="EL313" s="23" cm="1">
        <f t="array" aca="1" ref="EL313" ca="1">IFERROR(MAX(ABS(ROW(INDIRECT($J313))-ROW(INDIRECT(DI313))),ABS(COLUMN(INDIRECT($J313))-COLUMN(INDIRECT(DI313)))),1000)</f>
        <v>14</v>
      </c>
      <c r="EM313" s="23" cm="1">
        <f t="array" aca="1" ref="EM313" ca="1">IFERROR(MAX(ABS(ROW(INDIRECT($J313))-ROW(INDIRECT(DJ313))),ABS(COLUMN(INDIRECT($J313))-COLUMN(INDIRECT(DJ313)))),1000)</f>
        <v>15</v>
      </c>
      <c r="EN313" s="23" cm="1">
        <f t="array" aca="1" ref="EN313" ca="1">IFERROR(MAX(ABS(ROW(INDIRECT($J313))-ROW(INDIRECT(DK313))),ABS(COLUMN(INDIRECT($J313))-COLUMN(INDIRECT(DK313)))),1000)</f>
        <v>7</v>
      </c>
      <c r="EP313" s="23">
        <f t="shared" ca="1" si="62"/>
        <v>2</v>
      </c>
      <c r="EQ313" s="23">
        <f t="shared" ca="1" si="63"/>
        <v>1</v>
      </c>
      <c r="ER313" s="23">
        <f t="shared" ca="1" si="64"/>
        <v>11</v>
      </c>
      <c r="ES313" s="23" t="str" cm="1">
        <f t="array" aca="1" ref="ES313" ca="1">INDEX(CR313:DK313,1,ER313)</f>
        <v>S5</v>
      </c>
    </row>
    <row r="314" spans="2:149" ht="22.5" customHeight="1">
      <c r="B314" s="32">
        <f t="shared" si="65"/>
        <v>127</v>
      </c>
      <c r="C314" s="32">
        <v>7</v>
      </c>
      <c r="D314" s="30">
        <v>12</v>
      </c>
      <c r="E314" s="34" t="str">
        <f ca="1"/>
        <v>S22</v>
      </c>
      <c r="F314" s="103"/>
      <c r="G314" s="33">
        <v>19</v>
      </c>
      <c r="H314" s="33" t="s">
        <v>287</v>
      </c>
      <c r="I314" s="33">
        <v>21</v>
      </c>
      <c r="J314" s="33" t="s">
        <v>288</v>
      </c>
      <c r="K314" s="33" t="s">
        <v>192</v>
      </c>
      <c r="L314" s="33" t="s">
        <v>56</v>
      </c>
      <c r="M314" s="33" t="s">
        <v>84</v>
      </c>
      <c r="N314" s="33" t="s">
        <v>56</v>
      </c>
      <c r="O314" s="33" t="s">
        <v>155</v>
      </c>
      <c r="P314" s="33" t="s">
        <v>144</v>
      </c>
      <c r="Q314" s="33" t="s">
        <v>60</v>
      </c>
      <c r="R314" s="33" t="s">
        <v>84</v>
      </c>
      <c r="S314" s="33" t="s">
        <v>91</v>
      </c>
      <c r="T314" s="33" t="s">
        <v>51</v>
      </c>
      <c r="U314" s="33" t="s">
        <v>111</v>
      </c>
      <c r="V314" s="33" t="s">
        <v>62</v>
      </c>
      <c r="W314" s="33" t="s">
        <v>89</v>
      </c>
      <c r="X314" s="33" t="s">
        <v>155</v>
      </c>
      <c r="Y314" s="33" t="s">
        <v>82</v>
      </c>
      <c r="Z314" s="33" t="s">
        <v>83</v>
      </c>
      <c r="AA314" s="33" t="s">
        <v>190</v>
      </c>
      <c r="AB314" s="33" t="s">
        <v>155</v>
      </c>
      <c r="AC314" s="33" t="s">
        <v>52</v>
      </c>
      <c r="AD314" s="33" t="s">
        <v>88</v>
      </c>
      <c r="AF314" s="31" t="str" cm="1">
        <f t="array" aca="1" ref="AF314" ca="1">_xlfn.LET(
_xlpm.x, IF(K$303&gt;$G314,"x",IFERROR(SUBSTITUTE(CELL("adres",OFFSET(INDIRECT(K314),,IF(LEFT(K314)="V",-1,1)*($G314-K$303),1,1)),"$",""),"x")),
_xlpm.y, IFERROR(IF(OR(COLUMN(INDIRECT(_xlpm.x))&gt;21, COLUMN(INDIRECT(_xlpm.x)) &lt;2), "x",_xlpm.x),"x"),
_xlpm.y)</f>
        <v>T23</v>
      </c>
      <c r="AG314" s="31" t="str" cm="1">
        <f t="array" aca="1" ref="AG314" ca="1">_xlfn.LET(
_xlpm.x, IF(L$303&gt;$G314,"x",IFERROR(SUBSTITUTE(CELL("adres",OFFSET(INDIRECT(L314),,IF(LEFT(L314)="V",-1,1)*($G314-L$303),1,1)),"$",""),"x")),
_xlpm.y, IFERROR(IF(OR(COLUMN(INDIRECT(_xlpm.x))&gt;21, COLUMN(INDIRECT(_xlpm.x)) &lt;2), "x",_xlpm.x),"x"),
_xlpm.y)</f>
        <v>S3</v>
      </c>
      <c r="AH314" s="31" t="str" cm="1">
        <f t="array" aca="1" ref="AH314" ca="1">_xlfn.LET(
_xlpm.x, IF(M$303&gt;$G314,"x",IFERROR(SUBSTITUTE(CELL("adres",OFFSET(INDIRECT(M314),,IF(LEFT(M314)="V",-1,1)*($G314-M$303),1,1)),"$",""),"x")),
_xlpm.y, IFERROR(IF(OR(COLUMN(INDIRECT(_xlpm.x))&gt;21, COLUMN(INDIRECT(_xlpm.x)) &lt;2), "x",_xlpm.x),"x"),
_xlpm.y)</f>
        <v>E26</v>
      </c>
      <c r="AI314" s="31" t="str" cm="1">
        <f t="array" aca="1" ref="AI314" ca="1">_xlfn.LET(
_xlpm.x, IF(N$303&gt;$G314,"x",IFERROR(SUBSTITUTE(CELL("adres",OFFSET(INDIRECT(N314),,IF(LEFT(N314)="V",-1,1)*($G314-N$303),1,1)),"$",""),"x")),
_xlpm.y, IFERROR(IF(OR(COLUMN(INDIRECT(_xlpm.x))&gt;21, COLUMN(INDIRECT(_xlpm.x)) &lt;2), "x",_xlpm.x),"x"),
_xlpm.y)</f>
        <v>Q3</v>
      </c>
      <c r="AJ314" s="31" t="str" cm="1">
        <f t="array" aca="1" ref="AJ314" ca="1">_xlfn.LET(
_xlpm.x, IF(O$303&gt;$G314,"x",IFERROR(SUBSTITUTE(CELL("adres",OFFSET(INDIRECT(O314),,IF(LEFT(O314)="V",-1,1)*($G314-O$303),1,1)),"$",""),"x")),
_xlpm.y, IFERROR(IF(OR(COLUMN(INDIRECT(_xlpm.x))&gt;21, COLUMN(INDIRECT(_xlpm.x)) &lt;2), "x",_xlpm.x),"x"),
_xlpm.y)</f>
        <v>G20</v>
      </c>
      <c r="AK314" s="31" t="str" cm="1">
        <f t="array" aca="1" ref="AK314" ca="1">_xlfn.LET(
_xlpm.x, IF(P$303&gt;$G314,"x",IFERROR(SUBSTITUTE(CELL("adres",OFFSET(INDIRECT(P314),,IF(LEFT(P314)="V",-1,1)*($G314-P$303),1,1)),"$",""),"x")),
_xlpm.y, IFERROR(IF(OR(COLUMN(INDIRECT(_xlpm.x))&gt;21, COLUMN(INDIRECT(_xlpm.x)) &lt;2), "x",_xlpm.x),"x"),
_xlpm.y)</f>
        <v>H11</v>
      </c>
      <c r="AL314" s="31" t="str" cm="1">
        <f t="array" aca="1" ref="AL314" ca="1">_xlfn.LET(
_xlpm.x, IF(Q$303&gt;$G314,"x",IFERROR(SUBSTITUTE(CELL("adres",OFFSET(INDIRECT(Q314),,IF(LEFT(Q314)="V",-1,1)*($G314-Q$303),1,1)),"$",""),"x")),
_xlpm.y, IFERROR(IF(OR(COLUMN(INDIRECT(_xlpm.x))&gt;21, COLUMN(INDIRECT(_xlpm.x)) &lt;2), "x",_xlpm.x),"x"),
_xlpm.y)</f>
        <v>N21</v>
      </c>
      <c r="AM314" s="31" t="str" cm="1">
        <f t="array" aca="1" ref="AM314" ca="1">_xlfn.LET(
_xlpm.x, IF(R$303&gt;$G314,"x",IFERROR(SUBSTITUTE(CELL("adres",OFFSET(INDIRECT(R314),,IF(LEFT(R314)="V",-1,1)*($G314-R$303),1,1)),"$",""),"x")),
_xlpm.y, IFERROR(IF(OR(COLUMN(INDIRECT(_xlpm.x))&gt;21, COLUMN(INDIRECT(_xlpm.x)) &lt;2), "x",_xlpm.x),"x"),
_xlpm.y)</f>
        <v>J26</v>
      </c>
      <c r="AN314" s="31" t="str" cm="1">
        <f t="array" aca="1" ref="AN314" ca="1">_xlfn.LET(
_xlpm.x, IF(S$303&gt;$G314,"x",IFERROR(SUBSTITUTE(CELL("adres",OFFSET(INDIRECT(S314),,IF(LEFT(S314)="V",-1,1)*($G314-S$303),1,1)),"$",""),"x")),
_xlpm.y, IFERROR(IF(OR(COLUMN(INDIRECT(_xlpm.x))&gt;21, COLUMN(INDIRECT(_xlpm.x)) &lt;2), "x",_xlpm.x),"x"),
_xlpm.y)</f>
        <v>K3</v>
      </c>
      <c r="AO314" s="31" t="str" cm="1">
        <f t="array" aca="1" ref="AO314" ca="1">_xlfn.LET(
_xlpm.x, IF(T$303&gt;$G314,"x",IFERROR(SUBSTITUTE(CELL("adres",OFFSET(INDIRECT(T314),,IF(LEFT(T314)="V",-1,1)*($G314-T$303),1,1)),"$",""),"x")),
_xlpm.y, IFERROR(IF(OR(COLUMN(INDIRECT(_xlpm.x))&gt;21, COLUMN(INDIRECT(_xlpm.x)) &lt;2), "x",_xlpm.x),"x"),
_xlpm.y)</f>
        <v>K10</v>
      </c>
      <c r="AP314" s="31" t="str" cm="1">
        <f t="array" aca="1" ref="AP314" ca="1">_xlfn.LET(
_xlpm.x, IF(U$303&gt;$G314,"x",IFERROR(SUBSTITUTE(CELL("adres",OFFSET(INDIRECT(U314),,IF(LEFT(U314)="V",-1,1)*($G314-U$303),1,1)),"$",""),"x")),
_xlpm.y, IFERROR(IF(OR(COLUMN(INDIRECT(_xlpm.x))&gt;21, COLUMN(INDIRECT(_xlpm.x)) &lt;2), "x",_xlpm.x),"x"),
_xlpm.y)</f>
        <v>M18</v>
      </c>
      <c r="AQ314" s="31" t="str" cm="1">
        <f t="array" aca="1" ref="AQ314" ca="1">_xlfn.LET(
_xlpm.x, IF(V$303&gt;$G314,"x",IFERROR(SUBSTITUTE(CELL("adres",OFFSET(INDIRECT(V314),,IF(LEFT(V314)="V",-1,1)*($G314-V$303),1,1)),"$",""),"x")),
_xlpm.y, IFERROR(IF(OR(COLUMN(INDIRECT(_xlpm.x))&gt;21, COLUMN(INDIRECT(_xlpm.x)) &lt;2), "x",_xlpm.x),"x"),
_xlpm.y)</f>
        <v>I6</v>
      </c>
      <c r="AR314" s="31" t="str" cm="1">
        <f t="array" aca="1" ref="AR314" ca="1">_xlfn.LET(
_xlpm.x, IF(W$303&gt;$G314,"x",IFERROR(SUBSTITUTE(CELL("adres",OFFSET(INDIRECT(W314),,IF(LEFT(W314)="V",-1,1)*($G314-W$303),1,1)),"$",""),"x")),
_xlpm.y, IFERROR(IF(OR(COLUMN(INDIRECT(_xlpm.x))&gt;21, COLUMN(INDIRECT(_xlpm.x)) &lt;2), "x",_xlpm.x),"x"),
_xlpm.y)</f>
        <v>O22</v>
      </c>
      <c r="AS314" s="31" t="str" cm="1">
        <f t="array" aca="1" ref="AS314" ca="1">_xlfn.LET(
_xlpm.x, IF(X$303&gt;$G314,"x",IFERROR(SUBSTITUTE(CELL("adres",OFFSET(INDIRECT(X314),,IF(LEFT(X314)="V",-1,1)*($G314-X$303),1,1)),"$",""),"x")),
_xlpm.y, IFERROR(IF(OR(COLUMN(INDIRECT(_xlpm.x))&gt;21, COLUMN(INDIRECT(_xlpm.x)) &lt;2), "x",_xlpm.x),"x"),
_xlpm.y)</f>
        <v>P20</v>
      </c>
      <c r="AT314" s="31" t="str" cm="1">
        <f t="array" aca="1" ref="AT314" ca="1">_xlfn.LET(
_xlpm.x, IF(Y$303&gt;$G314,"x",IFERROR(SUBSTITUTE(CELL("adres",OFFSET(INDIRECT(Y314),,IF(LEFT(Y314)="V",-1,1)*($G314-Y$303),1,1)),"$",""),"x")),
_xlpm.y, IFERROR(IF(OR(COLUMN(INDIRECT(_xlpm.x))&gt;21, COLUMN(INDIRECT(_xlpm.x)) &lt;2), "x",_xlpm.x),"x"),
_xlpm.y)</f>
        <v>Q16</v>
      </c>
      <c r="AU314" s="31" t="str" cm="1">
        <f t="array" aca="1" ref="AU314" ca="1">_xlfn.LET(
_xlpm.x, IF(Z$303&gt;$G314,"x",IFERROR(SUBSTITUTE(CELL("adres",OFFSET(INDIRECT(Z314),,IF(LEFT(Z314)="V",-1,1)*($G314-Z$303),1,1)),"$",""),"x")),
_xlpm.y, IFERROR(IF(OR(COLUMN(INDIRECT(_xlpm.x))&gt;21, COLUMN(INDIRECT(_xlpm.x)) &lt;2), "x",_xlpm.x),"x"),
_xlpm.y)</f>
        <v>R21</v>
      </c>
      <c r="AV314" s="31" t="str" cm="1">
        <f t="array" aca="1" ref="AV314" ca="1">_xlfn.LET(
_xlpm.x, IF(AA$303&gt;$G314,"x",IFERROR(SUBSTITUTE(CELL("adres",OFFSET(INDIRECT(AA314),,IF(LEFT(AA314)="V",-1,1)*($G314-AA$303),1,1)),"$",""),"x")),
_xlpm.y, IFERROR(IF(OR(COLUMN(INDIRECT(_xlpm.x))&gt;21, COLUMN(INDIRECT(_xlpm.x)) &lt;2), "x",_xlpm.x),"x"),
_xlpm.y)</f>
        <v>D24</v>
      </c>
      <c r="AW314" s="31" t="str" cm="1">
        <f t="array" aca="1" ref="AW314" ca="1">_xlfn.LET(
_xlpm.x, IF(AB$303&gt;$G314,"x",IFERROR(SUBSTITUTE(CELL("adres",OFFSET(INDIRECT(AB314),,IF(LEFT(AB314)="V",-1,1)*($G314-AB$303),1,1)),"$",""),"x")),
_xlpm.y, IFERROR(IF(OR(COLUMN(INDIRECT(_xlpm.x))&gt;21, COLUMN(INDIRECT(_xlpm.x)) &lt;2), "x",_xlpm.x),"x"),
_xlpm.y)</f>
        <v>T20</v>
      </c>
      <c r="AX314" s="31" t="str" cm="1">
        <f t="array" aca="1" ref="AX314" ca="1">_xlfn.LET(
_xlpm.x, IF(AC$303&gt;$G314,"x",IFERROR(SUBSTITUTE(CELL("adres",OFFSET(INDIRECT(AC314),,IF(LEFT(AC314)="V",-1,1)*($G314-AC$303),1,1)),"$",""),"x")),
_xlpm.y, IFERROR(IF(OR(COLUMN(INDIRECT(_xlpm.x))&gt;21, COLUMN(INDIRECT(_xlpm.x)) &lt;2), "x",_xlpm.x),"x"),
_xlpm.y)</f>
        <v>B25</v>
      </c>
      <c r="AY314" s="31" t="str" cm="1">
        <f t="array" aca="1" ref="AY314" ca="1">_xlfn.LET(
_xlpm.x, IF(AD$303&gt;$G314,"x",IFERROR(SUBSTITUTE(CELL("adres",OFFSET(INDIRECT(AD314),,IF(LEFT(AD314)="V",-1,1)*($G314-AD$303),1,1)),"$",""),"x")),
_xlpm.y, IFERROR(IF(OR(COLUMN(INDIRECT(_xlpm.x))&gt;21, COLUMN(INDIRECT(_xlpm.x)) &lt;2), "x",_xlpm.x),"x"),
_xlpm.y)</f>
        <v>x</v>
      </c>
      <c r="BB314" s="23" cm="1">
        <f t="array" aca="1" ref="BB314" ca="1">IFERROR(COLUMN(INDIRECT(AF314)),"x")</f>
        <v>20</v>
      </c>
      <c r="BC314" s="23" cm="1">
        <f t="array" aca="1" ref="BC314" ca="1">IFERROR(COLUMN(INDIRECT(AG314)),"x")</f>
        <v>19</v>
      </c>
      <c r="BD314" s="23" cm="1">
        <f t="array" aca="1" ref="BD314" ca="1">IFERROR(COLUMN(INDIRECT(AH314)),"x")</f>
        <v>5</v>
      </c>
      <c r="BE314" s="23" cm="1">
        <f t="array" aca="1" ref="BE314" ca="1">IFERROR(COLUMN(INDIRECT(AI314)),"x")</f>
        <v>17</v>
      </c>
      <c r="BF314" s="23" cm="1">
        <f t="array" aca="1" ref="BF314" ca="1">IFERROR(COLUMN(INDIRECT(AJ314)),"x")</f>
        <v>7</v>
      </c>
      <c r="BG314" s="23" cm="1">
        <f t="array" aca="1" ref="BG314" ca="1">IFERROR(COLUMN(INDIRECT(AK314)),"x")</f>
        <v>8</v>
      </c>
      <c r="BH314" s="23" cm="1">
        <f t="array" aca="1" ref="BH314" ca="1">IFERROR(COLUMN(INDIRECT(AL314)),"x")</f>
        <v>14</v>
      </c>
      <c r="BI314" s="23" cm="1">
        <f t="array" aca="1" ref="BI314" ca="1">IFERROR(COLUMN(INDIRECT(AM314)),"x")</f>
        <v>10</v>
      </c>
      <c r="BJ314" s="23" cm="1">
        <f t="array" aca="1" ref="BJ314" ca="1">IFERROR(COLUMN(INDIRECT(AN314)),"x")</f>
        <v>11</v>
      </c>
      <c r="BK314" s="23" cm="1">
        <f t="array" aca="1" ref="BK314" ca="1">IFERROR(COLUMN(INDIRECT(AO314)),"x")</f>
        <v>11</v>
      </c>
      <c r="BL314" s="23" cm="1">
        <f t="array" aca="1" ref="BL314" ca="1">IFERROR(COLUMN(INDIRECT(AP314)),"x")</f>
        <v>13</v>
      </c>
      <c r="BM314" s="23" cm="1">
        <f t="array" aca="1" ref="BM314" ca="1">IFERROR(COLUMN(INDIRECT(AQ314)),"x")</f>
        <v>9</v>
      </c>
      <c r="BN314" s="23" cm="1">
        <f t="array" aca="1" ref="BN314" ca="1">IFERROR(COLUMN(INDIRECT(AR314)),"x")</f>
        <v>15</v>
      </c>
      <c r="BO314" s="23" cm="1">
        <f t="array" aca="1" ref="BO314" ca="1">IFERROR(COLUMN(INDIRECT(AS314)),"x")</f>
        <v>16</v>
      </c>
      <c r="BP314" s="23" cm="1">
        <f t="array" aca="1" ref="BP314" ca="1">IFERROR(COLUMN(INDIRECT(AT314)),"x")</f>
        <v>17</v>
      </c>
      <c r="BQ314" s="23" cm="1">
        <f t="array" aca="1" ref="BQ314" ca="1">IFERROR(COLUMN(INDIRECT(AU314)),"x")</f>
        <v>18</v>
      </c>
      <c r="BR314" s="23" cm="1">
        <f t="array" aca="1" ref="BR314" ca="1">IFERROR(COLUMN(INDIRECT(AV314)),"x")</f>
        <v>4</v>
      </c>
      <c r="BS314" s="23" cm="1">
        <f t="array" aca="1" ref="BS314" ca="1">IFERROR(COLUMN(INDIRECT(AW314)),"x")</f>
        <v>20</v>
      </c>
      <c r="BT314" s="23" cm="1">
        <f t="array" aca="1" ref="BT314" ca="1">IFERROR(COLUMN(INDIRECT(AX314)),"x")</f>
        <v>2</v>
      </c>
      <c r="BU314" s="23" t="str" cm="1">
        <f t="array" aca="1" ref="BU314" ca="1">IFERROR(COLUMN(INDIRECT(AY314)),"x")</f>
        <v>x</v>
      </c>
      <c r="BW314" s="23">
        <f t="shared" ca="1" si="40"/>
        <v>1</v>
      </c>
      <c r="BX314" s="23">
        <f t="shared" ca="1" si="41"/>
        <v>1</v>
      </c>
      <c r="BY314" s="23">
        <f t="shared" ca="1" si="42"/>
        <v>-1</v>
      </c>
      <c r="BZ314" s="23">
        <f t="shared" ca="1" si="43"/>
        <v>1</v>
      </c>
      <c r="CA314" s="23">
        <f t="shared" ca="1" si="44"/>
        <v>-1</v>
      </c>
      <c r="CB314" s="23">
        <f t="shared" ca="1" si="45"/>
        <v>-1</v>
      </c>
      <c r="CC314" s="23">
        <f t="shared" ca="1" si="46"/>
        <v>1</v>
      </c>
      <c r="CD314" s="23">
        <f t="shared" ca="1" si="47"/>
        <v>-1</v>
      </c>
      <c r="CE314" s="23">
        <f t="shared" ca="1" si="48"/>
        <v>-1</v>
      </c>
      <c r="CF314" s="23">
        <f t="shared" ca="1" si="49"/>
        <v>-1</v>
      </c>
      <c r="CG314" s="23">
        <f t="shared" ca="1" si="50"/>
        <v>1</v>
      </c>
      <c r="CH314" s="23">
        <f t="shared" ca="1" si="51"/>
        <v>-1</v>
      </c>
      <c r="CI314" s="23">
        <f t="shared" ca="1" si="52"/>
        <v>1</v>
      </c>
      <c r="CJ314" s="23">
        <f t="shared" ca="1" si="53"/>
        <v>1</v>
      </c>
      <c r="CK314" s="23">
        <f t="shared" ca="1" si="54"/>
        <v>1</v>
      </c>
      <c r="CL314" s="23">
        <f t="shared" ca="1" si="55"/>
        <v>1</v>
      </c>
      <c r="CM314" s="23">
        <f t="shared" ca="1" si="56"/>
        <v>-1</v>
      </c>
      <c r="CN314" s="23">
        <f t="shared" ca="1" si="57"/>
        <v>1</v>
      </c>
      <c r="CO314" s="23">
        <f t="shared" ca="1" si="58"/>
        <v>-1</v>
      </c>
      <c r="CP314" s="23" t="str">
        <f t="shared" ca="1" si="59"/>
        <v>x</v>
      </c>
      <c r="CQ314" s="75"/>
      <c r="CR314" s="23" t="str" cm="1">
        <f t="array" aca="1" ref="CR314" ca="1">_xlfn.LET(
_xlpm.x, IFERROR(SUBSTITUTE(CELL("adres",OFFSET(INDIRECT(AF314),,BW314*($I314-$G314)*2,1,1)),"$",""),"x"),
_xlpm.y, IFERROR(IF(OR(COLUMN(INDIRECT(_xlpm.x))&gt;21, COLUMN(INDIRECT(_xlpm.x))&lt;2),"x",_xlpm.x), "x"),
_xlpm.y)</f>
        <v>x</v>
      </c>
      <c r="CS314" s="23" t="str" cm="1">
        <f t="array" aca="1" ref="CS314" ca="1">_xlfn.LET(
_xlpm.x, IFERROR(SUBSTITUTE(CELL("adres",OFFSET(INDIRECT(AG314),,BX314*($I314-$G314)*2,1,1)),"$",""),"x"),
_xlpm.y, IFERROR(IF(OR(COLUMN(INDIRECT(_xlpm.x))&gt;21, COLUMN(INDIRECT(_xlpm.x))&lt;2),"x",_xlpm.x), "x"),
_xlpm.y)</f>
        <v>x</v>
      </c>
      <c r="CT314" s="23" t="str" cm="1">
        <f t="array" aca="1" ref="CT314" ca="1">_xlfn.LET(
_xlpm.x, IFERROR(SUBSTITUTE(CELL("adres",OFFSET(INDIRECT(AH314),,BY314*($I314-$G314)*2,1,1)),"$",""),"x"),
_xlpm.y, IFERROR(IF(OR(COLUMN(INDIRECT(_xlpm.x))&gt;21, COLUMN(INDIRECT(_xlpm.x))&lt;2),"x",_xlpm.x), "x"),
_xlpm.y)</f>
        <v>x</v>
      </c>
      <c r="CU314" s="23" t="str" cm="1">
        <f t="array" aca="1" ref="CU314" ca="1">_xlfn.LET(
_xlpm.x, IFERROR(SUBSTITUTE(CELL("adres",OFFSET(INDIRECT(AI314),,BZ314*($I314-$G314)*2,1,1)),"$",""),"x"),
_xlpm.y, IFERROR(IF(OR(COLUMN(INDIRECT(_xlpm.x))&gt;21, COLUMN(INDIRECT(_xlpm.x))&lt;2),"x",_xlpm.x), "x"),
_xlpm.y)</f>
        <v>U3</v>
      </c>
      <c r="CV314" s="23" t="str" cm="1">
        <f t="array" aca="1" ref="CV314" ca="1">_xlfn.LET(
_xlpm.x, IFERROR(SUBSTITUTE(CELL("adres",OFFSET(INDIRECT(AJ314),,CA314*($I314-$G314)*2,1,1)),"$",""),"x"),
_xlpm.y, IFERROR(IF(OR(COLUMN(INDIRECT(_xlpm.x))&gt;21, COLUMN(INDIRECT(_xlpm.x))&lt;2),"x",_xlpm.x), "x"),
_xlpm.y)</f>
        <v>C20</v>
      </c>
      <c r="CW314" s="23" t="str" cm="1">
        <f t="array" aca="1" ref="CW314" ca="1">_xlfn.LET(
_xlpm.x, IFERROR(SUBSTITUTE(CELL("adres",OFFSET(INDIRECT(AK314),,CB314*($I314-$G314)*2,1,1)),"$",""),"x"),
_xlpm.y, IFERROR(IF(OR(COLUMN(INDIRECT(_xlpm.x))&gt;21, COLUMN(INDIRECT(_xlpm.x))&lt;2),"x",_xlpm.x), "x"),
_xlpm.y)</f>
        <v>D11</v>
      </c>
      <c r="CX314" s="23" t="str" cm="1">
        <f t="array" aca="1" ref="CX314" ca="1">_xlfn.LET(
_xlpm.x, IFERROR(SUBSTITUTE(CELL("adres",OFFSET(INDIRECT(AL314),,CC314*($I314-$G314)*2,1,1)),"$",""),"x"),
_xlpm.y, IFERROR(IF(OR(COLUMN(INDIRECT(_xlpm.x))&gt;21, COLUMN(INDIRECT(_xlpm.x))&lt;2),"x",_xlpm.x), "x"),
_xlpm.y)</f>
        <v>R21</v>
      </c>
      <c r="CY314" s="23" t="str" cm="1">
        <f t="array" aca="1" ref="CY314" ca="1">_xlfn.LET(
_xlpm.x, IFERROR(SUBSTITUTE(CELL("adres",OFFSET(INDIRECT(AM314),,CD314*($I314-$G314)*2,1,1)),"$",""),"x"),
_xlpm.y, IFERROR(IF(OR(COLUMN(INDIRECT(_xlpm.x))&gt;21, COLUMN(INDIRECT(_xlpm.x))&lt;2),"x",_xlpm.x), "x"),
_xlpm.y)</f>
        <v>F26</v>
      </c>
      <c r="CZ314" s="23" t="str" cm="1">
        <f t="array" aca="1" ref="CZ314" ca="1">_xlfn.LET(
_xlpm.x, IFERROR(SUBSTITUTE(CELL("adres",OFFSET(INDIRECT(AN314),,CE314*($I314-$G314)*2,1,1)),"$",""),"x"),
_xlpm.y, IFERROR(IF(OR(COLUMN(INDIRECT(_xlpm.x))&gt;21, COLUMN(INDIRECT(_xlpm.x))&lt;2),"x",_xlpm.x), "x"),
_xlpm.y)</f>
        <v>G3</v>
      </c>
      <c r="DA314" s="23" t="str" cm="1">
        <f t="array" aca="1" ref="DA314" ca="1">_xlfn.LET(
_xlpm.x, IFERROR(SUBSTITUTE(CELL("adres",OFFSET(INDIRECT(AO314),,CF314*($I314-$G314)*2,1,1)),"$",""),"x"),
_xlpm.y, IFERROR(IF(OR(COLUMN(INDIRECT(_xlpm.x))&gt;21, COLUMN(INDIRECT(_xlpm.x))&lt;2),"x",_xlpm.x), "x"),
_xlpm.y)</f>
        <v>G10</v>
      </c>
      <c r="DB314" s="23" t="str" cm="1">
        <f t="array" aca="1" ref="DB314" ca="1">_xlfn.LET(
_xlpm.x, IFERROR(SUBSTITUTE(CELL("adres",OFFSET(INDIRECT(AP314),,CG314*($I314-$G314)*2,1,1)),"$",""),"x"),
_xlpm.y, IFERROR(IF(OR(COLUMN(INDIRECT(_xlpm.x))&gt;21, COLUMN(INDIRECT(_xlpm.x))&lt;2),"x",_xlpm.x), "x"),
_xlpm.y)</f>
        <v>Q18</v>
      </c>
      <c r="DC314" s="23" t="str" cm="1">
        <f t="array" aca="1" ref="DC314" ca="1">_xlfn.LET(
_xlpm.x, IFERROR(SUBSTITUTE(CELL("adres",OFFSET(INDIRECT(AQ314),,CH314*($I314-$G314)*2,1,1)),"$",""),"x"),
_xlpm.y, IFERROR(IF(OR(COLUMN(INDIRECT(_xlpm.x))&gt;21, COLUMN(INDIRECT(_xlpm.x))&lt;2),"x",_xlpm.x), "x"),
_xlpm.y)</f>
        <v>E6</v>
      </c>
      <c r="DD314" s="23" t="str" cm="1">
        <f t="array" aca="1" ref="DD314" ca="1">_xlfn.LET(
_xlpm.x, IFERROR(SUBSTITUTE(CELL("adres",OFFSET(INDIRECT(AR314),,CI314*($I314-$G314)*2,1,1)),"$",""),"x"),
_xlpm.y, IFERROR(IF(OR(COLUMN(INDIRECT(_xlpm.x))&gt;21, COLUMN(INDIRECT(_xlpm.x))&lt;2),"x",_xlpm.x), "x"),
_xlpm.y)</f>
        <v>S22</v>
      </c>
      <c r="DE314" s="23" t="str" cm="1">
        <f t="array" aca="1" ref="DE314" ca="1">_xlfn.LET(
_xlpm.x, IFERROR(SUBSTITUTE(CELL("adres",OFFSET(INDIRECT(AS314),,CJ314*($I314-$G314)*2,1,1)),"$",""),"x"),
_xlpm.y, IFERROR(IF(OR(COLUMN(INDIRECT(_xlpm.x))&gt;21, COLUMN(INDIRECT(_xlpm.x))&lt;2),"x",_xlpm.x), "x"),
_xlpm.y)</f>
        <v>T20</v>
      </c>
      <c r="DF314" s="23" t="str" cm="1">
        <f t="array" aca="1" ref="DF314" ca="1">_xlfn.LET(
_xlpm.x, IFERROR(SUBSTITUTE(CELL("adres",OFFSET(INDIRECT(AT314),,CK314*($I314-$G314)*2,1,1)),"$",""),"x"),
_xlpm.y, IFERROR(IF(OR(COLUMN(INDIRECT(_xlpm.x))&gt;21, COLUMN(INDIRECT(_xlpm.x))&lt;2),"x",_xlpm.x), "x"),
_xlpm.y)</f>
        <v>U16</v>
      </c>
      <c r="DG314" s="23" t="str" cm="1">
        <f t="array" aca="1" ref="DG314" ca="1">_xlfn.LET(
_xlpm.x, IFERROR(SUBSTITUTE(CELL("adres",OFFSET(INDIRECT(AU314),,CL314*($I314-$G314)*2,1,1)),"$",""),"x"),
_xlpm.y, IFERROR(IF(OR(COLUMN(INDIRECT(_xlpm.x))&gt;21, COLUMN(INDIRECT(_xlpm.x))&lt;2),"x",_xlpm.x), "x"),
_xlpm.y)</f>
        <v>x</v>
      </c>
      <c r="DH314" s="23" t="str" cm="1">
        <f t="array" aca="1" ref="DH314" ca="1">_xlfn.LET(
_xlpm.x, IFERROR(SUBSTITUTE(CELL("adres",OFFSET(INDIRECT(AV314),,CM314*($I314-$G314)*2,1,1)),"$",""),"x"),
_xlpm.y, IFERROR(IF(OR(COLUMN(INDIRECT(_xlpm.x))&gt;21, COLUMN(INDIRECT(_xlpm.x))&lt;2),"x",_xlpm.x), "x"),
_xlpm.y)</f>
        <v>x</v>
      </c>
      <c r="DI314" s="23" t="str" cm="1">
        <f t="array" aca="1" ref="DI314" ca="1">_xlfn.LET(
_xlpm.x, IFERROR(SUBSTITUTE(CELL("adres",OFFSET(INDIRECT(AW314),,CN314*($I314-$G314)*2,1,1)),"$",""),"x"),
_xlpm.y, IFERROR(IF(OR(COLUMN(INDIRECT(_xlpm.x))&gt;21, COLUMN(INDIRECT(_xlpm.x))&lt;2),"x",_xlpm.x), "x"),
_xlpm.y)</f>
        <v>x</v>
      </c>
      <c r="DJ314" s="23" t="str" cm="1">
        <f t="array" aca="1" ref="DJ314" ca="1">_xlfn.LET(
_xlpm.x, IFERROR(SUBSTITUTE(CELL("adres",OFFSET(INDIRECT(AX314),,CO314*($I314-$G314)*2,1,1)),"$",""),"x"),
_xlpm.y, IFERROR(IF(OR(COLUMN(INDIRECT(_xlpm.x))&gt;21, COLUMN(INDIRECT(_xlpm.x))&lt;2),"x",_xlpm.x), "x"),
_xlpm.y)</f>
        <v>x</v>
      </c>
      <c r="DK314" s="23" t="str" cm="1">
        <f t="array" aca="1" ref="DK314" ca="1">_xlfn.LET(
_xlpm.x, IFERROR(SUBSTITUTE(CELL("adres",OFFSET(INDIRECT(AY314),,CP314*($I314-$G314)*2,1,1)),"$",""),"x"),
_xlpm.y, IFERROR(IF(OR(COLUMN(INDIRECT(_xlpm.x))&gt;21, COLUMN(INDIRECT(_xlpm.x))&lt;2),"x",_xlpm.x), "x"),
_xlpm.y)</f>
        <v>x</v>
      </c>
      <c r="DM314" s="23" t="e" cm="1">
        <f t="array" aca="1" ref="DM314" ca="1">ROW(INDIRECT(CR314))</f>
        <v>#REF!</v>
      </c>
      <c r="DN314" s="23" cm="1">
        <f t="array" aca="1" ref="DN314" ca="1">ROW(INDIRECT(J314))</f>
        <v>22</v>
      </c>
      <c r="DO314" s="23" t="e">
        <f t="shared" ca="1" si="60"/>
        <v>#REF!</v>
      </c>
      <c r="DP314" s="23" t="e" cm="1">
        <f t="array" aca="1" ref="DP314" ca="1">COLUMN(INDIRECT(CR314))</f>
        <v>#REF!</v>
      </c>
      <c r="DQ314" s="23" cm="1">
        <f t="array" aca="1" ref="DQ314" ca="1">COLUMN(INDIRECT(J314))</f>
        <v>20</v>
      </c>
      <c r="DR314" s="23" t="e">
        <f t="shared" ca="1" si="61"/>
        <v>#REF!</v>
      </c>
      <c r="DS314" s="23">
        <f t="shared" ca="1" si="39"/>
        <v>1000</v>
      </c>
      <c r="DU314" s="23" cm="1">
        <f t="array" aca="1" ref="DU314" ca="1">IFERROR(MAX(ABS(ROW(INDIRECT($J314))-ROW(INDIRECT(CR314))),ABS(COLUMN(INDIRECT($J314))-COLUMN(INDIRECT(CR314)))),1000)</f>
        <v>1000</v>
      </c>
      <c r="DV314" s="23" cm="1">
        <f t="array" aca="1" ref="DV314" ca="1">IFERROR(MAX(ABS(ROW(INDIRECT($J314))-ROW(INDIRECT(CS314))),ABS(COLUMN(INDIRECT($J314))-COLUMN(INDIRECT(CS314)))),1000)</f>
        <v>1000</v>
      </c>
      <c r="DW314" s="23" cm="1">
        <f t="array" aca="1" ref="DW314" ca="1">IFERROR(MAX(ABS(ROW(INDIRECT($J314))-ROW(INDIRECT(CT314))),ABS(COLUMN(INDIRECT($J314))-COLUMN(INDIRECT(CT314)))),1000)</f>
        <v>1000</v>
      </c>
      <c r="DX314" s="23" cm="1">
        <f t="array" aca="1" ref="DX314" ca="1">IFERROR(MAX(ABS(ROW(INDIRECT($J314))-ROW(INDIRECT(CU314))),ABS(COLUMN(INDIRECT($J314))-COLUMN(INDIRECT(CU314)))),1000)</f>
        <v>19</v>
      </c>
      <c r="DY314" s="23" cm="1">
        <f t="array" aca="1" ref="DY314" ca="1">IFERROR(MAX(ABS(ROW(INDIRECT($J314))-ROW(INDIRECT(CV314))),ABS(COLUMN(INDIRECT($J314))-COLUMN(INDIRECT(CV314)))),1000)</f>
        <v>17</v>
      </c>
      <c r="DZ314" s="23" cm="1">
        <f t="array" aca="1" ref="DZ314" ca="1">IFERROR(MAX(ABS(ROW(INDIRECT($J314))-ROW(INDIRECT(CW314))),ABS(COLUMN(INDIRECT($J314))-COLUMN(INDIRECT(CW314)))),1000)</f>
        <v>16</v>
      </c>
      <c r="EA314" s="23" cm="1">
        <f t="array" aca="1" ref="EA314" ca="1">IFERROR(MAX(ABS(ROW(INDIRECT($J314))-ROW(INDIRECT(CX314))),ABS(COLUMN(INDIRECT($J314))-COLUMN(INDIRECT(CX314)))),1000)</f>
        <v>2</v>
      </c>
      <c r="EB314" s="23" cm="1">
        <f t="array" aca="1" ref="EB314" ca="1">IFERROR(MAX(ABS(ROW(INDIRECT($J314))-ROW(INDIRECT(CY314))),ABS(COLUMN(INDIRECT($J314))-COLUMN(INDIRECT(CY314)))),1000)</f>
        <v>14</v>
      </c>
      <c r="EC314" s="23" cm="1">
        <f t="array" aca="1" ref="EC314" ca="1">IFERROR(MAX(ABS(ROW(INDIRECT($J314))-ROW(INDIRECT(CZ314))),ABS(COLUMN(INDIRECT($J314))-COLUMN(INDIRECT(CZ314)))),1000)</f>
        <v>19</v>
      </c>
      <c r="ED314" s="23" cm="1">
        <f t="array" aca="1" ref="ED314" ca="1">IFERROR(MAX(ABS(ROW(INDIRECT($J314))-ROW(INDIRECT(DA314))),ABS(COLUMN(INDIRECT($J314))-COLUMN(INDIRECT(DA314)))),1000)</f>
        <v>13</v>
      </c>
      <c r="EE314" s="23" cm="1">
        <f t="array" aca="1" ref="EE314" ca="1">IFERROR(MAX(ABS(ROW(INDIRECT($J314))-ROW(INDIRECT(DB314))),ABS(COLUMN(INDIRECT($J314))-COLUMN(INDIRECT(DB314)))),1000)</f>
        <v>4</v>
      </c>
      <c r="EF314" s="23" cm="1">
        <f t="array" aca="1" ref="EF314" ca="1">IFERROR(MAX(ABS(ROW(INDIRECT($J314))-ROW(INDIRECT(DC314))),ABS(COLUMN(INDIRECT($J314))-COLUMN(INDIRECT(DC314)))),1000)</f>
        <v>16</v>
      </c>
      <c r="EG314" s="23" cm="1">
        <f t="array" aca="1" ref="EG314" ca="1">IFERROR(MAX(ABS(ROW(INDIRECT($J314))-ROW(INDIRECT(DD314))),ABS(COLUMN(INDIRECT($J314))-COLUMN(INDIRECT(DD314)))),1000)</f>
        <v>1</v>
      </c>
      <c r="EH314" s="23" cm="1">
        <f t="array" aca="1" ref="EH314" ca="1">IFERROR(MAX(ABS(ROW(INDIRECT($J314))-ROW(INDIRECT(DE314))),ABS(COLUMN(INDIRECT($J314))-COLUMN(INDIRECT(DE314)))),1000)</f>
        <v>2</v>
      </c>
      <c r="EI314" s="23" cm="1">
        <f t="array" aca="1" ref="EI314" ca="1">IFERROR(MAX(ABS(ROW(INDIRECT($J314))-ROW(INDIRECT(DF314))),ABS(COLUMN(INDIRECT($J314))-COLUMN(INDIRECT(DF314)))),1000)</f>
        <v>6</v>
      </c>
      <c r="EJ314" s="23" cm="1">
        <f t="array" aca="1" ref="EJ314" ca="1">IFERROR(MAX(ABS(ROW(INDIRECT($J314))-ROW(INDIRECT(DG314))),ABS(COLUMN(INDIRECT($J314))-COLUMN(INDIRECT(DG314)))),1000)</f>
        <v>1000</v>
      </c>
      <c r="EK314" s="23" cm="1">
        <f t="array" aca="1" ref="EK314" ca="1">IFERROR(MAX(ABS(ROW(INDIRECT($J314))-ROW(INDIRECT(DH314))),ABS(COLUMN(INDIRECT($J314))-COLUMN(INDIRECT(DH314)))),1000)</f>
        <v>1000</v>
      </c>
      <c r="EL314" s="23" cm="1">
        <f t="array" aca="1" ref="EL314" ca="1">IFERROR(MAX(ABS(ROW(INDIRECT($J314))-ROW(INDIRECT(DI314))),ABS(COLUMN(INDIRECT($J314))-COLUMN(INDIRECT(DI314)))),1000)</f>
        <v>1000</v>
      </c>
      <c r="EM314" s="23" cm="1">
        <f t="array" aca="1" ref="EM314" ca="1">IFERROR(MAX(ABS(ROW(INDIRECT($J314))-ROW(INDIRECT(DJ314))),ABS(COLUMN(INDIRECT($J314))-COLUMN(INDIRECT(DJ314)))),1000)</f>
        <v>1000</v>
      </c>
      <c r="EN314" s="23" cm="1">
        <f t="array" aca="1" ref="EN314" ca="1">IFERROR(MAX(ABS(ROW(INDIRECT($J314))-ROW(INDIRECT(DK314))),ABS(COLUMN(INDIRECT($J314))-COLUMN(INDIRECT(DK314)))),1000)</f>
        <v>1000</v>
      </c>
      <c r="EP314" s="23">
        <f t="shared" ca="1" si="62"/>
        <v>1</v>
      </c>
      <c r="EQ314" s="23">
        <f t="shared" ca="1" si="63"/>
        <v>1</v>
      </c>
      <c r="ER314" s="23">
        <f t="shared" ca="1" si="64"/>
        <v>13</v>
      </c>
      <c r="ES314" s="23" t="str" cm="1">
        <f t="array" aca="1" ref="ES314" ca="1">INDEX(CR314:DK314,1,ER314)</f>
        <v>S22</v>
      </c>
    </row>
    <row r="315" spans="2:149" ht="22.5" customHeight="1">
      <c r="B315" s="32">
        <f t="shared" si="65"/>
        <v>128</v>
      </c>
      <c r="C315" s="32">
        <v>7</v>
      </c>
      <c r="D315" s="30">
        <v>12</v>
      </c>
      <c r="E315" s="34" t="str">
        <f ca="1"/>
        <v>R2</v>
      </c>
      <c r="F315" s="103"/>
      <c r="G315" s="33">
        <v>15</v>
      </c>
      <c r="H315" s="33" t="s">
        <v>194</v>
      </c>
      <c r="I315" s="33">
        <v>16</v>
      </c>
      <c r="J315" s="33" t="s">
        <v>289</v>
      </c>
      <c r="K315" s="33" t="s">
        <v>115</v>
      </c>
      <c r="L315" s="33" t="s">
        <v>63</v>
      </c>
      <c r="M315" s="33" t="s">
        <v>109</v>
      </c>
      <c r="N315" s="33" t="s">
        <v>83</v>
      </c>
      <c r="O315" s="33" t="s">
        <v>51</v>
      </c>
      <c r="P315" s="33" t="s">
        <v>114</v>
      </c>
      <c r="Q315" s="33" t="s">
        <v>66</v>
      </c>
      <c r="R315" s="33" t="s">
        <v>109</v>
      </c>
      <c r="S315" s="33" t="s">
        <v>66</v>
      </c>
      <c r="T315" s="33" t="s">
        <v>190</v>
      </c>
      <c r="U315" s="33" t="s">
        <v>113</v>
      </c>
      <c r="V315" s="33" t="s">
        <v>113</v>
      </c>
      <c r="W315" s="33" t="s">
        <v>87</v>
      </c>
      <c r="X315" s="33" t="s">
        <v>137</v>
      </c>
      <c r="Y315" s="33" t="s">
        <v>86</v>
      </c>
      <c r="Z315" s="33" t="s">
        <v>54</v>
      </c>
      <c r="AA315" s="33" t="s">
        <v>55</v>
      </c>
      <c r="AB315" s="33" t="s">
        <v>83</v>
      </c>
      <c r="AC315" s="33" t="s">
        <v>191</v>
      </c>
      <c r="AD315" s="33" t="s">
        <v>88</v>
      </c>
      <c r="AF315" s="31" t="str" cm="1">
        <f t="array" aca="1" ref="AF315" ca="1">_xlfn.LET(
_xlpm.x, IF(K$303&gt;$G315,"x",IFERROR(SUBSTITUTE(CELL("adres",OFFSET(INDIRECT(K315),,IF(LEFT(K315)="V",-1,1)*($G315-K$303),1,1)),"$",""),"x")),
_xlpm.y, IFERROR(IF(OR(COLUMN(INDIRECT(_xlpm.x))&gt;21, COLUMN(INDIRECT(_xlpm.x)) &lt;2), "x",_xlpm.x),"x"),
_xlpm.y)</f>
        <v>P2</v>
      </c>
      <c r="AG315" s="31" t="str" cm="1">
        <f t="array" aca="1" ref="AG315" ca="1">_xlfn.LET(
_xlpm.x, IF(L$303&gt;$G315,"x",IFERROR(SUBSTITUTE(CELL("adres",OFFSET(INDIRECT(L315),,IF(LEFT(L315)="V",-1,1)*($G315-L$303),1,1)),"$",""),"x")),
_xlpm.y, IFERROR(IF(OR(COLUMN(INDIRECT(_xlpm.x))&gt;21, COLUMN(INDIRECT(_xlpm.x)) &lt;2), "x",_xlpm.x),"x"),
_xlpm.y)</f>
        <v>O22</v>
      </c>
      <c r="AH315" s="31" t="str" cm="1">
        <f t="array" aca="1" ref="AH315" ca="1">_xlfn.LET(
_xlpm.x, IF(M$303&gt;$G315,"x",IFERROR(SUBSTITUTE(CELL("adres",OFFSET(INDIRECT(M315),,IF(LEFT(M315)="V",-1,1)*($G315-M$303),1,1)),"$",""),"x")),
_xlpm.y, IFERROR(IF(OR(COLUMN(INDIRECT(_xlpm.x))&gt;21, COLUMN(INDIRECT(_xlpm.x)) &lt;2), "x",_xlpm.x),"x"),
_xlpm.y)</f>
        <v>N5</v>
      </c>
      <c r="AI315" s="31" t="str" cm="1">
        <f t="array" aca="1" ref="AI315" ca="1">_xlfn.LET(
_xlpm.x, IF(N$303&gt;$G315,"x",IFERROR(SUBSTITUTE(CELL("adres",OFFSET(INDIRECT(N315),,IF(LEFT(N315)="V",-1,1)*($G315-N$303),1,1)),"$",""),"x")),
_xlpm.y, IFERROR(IF(OR(COLUMN(INDIRECT(_xlpm.x))&gt;21, COLUMN(INDIRECT(_xlpm.x)) &lt;2), "x",_xlpm.x),"x"),
_xlpm.y)</f>
        <v>J21</v>
      </c>
      <c r="AJ315" s="31" t="str" cm="1">
        <f t="array" aca="1" ref="AJ315" ca="1">_xlfn.LET(
_xlpm.x, IF(O$303&gt;$G315,"x",IFERROR(SUBSTITUTE(CELL("adres",OFFSET(INDIRECT(O315),,IF(LEFT(O315)="V",-1,1)*($G315-O$303),1,1)),"$",""),"x")),
_xlpm.y, IFERROR(IF(OR(COLUMN(INDIRECT(_xlpm.x))&gt;21, COLUMN(INDIRECT(_xlpm.x)) &lt;2), "x",_xlpm.x),"x"),
_xlpm.y)</f>
        <v>L10</v>
      </c>
      <c r="AK315" s="31" t="str" cm="1">
        <f t="array" aca="1" ref="AK315" ca="1">_xlfn.LET(
_xlpm.x, IF(P$303&gt;$G315,"x",IFERROR(SUBSTITUTE(CELL("adres",OFFSET(INDIRECT(P315),,IF(LEFT(P315)="V",-1,1)*($G315-P$303),1,1)),"$",""),"x")),
_xlpm.y, IFERROR(IF(OR(COLUMN(INDIRECT(_xlpm.x))&gt;21, COLUMN(INDIRECT(_xlpm.x)) &lt;2), "x",_xlpm.x),"x"),
_xlpm.y)</f>
        <v>L13</v>
      </c>
      <c r="AL315" s="31" t="str" cm="1">
        <f t="array" aca="1" ref="AL315" ca="1">_xlfn.LET(
_xlpm.x, IF(Q$303&gt;$G315,"x",IFERROR(SUBSTITUTE(CELL("adres",OFFSET(INDIRECT(Q315),,IF(LEFT(Q315)="V",-1,1)*($G315-Q$303),1,1)),"$",""),"x")),
_xlpm.y, IFERROR(IF(OR(COLUMN(INDIRECT(_xlpm.x))&gt;21, COLUMN(INDIRECT(_xlpm.x)) &lt;2), "x",_xlpm.x),"x"),
_xlpm.y)</f>
        <v>J20</v>
      </c>
      <c r="AM315" s="31" t="str" cm="1">
        <f t="array" aca="1" ref="AM315" ca="1">_xlfn.LET(
_xlpm.x, IF(R$303&gt;$G315,"x",IFERROR(SUBSTITUTE(CELL("adres",OFFSET(INDIRECT(R315),,IF(LEFT(R315)="V",-1,1)*($G315-R$303),1,1)),"$",""),"x")),
_xlpm.y, IFERROR(IF(OR(COLUMN(INDIRECT(_xlpm.x))&gt;21, COLUMN(INDIRECT(_xlpm.x)) &lt;2), "x",_xlpm.x),"x"),
_xlpm.y)</f>
        <v>I5</v>
      </c>
      <c r="AN315" s="31" t="str" cm="1">
        <f t="array" aca="1" ref="AN315" ca="1">_xlfn.LET(
_xlpm.x, IF(S$303&gt;$G315,"x",IFERROR(SUBSTITUTE(CELL("adres",OFFSET(INDIRECT(S315),,IF(LEFT(S315)="V",-1,1)*($G315-S$303),1,1)),"$",""),"x")),
_xlpm.y, IFERROR(IF(OR(COLUMN(INDIRECT(_xlpm.x))&gt;21, COLUMN(INDIRECT(_xlpm.x)) &lt;2), "x",_xlpm.x),"x"),
_xlpm.y)</f>
        <v>H20</v>
      </c>
      <c r="AO315" s="31" t="str" cm="1">
        <f t="array" aca="1" ref="AO315" ca="1">_xlfn.LET(
_xlpm.x, IF(T$303&gt;$G315,"x",IFERROR(SUBSTITUTE(CELL("adres",OFFSET(INDIRECT(T315),,IF(LEFT(T315)="V",-1,1)*($G315-T$303),1,1)),"$",""),"x")),
_xlpm.y, IFERROR(IF(OR(COLUMN(INDIRECT(_xlpm.x))&gt;21, COLUMN(INDIRECT(_xlpm.x)) &lt;2), "x",_xlpm.x),"x"),
_xlpm.y)</f>
        <v>G24</v>
      </c>
      <c r="AP315" s="31" t="str" cm="1">
        <f t="array" aca="1" ref="AP315" ca="1">_xlfn.LET(
_xlpm.x, IF(U$303&gt;$G315,"x",IFERROR(SUBSTITUTE(CELL("adres",OFFSET(INDIRECT(U315),,IF(LEFT(U315)="V",-1,1)*($G315-U$303),1,1)),"$",""),"x")),
_xlpm.y, IFERROR(IF(OR(COLUMN(INDIRECT(_xlpm.x))&gt;21, COLUMN(INDIRECT(_xlpm.x)) &lt;2), "x",_xlpm.x),"x"),
_xlpm.y)</f>
        <v>F14</v>
      </c>
      <c r="AQ315" s="31" t="str" cm="1">
        <f t="array" aca="1" ref="AQ315" ca="1">_xlfn.LET(
_xlpm.x, IF(V$303&gt;$G315,"x",IFERROR(SUBSTITUTE(CELL("adres",OFFSET(INDIRECT(V315),,IF(LEFT(V315)="V",-1,1)*($G315-V$303),1,1)),"$",""),"x")),
_xlpm.y, IFERROR(IF(OR(COLUMN(INDIRECT(_xlpm.x))&gt;21, COLUMN(INDIRECT(_xlpm.x)) &lt;2), "x",_xlpm.x),"x"),
_xlpm.y)</f>
        <v>E14</v>
      </c>
      <c r="AR315" s="31" t="str" cm="1">
        <f t="array" aca="1" ref="AR315" ca="1">_xlfn.LET(
_xlpm.x, IF(W$303&gt;$G315,"x",IFERROR(SUBSTITUTE(CELL("adres",OFFSET(INDIRECT(W315),,IF(LEFT(W315)="V",-1,1)*($G315-W$303),1,1)),"$",""),"x")),
_xlpm.y, IFERROR(IF(OR(COLUMN(INDIRECT(_xlpm.x))&gt;21, COLUMN(INDIRECT(_xlpm.x)) &lt;2), "x",_xlpm.x),"x"),
_xlpm.y)</f>
        <v>S8</v>
      </c>
      <c r="AS315" s="31" t="str" cm="1">
        <f t="array" aca="1" ref="AS315" ca="1">_xlfn.LET(
_xlpm.x, IF(X$303&gt;$G315,"x",IFERROR(SUBSTITUTE(CELL("adres",OFFSET(INDIRECT(X315),,IF(LEFT(X315)="V",-1,1)*($G315-X$303),1,1)),"$",""),"x")),
_xlpm.y, IFERROR(IF(OR(COLUMN(INDIRECT(_xlpm.x))&gt;21, COLUMN(INDIRECT(_xlpm.x)) &lt;2), "x",_xlpm.x),"x"),
_xlpm.y)</f>
        <v>T4</v>
      </c>
      <c r="AT315" s="31" t="str" cm="1">
        <f t="array" aca="1" ref="AT315" ca="1">_xlfn.LET(
_xlpm.x, IF(Y$303&gt;$G315,"x",IFERROR(SUBSTITUTE(CELL("adres",OFFSET(INDIRECT(Y315),,IF(LEFT(Y315)="V",-1,1)*($G315-Y$303),1,1)),"$",""),"x")),
_xlpm.y, IFERROR(IF(OR(COLUMN(INDIRECT(_xlpm.x))&gt;21, COLUMN(INDIRECT(_xlpm.x)) &lt;2), "x",_xlpm.x),"x"),
_xlpm.y)</f>
        <v>U17</v>
      </c>
      <c r="AU315" s="31" t="str" cm="1">
        <f t="array" aca="1" ref="AU315" ca="1">_xlfn.LET(
_xlpm.x, IF(Z$303&gt;$G315,"x",IFERROR(SUBSTITUTE(CELL("adres",OFFSET(INDIRECT(Z315),,IF(LEFT(Z315)="V",-1,1)*($G315-Z$303),1,1)),"$",""),"x")),
_xlpm.y, IFERROR(IF(OR(COLUMN(INDIRECT(_xlpm.x))&gt;21, COLUMN(INDIRECT(_xlpm.x)) &lt;2), "x",_xlpm.x),"x"),
_xlpm.y)</f>
        <v>x</v>
      </c>
      <c r="AV315" s="31" t="str" cm="1">
        <f t="array" aca="1" ref="AV315" ca="1">_xlfn.LET(
_xlpm.x, IF(AA$303&gt;$G315,"x",IFERROR(SUBSTITUTE(CELL("adres",OFFSET(INDIRECT(AA315),,IF(LEFT(AA315)="V",-1,1)*($G315-AA$303),1,1)),"$",""),"x")),
_xlpm.y, IFERROR(IF(OR(COLUMN(INDIRECT(_xlpm.x))&gt;21, COLUMN(INDIRECT(_xlpm.x)) &lt;2), "x",_xlpm.x),"x"),
_xlpm.y)</f>
        <v>x</v>
      </c>
      <c r="AW315" s="31" t="str" cm="1">
        <f t="array" aca="1" ref="AW315" ca="1">_xlfn.LET(
_xlpm.x, IF(AB$303&gt;$G315,"x",IFERROR(SUBSTITUTE(CELL("adres",OFFSET(INDIRECT(AB315),,IF(LEFT(AB315)="V",-1,1)*($G315-AB$303),1,1)),"$",""),"x")),
_xlpm.y, IFERROR(IF(OR(COLUMN(INDIRECT(_xlpm.x))&gt;21, COLUMN(INDIRECT(_xlpm.x)) &lt;2), "x",_xlpm.x),"x"),
_xlpm.y)</f>
        <v>x</v>
      </c>
      <c r="AX315" s="31" t="str" cm="1">
        <f t="array" aca="1" ref="AX315" ca="1">_xlfn.LET(
_xlpm.x, IF(AC$303&gt;$G315,"x",IFERROR(SUBSTITUTE(CELL("adres",OFFSET(INDIRECT(AC315),,IF(LEFT(AC315)="V",-1,1)*($G315-AC$303),1,1)),"$",""),"x")),
_xlpm.y, IFERROR(IF(OR(COLUMN(INDIRECT(_xlpm.x))&gt;21, COLUMN(INDIRECT(_xlpm.x)) &lt;2), "x",_xlpm.x),"x"),
_xlpm.y)</f>
        <v>x</v>
      </c>
      <c r="AY315" s="31" t="str" cm="1">
        <f t="array" aca="1" ref="AY315" ca="1">_xlfn.LET(
_xlpm.x, IF(AD$303&gt;$G315,"x",IFERROR(SUBSTITUTE(CELL("adres",OFFSET(INDIRECT(AD315),,IF(LEFT(AD315)="V",-1,1)*($G315-AD$303),1,1)),"$",""),"x")),
_xlpm.y, IFERROR(IF(OR(COLUMN(INDIRECT(_xlpm.x))&gt;21, COLUMN(INDIRECT(_xlpm.x)) &lt;2), "x",_xlpm.x),"x"),
_xlpm.y)</f>
        <v>x</v>
      </c>
      <c r="BB315" s="23" cm="1">
        <f t="array" aca="1" ref="BB315" ca="1">IFERROR(COLUMN(INDIRECT(AF315)),"x")</f>
        <v>16</v>
      </c>
      <c r="BC315" s="23" cm="1">
        <f t="array" aca="1" ref="BC315" ca="1">IFERROR(COLUMN(INDIRECT(AG315)),"x")</f>
        <v>15</v>
      </c>
      <c r="BD315" s="23" cm="1">
        <f t="array" aca="1" ref="BD315" ca="1">IFERROR(COLUMN(INDIRECT(AH315)),"x")</f>
        <v>14</v>
      </c>
      <c r="BE315" s="23" cm="1">
        <f t="array" aca="1" ref="BE315" ca="1">IFERROR(COLUMN(INDIRECT(AI315)),"x")</f>
        <v>10</v>
      </c>
      <c r="BF315" s="23" cm="1">
        <f t="array" aca="1" ref="BF315" ca="1">IFERROR(COLUMN(INDIRECT(AJ315)),"x")</f>
        <v>12</v>
      </c>
      <c r="BG315" s="23" cm="1">
        <f t="array" aca="1" ref="BG315" ca="1">IFERROR(COLUMN(INDIRECT(AK315)),"x")</f>
        <v>12</v>
      </c>
      <c r="BH315" s="23" cm="1">
        <f t="array" aca="1" ref="BH315" ca="1">IFERROR(COLUMN(INDIRECT(AL315)),"x")</f>
        <v>10</v>
      </c>
      <c r="BI315" s="23" cm="1">
        <f t="array" aca="1" ref="BI315" ca="1">IFERROR(COLUMN(INDIRECT(AM315)),"x")</f>
        <v>9</v>
      </c>
      <c r="BJ315" s="23" cm="1">
        <f t="array" aca="1" ref="BJ315" ca="1">IFERROR(COLUMN(INDIRECT(AN315)),"x")</f>
        <v>8</v>
      </c>
      <c r="BK315" s="23" cm="1">
        <f t="array" aca="1" ref="BK315" ca="1">IFERROR(COLUMN(INDIRECT(AO315)),"x")</f>
        <v>7</v>
      </c>
      <c r="BL315" s="23" cm="1">
        <f t="array" aca="1" ref="BL315" ca="1">IFERROR(COLUMN(INDIRECT(AP315)),"x")</f>
        <v>6</v>
      </c>
      <c r="BM315" s="23" cm="1">
        <f t="array" aca="1" ref="BM315" ca="1">IFERROR(COLUMN(INDIRECT(AQ315)),"x")</f>
        <v>5</v>
      </c>
      <c r="BN315" s="23" cm="1">
        <f t="array" aca="1" ref="BN315" ca="1">IFERROR(COLUMN(INDIRECT(AR315)),"x")</f>
        <v>19</v>
      </c>
      <c r="BO315" s="23" cm="1">
        <f t="array" aca="1" ref="BO315" ca="1">IFERROR(COLUMN(INDIRECT(AS315)),"x")</f>
        <v>20</v>
      </c>
      <c r="BP315" s="23" cm="1">
        <f t="array" aca="1" ref="BP315" ca="1">IFERROR(COLUMN(INDIRECT(AT315)),"x")</f>
        <v>21</v>
      </c>
      <c r="BQ315" s="23" t="str" cm="1">
        <f t="array" aca="1" ref="BQ315" ca="1">IFERROR(COLUMN(INDIRECT(AU315)),"x")</f>
        <v>x</v>
      </c>
      <c r="BR315" s="23" t="str" cm="1">
        <f t="array" aca="1" ref="BR315" ca="1">IFERROR(COLUMN(INDIRECT(AV315)),"x")</f>
        <v>x</v>
      </c>
      <c r="BS315" s="23" t="str" cm="1">
        <f t="array" aca="1" ref="BS315" ca="1">IFERROR(COLUMN(INDIRECT(AW315)),"x")</f>
        <v>x</v>
      </c>
      <c r="BT315" s="23" t="str" cm="1">
        <f t="array" aca="1" ref="BT315" ca="1">IFERROR(COLUMN(INDIRECT(AX315)),"x")</f>
        <v>x</v>
      </c>
      <c r="BU315" s="23" t="str" cm="1">
        <f t="array" aca="1" ref="BU315" ca="1">IFERROR(COLUMN(INDIRECT(AY315)),"x")</f>
        <v>x</v>
      </c>
      <c r="BW315" s="23">
        <f t="shared" ca="1" si="40"/>
        <v>1</v>
      </c>
      <c r="BX315" s="23">
        <f t="shared" ca="1" si="41"/>
        <v>1</v>
      </c>
      <c r="BY315" s="23">
        <f t="shared" ca="1" si="42"/>
        <v>1</v>
      </c>
      <c r="BZ315" s="23">
        <f t="shared" ca="1" si="43"/>
        <v>-1</v>
      </c>
      <c r="CA315" s="23">
        <f t="shared" ca="1" si="44"/>
        <v>1</v>
      </c>
      <c r="CB315" s="23">
        <f t="shared" ca="1" si="45"/>
        <v>1</v>
      </c>
      <c r="CC315" s="23">
        <f t="shared" ca="1" si="46"/>
        <v>-1</v>
      </c>
      <c r="CD315" s="23">
        <f t="shared" ca="1" si="47"/>
        <v>-1</v>
      </c>
      <c r="CE315" s="23">
        <f t="shared" ca="1" si="48"/>
        <v>-1</v>
      </c>
      <c r="CF315" s="23">
        <f t="shared" ca="1" si="49"/>
        <v>-1</v>
      </c>
      <c r="CG315" s="23">
        <f t="shared" ca="1" si="50"/>
        <v>-1</v>
      </c>
      <c r="CH315" s="23">
        <f t="shared" ca="1" si="51"/>
        <v>-1</v>
      </c>
      <c r="CI315" s="23">
        <f t="shared" ca="1" si="52"/>
        <v>1</v>
      </c>
      <c r="CJ315" s="23">
        <f t="shared" ca="1" si="53"/>
        <v>1</v>
      </c>
      <c r="CK315" s="23">
        <f t="shared" ca="1" si="54"/>
        <v>1</v>
      </c>
      <c r="CL315" s="23" t="str">
        <f t="shared" ca="1" si="55"/>
        <v>x</v>
      </c>
      <c r="CM315" s="23" t="str">
        <f t="shared" ca="1" si="56"/>
        <v>x</v>
      </c>
      <c r="CN315" s="23" t="str">
        <f t="shared" ca="1" si="57"/>
        <v>x</v>
      </c>
      <c r="CO315" s="23" t="str">
        <f t="shared" ca="1" si="58"/>
        <v>x</v>
      </c>
      <c r="CP315" s="23" t="str">
        <f t="shared" ca="1" si="59"/>
        <v>x</v>
      </c>
      <c r="CQ315" s="75"/>
      <c r="CR315" s="23" t="str" cm="1">
        <f t="array" aca="1" ref="CR315" ca="1">_xlfn.LET(
_xlpm.x, IFERROR(SUBSTITUTE(CELL("adres",OFFSET(INDIRECT(AF315),,BW315*($I315-$G315)*2,1,1)),"$",""),"x"),
_xlpm.y, IFERROR(IF(OR(COLUMN(INDIRECT(_xlpm.x))&gt;21, COLUMN(INDIRECT(_xlpm.x))&lt;2),"x",_xlpm.x), "x"),
_xlpm.y)</f>
        <v>R2</v>
      </c>
      <c r="CS315" s="23" t="str" cm="1">
        <f t="array" aca="1" ref="CS315" ca="1">_xlfn.LET(
_xlpm.x, IFERROR(SUBSTITUTE(CELL("adres",OFFSET(INDIRECT(AG315),,BX315*($I315-$G315)*2,1,1)),"$",""),"x"),
_xlpm.y, IFERROR(IF(OR(COLUMN(INDIRECT(_xlpm.x))&gt;21, COLUMN(INDIRECT(_xlpm.x))&lt;2),"x",_xlpm.x), "x"),
_xlpm.y)</f>
        <v>Q22</v>
      </c>
      <c r="CT315" s="23" t="str" cm="1">
        <f t="array" aca="1" ref="CT315" ca="1">_xlfn.LET(
_xlpm.x, IFERROR(SUBSTITUTE(CELL("adres",OFFSET(INDIRECT(AH315),,BY315*($I315-$G315)*2,1,1)),"$",""),"x"),
_xlpm.y, IFERROR(IF(OR(COLUMN(INDIRECT(_xlpm.x))&gt;21, COLUMN(INDIRECT(_xlpm.x))&lt;2),"x",_xlpm.x), "x"),
_xlpm.y)</f>
        <v>P5</v>
      </c>
      <c r="CU315" s="23" t="str" cm="1">
        <f t="array" aca="1" ref="CU315" ca="1">_xlfn.LET(
_xlpm.x, IFERROR(SUBSTITUTE(CELL("adres",OFFSET(INDIRECT(AI315),,BZ315*($I315-$G315)*2,1,1)),"$",""),"x"),
_xlpm.y, IFERROR(IF(OR(COLUMN(INDIRECT(_xlpm.x))&gt;21, COLUMN(INDIRECT(_xlpm.x))&lt;2),"x",_xlpm.x), "x"),
_xlpm.y)</f>
        <v>H21</v>
      </c>
      <c r="CV315" s="23" t="str" cm="1">
        <f t="array" aca="1" ref="CV315" ca="1">_xlfn.LET(
_xlpm.x, IFERROR(SUBSTITUTE(CELL("adres",OFFSET(INDIRECT(AJ315),,CA315*($I315-$G315)*2,1,1)),"$",""),"x"),
_xlpm.y, IFERROR(IF(OR(COLUMN(INDIRECT(_xlpm.x))&gt;21, COLUMN(INDIRECT(_xlpm.x))&lt;2),"x",_xlpm.x), "x"),
_xlpm.y)</f>
        <v>N10</v>
      </c>
      <c r="CW315" s="23" t="str" cm="1">
        <f t="array" aca="1" ref="CW315" ca="1">_xlfn.LET(
_xlpm.x, IFERROR(SUBSTITUTE(CELL("adres",OFFSET(INDIRECT(AK315),,CB315*($I315-$G315)*2,1,1)),"$",""),"x"),
_xlpm.y, IFERROR(IF(OR(COLUMN(INDIRECT(_xlpm.x))&gt;21, COLUMN(INDIRECT(_xlpm.x))&lt;2),"x",_xlpm.x), "x"),
_xlpm.y)</f>
        <v>N13</v>
      </c>
      <c r="CX315" s="23" t="str" cm="1">
        <f t="array" aca="1" ref="CX315" ca="1">_xlfn.LET(
_xlpm.x, IFERROR(SUBSTITUTE(CELL("adres",OFFSET(INDIRECT(AL315),,CC315*($I315-$G315)*2,1,1)),"$",""),"x"),
_xlpm.y, IFERROR(IF(OR(COLUMN(INDIRECT(_xlpm.x))&gt;21, COLUMN(INDIRECT(_xlpm.x))&lt;2),"x",_xlpm.x), "x"),
_xlpm.y)</f>
        <v>H20</v>
      </c>
      <c r="CY315" s="23" t="str" cm="1">
        <f t="array" aca="1" ref="CY315" ca="1">_xlfn.LET(
_xlpm.x, IFERROR(SUBSTITUTE(CELL("adres",OFFSET(INDIRECT(AM315),,CD315*($I315-$G315)*2,1,1)),"$",""),"x"),
_xlpm.y, IFERROR(IF(OR(COLUMN(INDIRECT(_xlpm.x))&gt;21, COLUMN(INDIRECT(_xlpm.x))&lt;2),"x",_xlpm.x), "x"),
_xlpm.y)</f>
        <v>G5</v>
      </c>
      <c r="CZ315" s="23" t="str" cm="1">
        <f t="array" aca="1" ref="CZ315" ca="1">_xlfn.LET(
_xlpm.x, IFERROR(SUBSTITUTE(CELL("adres",OFFSET(INDIRECT(AN315),,CE315*($I315-$G315)*2,1,1)),"$",""),"x"),
_xlpm.y, IFERROR(IF(OR(COLUMN(INDIRECT(_xlpm.x))&gt;21, COLUMN(INDIRECT(_xlpm.x))&lt;2),"x",_xlpm.x), "x"),
_xlpm.y)</f>
        <v>F20</v>
      </c>
      <c r="DA315" s="23" t="str" cm="1">
        <f t="array" aca="1" ref="DA315" ca="1">_xlfn.LET(
_xlpm.x, IFERROR(SUBSTITUTE(CELL("adres",OFFSET(INDIRECT(AO315),,CF315*($I315-$G315)*2,1,1)),"$",""),"x"),
_xlpm.y, IFERROR(IF(OR(COLUMN(INDIRECT(_xlpm.x))&gt;21, COLUMN(INDIRECT(_xlpm.x))&lt;2),"x",_xlpm.x), "x"),
_xlpm.y)</f>
        <v>E24</v>
      </c>
      <c r="DB315" s="23" t="str" cm="1">
        <f t="array" aca="1" ref="DB315" ca="1">_xlfn.LET(
_xlpm.x, IFERROR(SUBSTITUTE(CELL("adres",OFFSET(INDIRECT(AP315),,CG315*($I315-$G315)*2,1,1)),"$",""),"x"),
_xlpm.y, IFERROR(IF(OR(COLUMN(INDIRECT(_xlpm.x))&gt;21, COLUMN(INDIRECT(_xlpm.x))&lt;2),"x",_xlpm.x), "x"),
_xlpm.y)</f>
        <v>D14</v>
      </c>
      <c r="DC315" s="23" t="str" cm="1">
        <f t="array" aca="1" ref="DC315" ca="1">_xlfn.LET(
_xlpm.x, IFERROR(SUBSTITUTE(CELL("adres",OFFSET(INDIRECT(AQ315),,CH315*($I315-$G315)*2,1,1)),"$",""),"x"),
_xlpm.y, IFERROR(IF(OR(COLUMN(INDIRECT(_xlpm.x))&gt;21, COLUMN(INDIRECT(_xlpm.x))&lt;2),"x",_xlpm.x), "x"),
_xlpm.y)</f>
        <v>C14</v>
      </c>
      <c r="DD315" s="23" t="str" cm="1">
        <f t="array" aca="1" ref="DD315" ca="1">_xlfn.LET(
_xlpm.x, IFERROR(SUBSTITUTE(CELL("adres",OFFSET(INDIRECT(AR315),,CI315*($I315-$G315)*2,1,1)),"$",""),"x"),
_xlpm.y, IFERROR(IF(OR(COLUMN(INDIRECT(_xlpm.x))&gt;21, COLUMN(INDIRECT(_xlpm.x))&lt;2),"x",_xlpm.x), "x"),
_xlpm.y)</f>
        <v>U8</v>
      </c>
      <c r="DE315" s="23" t="str" cm="1">
        <f t="array" aca="1" ref="DE315" ca="1">_xlfn.LET(
_xlpm.x, IFERROR(SUBSTITUTE(CELL("adres",OFFSET(INDIRECT(AS315),,CJ315*($I315-$G315)*2,1,1)),"$",""),"x"),
_xlpm.y, IFERROR(IF(OR(COLUMN(INDIRECT(_xlpm.x))&gt;21, COLUMN(INDIRECT(_xlpm.x))&lt;2),"x",_xlpm.x), "x"),
_xlpm.y)</f>
        <v>x</v>
      </c>
      <c r="DF315" s="23" t="str" cm="1">
        <f t="array" aca="1" ref="DF315" ca="1">_xlfn.LET(
_xlpm.x, IFERROR(SUBSTITUTE(CELL("adres",OFFSET(INDIRECT(AT315),,CK315*($I315-$G315)*2,1,1)),"$",""),"x"),
_xlpm.y, IFERROR(IF(OR(COLUMN(INDIRECT(_xlpm.x))&gt;21, COLUMN(INDIRECT(_xlpm.x))&lt;2),"x",_xlpm.x), "x"),
_xlpm.y)</f>
        <v>x</v>
      </c>
      <c r="DG315" s="23" t="str" cm="1">
        <f t="array" aca="1" ref="DG315" ca="1">_xlfn.LET(
_xlpm.x, IFERROR(SUBSTITUTE(CELL("adres",OFFSET(INDIRECT(AU315),,CL315*($I315-$G315)*2,1,1)),"$",""),"x"),
_xlpm.y, IFERROR(IF(OR(COLUMN(INDIRECT(_xlpm.x))&gt;21, COLUMN(INDIRECT(_xlpm.x))&lt;2),"x",_xlpm.x), "x"),
_xlpm.y)</f>
        <v>x</v>
      </c>
      <c r="DH315" s="23" t="str" cm="1">
        <f t="array" aca="1" ref="DH315" ca="1">_xlfn.LET(
_xlpm.x, IFERROR(SUBSTITUTE(CELL("adres",OFFSET(INDIRECT(AV315),,CM315*($I315-$G315)*2,1,1)),"$",""),"x"),
_xlpm.y, IFERROR(IF(OR(COLUMN(INDIRECT(_xlpm.x))&gt;21, COLUMN(INDIRECT(_xlpm.x))&lt;2),"x",_xlpm.x), "x"),
_xlpm.y)</f>
        <v>x</v>
      </c>
      <c r="DI315" s="23" t="str" cm="1">
        <f t="array" aca="1" ref="DI315" ca="1">_xlfn.LET(
_xlpm.x, IFERROR(SUBSTITUTE(CELL("adres",OFFSET(INDIRECT(AW315),,CN315*($I315-$G315)*2,1,1)),"$",""),"x"),
_xlpm.y, IFERROR(IF(OR(COLUMN(INDIRECT(_xlpm.x))&gt;21, COLUMN(INDIRECT(_xlpm.x))&lt;2),"x",_xlpm.x), "x"),
_xlpm.y)</f>
        <v>x</v>
      </c>
      <c r="DJ315" s="23" t="str" cm="1">
        <f t="array" aca="1" ref="DJ315" ca="1">_xlfn.LET(
_xlpm.x, IFERROR(SUBSTITUTE(CELL("adres",OFFSET(INDIRECT(AX315),,CO315*($I315-$G315)*2,1,1)),"$",""),"x"),
_xlpm.y, IFERROR(IF(OR(COLUMN(INDIRECT(_xlpm.x))&gt;21, COLUMN(INDIRECT(_xlpm.x))&lt;2),"x",_xlpm.x), "x"),
_xlpm.y)</f>
        <v>x</v>
      </c>
      <c r="DK315" s="23" t="str" cm="1">
        <f t="array" aca="1" ref="DK315" ca="1">_xlfn.LET(
_xlpm.x, IFERROR(SUBSTITUTE(CELL("adres",OFFSET(INDIRECT(AY315),,CP315*($I315-$G315)*2,1,1)),"$",""),"x"),
_xlpm.y, IFERROR(IF(OR(COLUMN(INDIRECT(_xlpm.x))&gt;21, COLUMN(INDIRECT(_xlpm.x))&lt;2),"x",_xlpm.x), "x"),
_xlpm.y)</f>
        <v>x</v>
      </c>
      <c r="DM315" s="23" cm="1">
        <f t="array" aca="1" ref="DM315" ca="1">ROW(INDIRECT(CR315))</f>
        <v>2</v>
      </c>
      <c r="DN315" s="23" cm="1">
        <f t="array" aca="1" ref="DN315" ca="1">ROW(INDIRECT(J315))</f>
        <v>2</v>
      </c>
      <c r="DO315" s="23">
        <f t="shared" ca="1" si="60"/>
        <v>0</v>
      </c>
      <c r="DP315" s="23" cm="1">
        <f t="array" aca="1" ref="DP315" ca="1">COLUMN(INDIRECT(CR315))</f>
        <v>18</v>
      </c>
      <c r="DQ315" s="23" cm="1">
        <f t="array" aca="1" ref="DQ315" ca="1">COLUMN(INDIRECT(J315))</f>
        <v>17</v>
      </c>
      <c r="DR315" s="23">
        <f t="shared" ca="1" si="61"/>
        <v>1</v>
      </c>
      <c r="DS315" s="23">
        <f t="shared" ca="1" si="39"/>
        <v>1</v>
      </c>
      <c r="DU315" s="23" cm="1">
        <f t="array" aca="1" ref="DU315" ca="1">IFERROR(MAX(ABS(ROW(INDIRECT($J315))-ROW(INDIRECT(CR315))),ABS(COLUMN(INDIRECT($J315))-COLUMN(INDIRECT(CR315)))),1000)</f>
        <v>1</v>
      </c>
      <c r="DV315" s="23" cm="1">
        <f t="array" aca="1" ref="DV315" ca="1">IFERROR(MAX(ABS(ROW(INDIRECT($J315))-ROW(INDIRECT(CS315))),ABS(COLUMN(INDIRECT($J315))-COLUMN(INDIRECT(CS315)))),1000)</f>
        <v>20</v>
      </c>
      <c r="DW315" s="23" cm="1">
        <f t="array" aca="1" ref="DW315" ca="1">IFERROR(MAX(ABS(ROW(INDIRECT($J315))-ROW(INDIRECT(CT315))),ABS(COLUMN(INDIRECT($J315))-COLUMN(INDIRECT(CT315)))),1000)</f>
        <v>3</v>
      </c>
      <c r="DX315" s="23" cm="1">
        <f t="array" aca="1" ref="DX315" ca="1">IFERROR(MAX(ABS(ROW(INDIRECT($J315))-ROW(INDIRECT(CU315))),ABS(COLUMN(INDIRECT($J315))-COLUMN(INDIRECT(CU315)))),1000)</f>
        <v>19</v>
      </c>
      <c r="DY315" s="23" cm="1">
        <f t="array" aca="1" ref="DY315" ca="1">IFERROR(MAX(ABS(ROW(INDIRECT($J315))-ROW(INDIRECT(CV315))),ABS(COLUMN(INDIRECT($J315))-COLUMN(INDIRECT(CV315)))),1000)</f>
        <v>8</v>
      </c>
      <c r="DZ315" s="23" cm="1">
        <f t="array" aca="1" ref="DZ315" ca="1">IFERROR(MAX(ABS(ROW(INDIRECT($J315))-ROW(INDIRECT(CW315))),ABS(COLUMN(INDIRECT($J315))-COLUMN(INDIRECT(CW315)))),1000)</f>
        <v>11</v>
      </c>
      <c r="EA315" s="23" cm="1">
        <f t="array" aca="1" ref="EA315" ca="1">IFERROR(MAX(ABS(ROW(INDIRECT($J315))-ROW(INDIRECT(CX315))),ABS(COLUMN(INDIRECT($J315))-COLUMN(INDIRECT(CX315)))),1000)</f>
        <v>18</v>
      </c>
      <c r="EB315" s="23" cm="1">
        <f t="array" aca="1" ref="EB315" ca="1">IFERROR(MAX(ABS(ROW(INDIRECT($J315))-ROW(INDIRECT(CY315))),ABS(COLUMN(INDIRECT($J315))-COLUMN(INDIRECT(CY315)))),1000)</f>
        <v>10</v>
      </c>
      <c r="EC315" s="23" cm="1">
        <f t="array" aca="1" ref="EC315" ca="1">IFERROR(MAX(ABS(ROW(INDIRECT($J315))-ROW(INDIRECT(CZ315))),ABS(COLUMN(INDIRECT($J315))-COLUMN(INDIRECT(CZ315)))),1000)</f>
        <v>18</v>
      </c>
      <c r="ED315" s="23" cm="1">
        <f t="array" aca="1" ref="ED315" ca="1">IFERROR(MAX(ABS(ROW(INDIRECT($J315))-ROW(INDIRECT(DA315))),ABS(COLUMN(INDIRECT($J315))-COLUMN(INDIRECT(DA315)))),1000)</f>
        <v>22</v>
      </c>
      <c r="EE315" s="23" cm="1">
        <f t="array" aca="1" ref="EE315" ca="1">IFERROR(MAX(ABS(ROW(INDIRECT($J315))-ROW(INDIRECT(DB315))),ABS(COLUMN(INDIRECT($J315))-COLUMN(INDIRECT(DB315)))),1000)</f>
        <v>13</v>
      </c>
      <c r="EF315" s="23" cm="1">
        <f t="array" aca="1" ref="EF315" ca="1">IFERROR(MAX(ABS(ROW(INDIRECT($J315))-ROW(INDIRECT(DC315))),ABS(COLUMN(INDIRECT($J315))-COLUMN(INDIRECT(DC315)))),1000)</f>
        <v>14</v>
      </c>
      <c r="EG315" s="23" cm="1">
        <f t="array" aca="1" ref="EG315" ca="1">IFERROR(MAX(ABS(ROW(INDIRECT($J315))-ROW(INDIRECT(DD315))),ABS(COLUMN(INDIRECT($J315))-COLUMN(INDIRECT(DD315)))),1000)</f>
        <v>6</v>
      </c>
      <c r="EH315" s="23" cm="1">
        <f t="array" aca="1" ref="EH315" ca="1">IFERROR(MAX(ABS(ROW(INDIRECT($J315))-ROW(INDIRECT(DE315))),ABS(COLUMN(INDIRECT($J315))-COLUMN(INDIRECT(DE315)))),1000)</f>
        <v>1000</v>
      </c>
      <c r="EI315" s="23" cm="1">
        <f t="array" aca="1" ref="EI315" ca="1">IFERROR(MAX(ABS(ROW(INDIRECT($J315))-ROW(INDIRECT(DF315))),ABS(COLUMN(INDIRECT($J315))-COLUMN(INDIRECT(DF315)))),1000)</f>
        <v>1000</v>
      </c>
      <c r="EJ315" s="23" cm="1">
        <f t="array" aca="1" ref="EJ315" ca="1">IFERROR(MAX(ABS(ROW(INDIRECT($J315))-ROW(INDIRECT(DG315))),ABS(COLUMN(INDIRECT($J315))-COLUMN(INDIRECT(DG315)))),1000)</f>
        <v>1000</v>
      </c>
      <c r="EK315" s="23" cm="1">
        <f t="array" aca="1" ref="EK315" ca="1">IFERROR(MAX(ABS(ROW(INDIRECT($J315))-ROW(INDIRECT(DH315))),ABS(COLUMN(INDIRECT($J315))-COLUMN(INDIRECT(DH315)))),1000)</f>
        <v>1000</v>
      </c>
      <c r="EL315" s="23" cm="1">
        <f t="array" aca="1" ref="EL315" ca="1">IFERROR(MAX(ABS(ROW(INDIRECT($J315))-ROW(INDIRECT(DI315))),ABS(COLUMN(INDIRECT($J315))-COLUMN(INDIRECT(DI315)))),1000)</f>
        <v>1000</v>
      </c>
      <c r="EM315" s="23" cm="1">
        <f t="array" aca="1" ref="EM315" ca="1">IFERROR(MAX(ABS(ROW(INDIRECT($J315))-ROW(INDIRECT(DJ315))),ABS(COLUMN(INDIRECT($J315))-COLUMN(INDIRECT(DJ315)))),1000)</f>
        <v>1000</v>
      </c>
      <c r="EN315" s="23" cm="1">
        <f t="array" aca="1" ref="EN315" ca="1">IFERROR(MAX(ABS(ROW(INDIRECT($J315))-ROW(INDIRECT(DK315))),ABS(COLUMN(INDIRECT($J315))-COLUMN(INDIRECT(DK315)))),1000)</f>
        <v>1000</v>
      </c>
      <c r="EP315" s="23">
        <f t="shared" ca="1" si="62"/>
        <v>1</v>
      </c>
      <c r="EQ315" s="23">
        <f t="shared" ca="1" si="63"/>
        <v>1</v>
      </c>
      <c r="ER315" s="23">
        <f t="shared" ca="1" si="64"/>
        <v>1</v>
      </c>
      <c r="ES315" s="23" t="str" cm="1">
        <f t="array" aca="1" ref="ES315" ca="1">INDEX(CR315:DK315,1,ER315)</f>
        <v>R2</v>
      </c>
    </row>
    <row r="316" spans="2:149" ht="22.5" customHeight="1">
      <c r="B316" s="32">
        <f t="shared" si="65"/>
        <v>129</v>
      </c>
      <c r="C316" s="32">
        <v>7</v>
      </c>
      <c r="D316" s="30">
        <v>12</v>
      </c>
      <c r="E316" s="34" t="str">
        <f ca="1"/>
        <v>T7</v>
      </c>
      <c r="F316" s="103"/>
      <c r="G316" s="33">
        <v>24</v>
      </c>
      <c r="H316" s="33" t="s">
        <v>290</v>
      </c>
      <c r="I316" s="33">
        <v>28</v>
      </c>
      <c r="J316" s="33" t="s">
        <v>291</v>
      </c>
      <c r="K316" s="33" t="s">
        <v>111</v>
      </c>
      <c r="L316" s="33" t="s">
        <v>59</v>
      </c>
      <c r="M316" s="33" t="s">
        <v>137</v>
      </c>
      <c r="N316" s="33" t="s">
        <v>192</v>
      </c>
      <c r="O316" s="33" t="s">
        <v>191</v>
      </c>
      <c r="P316" s="33" t="s">
        <v>65</v>
      </c>
      <c r="Q316" s="33" t="s">
        <v>55</v>
      </c>
      <c r="R316" s="33" t="s">
        <v>61</v>
      </c>
      <c r="S316" s="33" t="s">
        <v>80</v>
      </c>
      <c r="T316" s="33" t="s">
        <v>137</v>
      </c>
      <c r="U316" s="33" t="s">
        <v>114</v>
      </c>
      <c r="V316" s="33" t="s">
        <v>110</v>
      </c>
      <c r="W316" s="33" t="s">
        <v>155</v>
      </c>
      <c r="X316" s="33" t="s">
        <v>59</v>
      </c>
      <c r="Y316" s="33" t="s">
        <v>57</v>
      </c>
      <c r="Z316" s="33" t="s">
        <v>55</v>
      </c>
      <c r="AA316" s="33" t="s">
        <v>53</v>
      </c>
      <c r="AB316" s="33" t="s">
        <v>88</v>
      </c>
      <c r="AC316" s="33" t="s">
        <v>84</v>
      </c>
      <c r="AD316" s="33" t="s">
        <v>64</v>
      </c>
      <c r="AF316" s="31" t="str" cm="1">
        <f t="array" aca="1" ref="AF316" ca="1">_xlfn.LET(
_xlpm.x, IF(K$303&gt;$G316,"x",IFERROR(SUBSTITUTE(CELL("adres",OFFSET(INDIRECT(K316),,IF(LEFT(K316)="V",-1,1)*($G316-K$303),1,1)),"$",""),"x")),
_xlpm.y, IFERROR(IF(OR(COLUMN(INDIRECT(_xlpm.x))&gt;21, COLUMN(INDIRECT(_xlpm.x)) &lt;2), "x",_xlpm.x),"x"),
_xlpm.y)</f>
        <v>x</v>
      </c>
      <c r="AG316" s="31" t="str" cm="1">
        <f t="array" aca="1" ref="AG316" ca="1">_xlfn.LET(
_xlpm.x, IF(L$303&gt;$G316,"x",IFERROR(SUBSTITUTE(CELL("adres",OFFSET(INDIRECT(L316),,IF(LEFT(L316)="V",-1,1)*($G316-L$303),1,1)),"$",""),"x")),
_xlpm.y, IFERROR(IF(OR(COLUMN(INDIRECT(_xlpm.x))&gt;21, COLUMN(INDIRECT(_xlpm.x)) &lt;2), "x",_xlpm.x),"x"),
_xlpm.y)</f>
        <v>x</v>
      </c>
      <c r="AH316" s="31" t="str" cm="1">
        <f t="array" aca="1" ref="AH316" ca="1">_xlfn.LET(
_xlpm.x, IF(M$303&gt;$G316,"x",IFERROR(SUBSTITUTE(CELL("adres",OFFSET(INDIRECT(M316),,IF(LEFT(M316)="V",-1,1)*($G316-M$303),1,1)),"$",""),"x")),
_xlpm.y, IFERROR(IF(OR(COLUMN(INDIRECT(_xlpm.x))&gt;21, COLUMN(INDIRECT(_xlpm.x)) &lt;2), "x",_xlpm.x),"x"),
_xlpm.y)</f>
        <v>x</v>
      </c>
      <c r="AI316" s="31" t="str" cm="1">
        <f t="array" aca="1" ref="AI316" ca="1">_xlfn.LET(
_xlpm.x, IF(N$303&gt;$G316,"x",IFERROR(SUBSTITUTE(CELL("adres",OFFSET(INDIRECT(N316),,IF(LEFT(N316)="V",-1,1)*($G316-N$303),1,1)),"$",""),"x")),
_xlpm.y, IFERROR(IF(OR(COLUMN(INDIRECT(_xlpm.x))&gt;21, COLUMN(INDIRECT(_xlpm.x)) &lt;2), "x",_xlpm.x),"x"),
_xlpm.y)</f>
        <v>x</v>
      </c>
      <c r="AJ316" s="31" t="str" cm="1">
        <f t="array" aca="1" ref="AJ316" ca="1">_xlfn.LET(
_xlpm.x, IF(O$303&gt;$G316,"x",IFERROR(SUBSTITUTE(CELL("adres",OFFSET(INDIRECT(O316),,IF(LEFT(O316)="V",-1,1)*($G316-O$303),1,1)),"$",""),"x")),
_xlpm.y, IFERROR(IF(OR(COLUMN(INDIRECT(_xlpm.x))&gt;21, COLUMN(INDIRECT(_xlpm.x)) &lt;2), "x",_xlpm.x),"x"),
_xlpm.y)</f>
        <v>B7</v>
      </c>
      <c r="AK316" s="31" t="str" cm="1">
        <f t="array" aca="1" ref="AK316" ca="1">_xlfn.LET(
_xlpm.x, IF(P$303&gt;$G316,"x",IFERROR(SUBSTITUTE(CELL("adres",OFFSET(INDIRECT(P316),,IF(LEFT(P316)="V",-1,1)*($G316-P$303),1,1)),"$",""),"x")),
_xlpm.y, IFERROR(IF(OR(COLUMN(INDIRECT(_xlpm.x))&gt;21, COLUMN(INDIRECT(_xlpm.x)) &lt;2), "x",_xlpm.x),"x"),
_xlpm.y)</f>
        <v>T12</v>
      </c>
      <c r="AL316" s="31" t="str" cm="1">
        <f t="array" aca="1" ref="AL316" ca="1">_xlfn.LET(
_xlpm.x, IF(Q$303&gt;$G316,"x",IFERROR(SUBSTITUTE(CELL("adres",OFFSET(INDIRECT(Q316),,IF(LEFT(Q316)="V",-1,1)*($G316-Q$303),1,1)),"$",""),"x")),
_xlpm.y, IFERROR(IF(OR(COLUMN(INDIRECT(_xlpm.x))&gt;21, COLUMN(INDIRECT(_xlpm.x)) &lt;2), "x",_xlpm.x),"x"),
_xlpm.y)</f>
        <v>S26</v>
      </c>
      <c r="AM316" s="31" t="str" cm="1">
        <f t="array" aca="1" ref="AM316" ca="1">_xlfn.LET(
_xlpm.x, IF(R$303&gt;$G316,"x",IFERROR(SUBSTITUTE(CELL("adres",OFFSET(INDIRECT(R316),,IF(LEFT(R316)="V",-1,1)*($G316-R$303),1,1)),"$",""),"x")),
_xlpm.y, IFERROR(IF(OR(COLUMN(INDIRECT(_xlpm.x))&gt;21, COLUMN(INDIRECT(_xlpm.x)) &lt;2), "x",_xlpm.x),"x"),
_xlpm.y)</f>
        <v>R8</v>
      </c>
      <c r="AN316" s="31" t="str" cm="1">
        <f t="array" aca="1" ref="AN316" ca="1">_xlfn.LET(
_xlpm.x, IF(S$303&gt;$G316,"x",IFERROR(SUBSTITUTE(CELL("adres",OFFSET(INDIRECT(S316),,IF(LEFT(S316)="V",-1,1)*($G316-S$303),1,1)),"$",""),"x")),
_xlpm.y, IFERROR(IF(OR(COLUMN(INDIRECT(_xlpm.x))&gt;21, COLUMN(INDIRECT(_xlpm.x)) &lt;2), "x",_xlpm.x),"x"),
_xlpm.y)</f>
        <v>F6</v>
      </c>
      <c r="AO316" s="31" t="str" cm="1">
        <f t="array" aca="1" ref="AO316" ca="1">_xlfn.LET(
_xlpm.x, IF(T$303&gt;$G316,"x",IFERROR(SUBSTITUTE(CELL("adres",OFFSET(INDIRECT(T316),,IF(LEFT(T316)="V",-1,1)*($G316-T$303),1,1)),"$",""),"x")),
_xlpm.y, IFERROR(IF(OR(COLUMN(INDIRECT(_xlpm.x))&gt;21, COLUMN(INDIRECT(_xlpm.x)) &lt;2), "x",_xlpm.x),"x"),
_xlpm.y)</f>
        <v>G4</v>
      </c>
      <c r="AP316" s="31" t="str" cm="1">
        <f t="array" aca="1" ref="AP316" ca="1">_xlfn.LET(
_xlpm.x, IF(U$303&gt;$G316,"x",IFERROR(SUBSTITUTE(CELL("adres",OFFSET(INDIRECT(U316),,IF(LEFT(U316)="V",-1,1)*($G316-U$303),1,1)),"$",""),"x")),
_xlpm.y, IFERROR(IF(OR(COLUMN(INDIRECT(_xlpm.x))&gt;21, COLUMN(INDIRECT(_xlpm.x)) &lt;2), "x",_xlpm.x),"x"),
_xlpm.y)</f>
        <v>H13</v>
      </c>
      <c r="AQ316" s="31" t="str" cm="1">
        <f t="array" aca="1" ref="AQ316" ca="1">_xlfn.LET(
_xlpm.x, IF(V$303&gt;$G316,"x",IFERROR(SUBSTITUTE(CELL("adres",OFFSET(INDIRECT(V316),,IF(LEFT(V316)="V",-1,1)*($G316-V$303),1,1)),"$",""),"x")),
_xlpm.y, IFERROR(IF(OR(COLUMN(INDIRECT(_xlpm.x))&gt;21, COLUMN(INDIRECT(_xlpm.x)) &lt;2), "x",_xlpm.x),"x"),
_xlpm.y)</f>
        <v>N11</v>
      </c>
      <c r="AR316" s="31" t="str" cm="1">
        <f t="array" aca="1" ref="AR316" ca="1">_xlfn.LET(
_xlpm.x, IF(W$303&gt;$G316,"x",IFERROR(SUBSTITUTE(CELL("adres",OFFSET(INDIRECT(W316),,IF(LEFT(W316)="V",-1,1)*($G316-W$303),1,1)),"$",""),"x")),
_xlpm.y, IFERROR(IF(OR(COLUMN(INDIRECT(_xlpm.x))&gt;21, COLUMN(INDIRECT(_xlpm.x)) &lt;2), "x",_xlpm.x),"x"),
_xlpm.y)</f>
        <v>J20</v>
      </c>
      <c r="AS316" s="31" t="str" cm="1">
        <f t="array" aca="1" ref="AS316" ca="1">_xlfn.LET(
_xlpm.x, IF(X$303&gt;$G316,"x",IFERROR(SUBSTITUTE(CELL("adres",OFFSET(INDIRECT(X316),,IF(LEFT(X316)="V",-1,1)*($G316-X$303),1,1)),"$",""),"x")),
_xlpm.y, IFERROR(IF(OR(COLUMN(INDIRECT(_xlpm.x))&gt;21, COLUMN(INDIRECT(_xlpm.x)) &lt;2), "x",_xlpm.x),"x"),
_xlpm.y)</f>
        <v>L7</v>
      </c>
      <c r="AT316" s="31" t="str" cm="1">
        <f t="array" aca="1" ref="AT316" ca="1">_xlfn.LET(
_xlpm.x, IF(Y$303&gt;$G316,"x",IFERROR(SUBSTITUTE(CELL("adres",OFFSET(INDIRECT(Y316),,IF(LEFT(Y316)="V",-1,1)*($G316-Y$303),1,1)),"$",""),"x")),
_xlpm.y, IFERROR(IF(OR(COLUMN(INDIRECT(_xlpm.x))&gt;21, COLUMN(INDIRECT(_xlpm.x)) &lt;2), "x",_xlpm.x),"x"),
_xlpm.y)</f>
        <v>K17</v>
      </c>
      <c r="AU316" s="31" t="str" cm="1">
        <f t="array" aca="1" ref="AU316" ca="1">_xlfn.LET(
_xlpm.x, IF(Z$303&gt;$G316,"x",IFERROR(SUBSTITUTE(CELL("adres",OFFSET(INDIRECT(Z316),,IF(LEFT(Z316)="V",-1,1)*($G316-Z$303),1,1)),"$",""),"x")),
_xlpm.y, IFERROR(IF(OR(COLUMN(INDIRECT(_xlpm.x))&gt;21, COLUMN(INDIRECT(_xlpm.x)) &lt;2), "x",_xlpm.x),"x"),
_xlpm.y)</f>
        <v>J26</v>
      </c>
      <c r="AV316" s="31" t="str" cm="1">
        <f t="array" aca="1" ref="AV316" ca="1">_xlfn.LET(
_xlpm.x, IF(AA$303&gt;$G316,"x",IFERROR(SUBSTITUTE(CELL("adres",OFFSET(INDIRECT(AA316),,IF(LEFT(AA316)="V",-1,1)*($G316-AA$303),1,1)),"$",""),"x")),
_xlpm.y, IFERROR(IF(OR(COLUMN(INDIRECT(_xlpm.x))&gt;21, COLUMN(INDIRECT(_xlpm.x)) &lt;2), "x",_xlpm.x),"x"),
_xlpm.y)</f>
        <v>I4</v>
      </c>
      <c r="AW316" s="31" t="str" cm="1">
        <f t="array" aca="1" ref="AW316" ca="1">_xlfn.LET(
_xlpm.x, IF(AB$303&gt;$G316,"x",IFERROR(SUBSTITUTE(CELL("adres",OFFSET(INDIRECT(AB316),,IF(LEFT(AB316)="V",-1,1)*($G316-AB$303),1,1)),"$",""),"x")),
_xlpm.y, IFERROR(IF(OR(COLUMN(INDIRECT(_xlpm.x))&gt;21, COLUMN(INDIRECT(_xlpm.x)) &lt;2), "x",_xlpm.x),"x"),
_xlpm.y)</f>
        <v>O9</v>
      </c>
      <c r="AX316" s="31" t="str" cm="1">
        <f t="array" aca="1" ref="AX316" ca="1">_xlfn.LET(
_xlpm.x, IF(AC$303&gt;$G316,"x",IFERROR(SUBSTITUTE(CELL("adres",OFFSET(INDIRECT(AC316),,IF(LEFT(AC316)="V",-1,1)*($G316-AC$303),1,1)),"$",""),"x")),
_xlpm.y, IFERROR(IF(OR(COLUMN(INDIRECT(_xlpm.x))&gt;21, COLUMN(INDIRECT(_xlpm.x)) &lt;2), "x",_xlpm.x),"x"),
_xlpm.y)</f>
        <v>P26</v>
      </c>
      <c r="AY316" s="31" t="str" cm="1">
        <f t="array" aca="1" ref="AY316" ca="1">_xlfn.LET(
_xlpm.x, IF(AD$303&gt;$G316,"x",IFERROR(SUBSTITUTE(CELL("adres",OFFSET(INDIRECT(AD316),,IF(LEFT(AD316)="V",-1,1)*($G316-AD$303),1,1)),"$",""),"x")),
_xlpm.y, IFERROR(IF(OR(COLUMN(INDIRECT(_xlpm.x))&gt;21, COLUMN(INDIRECT(_xlpm.x)) &lt;2), "x",_xlpm.x),"x"),
_xlpm.y)</f>
        <v>F9</v>
      </c>
      <c r="BB316" s="23" t="str" cm="1">
        <f t="array" aca="1" ref="BB316" ca="1">IFERROR(COLUMN(INDIRECT(AF316)),"x")</f>
        <v>x</v>
      </c>
      <c r="BC316" s="23" t="str" cm="1">
        <f t="array" aca="1" ref="BC316" ca="1">IFERROR(COLUMN(INDIRECT(AG316)),"x")</f>
        <v>x</v>
      </c>
      <c r="BD316" s="23" t="str" cm="1">
        <f t="array" aca="1" ref="BD316" ca="1">IFERROR(COLUMN(INDIRECT(AH316)),"x")</f>
        <v>x</v>
      </c>
      <c r="BE316" s="23" t="str" cm="1">
        <f t="array" aca="1" ref="BE316" ca="1">IFERROR(COLUMN(INDIRECT(AI316)),"x")</f>
        <v>x</v>
      </c>
      <c r="BF316" s="23" cm="1">
        <f t="array" aca="1" ref="BF316" ca="1">IFERROR(COLUMN(INDIRECT(AJ316)),"x")</f>
        <v>2</v>
      </c>
      <c r="BG316" s="23" cm="1">
        <f t="array" aca="1" ref="BG316" ca="1">IFERROR(COLUMN(INDIRECT(AK316)),"x")</f>
        <v>20</v>
      </c>
      <c r="BH316" s="23" cm="1">
        <f t="array" aca="1" ref="BH316" ca="1">IFERROR(COLUMN(INDIRECT(AL316)),"x")</f>
        <v>19</v>
      </c>
      <c r="BI316" s="23" cm="1">
        <f t="array" aca="1" ref="BI316" ca="1">IFERROR(COLUMN(INDIRECT(AM316)),"x")</f>
        <v>18</v>
      </c>
      <c r="BJ316" s="23" cm="1">
        <f t="array" aca="1" ref="BJ316" ca="1">IFERROR(COLUMN(INDIRECT(AN316)),"x")</f>
        <v>6</v>
      </c>
      <c r="BK316" s="23" cm="1">
        <f t="array" aca="1" ref="BK316" ca="1">IFERROR(COLUMN(INDIRECT(AO316)),"x")</f>
        <v>7</v>
      </c>
      <c r="BL316" s="23" cm="1">
        <f t="array" aca="1" ref="BL316" ca="1">IFERROR(COLUMN(INDIRECT(AP316)),"x")</f>
        <v>8</v>
      </c>
      <c r="BM316" s="23" cm="1">
        <f t="array" aca="1" ref="BM316" ca="1">IFERROR(COLUMN(INDIRECT(AQ316)),"x")</f>
        <v>14</v>
      </c>
      <c r="BN316" s="23" cm="1">
        <f t="array" aca="1" ref="BN316" ca="1">IFERROR(COLUMN(INDIRECT(AR316)),"x")</f>
        <v>10</v>
      </c>
      <c r="BO316" s="23" cm="1">
        <f t="array" aca="1" ref="BO316" ca="1">IFERROR(COLUMN(INDIRECT(AS316)),"x")</f>
        <v>12</v>
      </c>
      <c r="BP316" s="23" cm="1">
        <f t="array" aca="1" ref="BP316" ca="1">IFERROR(COLUMN(INDIRECT(AT316)),"x")</f>
        <v>11</v>
      </c>
      <c r="BQ316" s="23" cm="1">
        <f t="array" aca="1" ref="BQ316" ca="1">IFERROR(COLUMN(INDIRECT(AU316)),"x")</f>
        <v>10</v>
      </c>
      <c r="BR316" s="23" cm="1">
        <f t="array" aca="1" ref="BR316" ca="1">IFERROR(COLUMN(INDIRECT(AV316)),"x")</f>
        <v>9</v>
      </c>
      <c r="BS316" s="23" cm="1">
        <f t="array" aca="1" ref="BS316" ca="1">IFERROR(COLUMN(INDIRECT(AW316)),"x")</f>
        <v>15</v>
      </c>
      <c r="BT316" s="23" cm="1">
        <f t="array" aca="1" ref="BT316" ca="1">IFERROR(COLUMN(INDIRECT(AX316)),"x")</f>
        <v>16</v>
      </c>
      <c r="BU316" s="23" cm="1">
        <f t="array" aca="1" ref="BU316" ca="1">IFERROR(COLUMN(INDIRECT(AY316)),"x")</f>
        <v>6</v>
      </c>
      <c r="BW316" s="23" t="str">
        <f t="shared" ca="1" si="40"/>
        <v>x</v>
      </c>
      <c r="BX316" s="23" t="str">
        <f t="shared" ca="1" si="41"/>
        <v>x</v>
      </c>
      <c r="BY316" s="23" t="str">
        <f t="shared" ca="1" si="42"/>
        <v>x</v>
      </c>
      <c r="BZ316" s="23" t="str">
        <f t="shared" ca="1" si="43"/>
        <v>x</v>
      </c>
      <c r="CA316" s="23">
        <f t="shared" ca="1" si="44"/>
        <v>-1</v>
      </c>
      <c r="CB316" s="23">
        <f t="shared" ca="1" si="45"/>
        <v>1</v>
      </c>
      <c r="CC316" s="23">
        <f t="shared" ca="1" si="46"/>
        <v>1</v>
      </c>
      <c r="CD316" s="23">
        <f t="shared" ca="1" si="47"/>
        <v>1</v>
      </c>
      <c r="CE316" s="23">
        <f t="shared" ca="1" si="48"/>
        <v>-1</v>
      </c>
      <c r="CF316" s="23">
        <f t="shared" ca="1" si="49"/>
        <v>-1</v>
      </c>
      <c r="CG316" s="23">
        <f t="shared" ca="1" si="50"/>
        <v>-1</v>
      </c>
      <c r="CH316" s="23">
        <f t="shared" ca="1" si="51"/>
        <v>1</v>
      </c>
      <c r="CI316" s="23">
        <f t="shared" ca="1" si="52"/>
        <v>-1</v>
      </c>
      <c r="CJ316" s="23">
        <f t="shared" ca="1" si="53"/>
        <v>1</v>
      </c>
      <c r="CK316" s="23">
        <f t="shared" ca="1" si="54"/>
        <v>-1</v>
      </c>
      <c r="CL316" s="23">
        <f t="shared" ca="1" si="55"/>
        <v>-1</v>
      </c>
      <c r="CM316" s="23">
        <f t="shared" ca="1" si="56"/>
        <v>-1</v>
      </c>
      <c r="CN316" s="23">
        <f t="shared" ca="1" si="57"/>
        <v>1</v>
      </c>
      <c r="CO316" s="23">
        <f t="shared" ca="1" si="58"/>
        <v>1</v>
      </c>
      <c r="CP316" s="23">
        <f t="shared" ca="1" si="59"/>
        <v>-1</v>
      </c>
      <c r="CQ316" s="75"/>
      <c r="CR316" s="23" t="str" cm="1">
        <f t="array" aca="1" ref="CR316" ca="1">_xlfn.LET(
_xlpm.x, IFERROR(SUBSTITUTE(CELL("adres",OFFSET(INDIRECT(AF316),,BW316*($I316-$G316)*2,1,1)),"$",""),"x"),
_xlpm.y, IFERROR(IF(OR(COLUMN(INDIRECT(_xlpm.x))&gt;21, COLUMN(INDIRECT(_xlpm.x))&lt;2),"x",_xlpm.x), "x"),
_xlpm.y)</f>
        <v>x</v>
      </c>
      <c r="CS316" s="23" t="str" cm="1">
        <f t="array" aca="1" ref="CS316" ca="1">_xlfn.LET(
_xlpm.x, IFERROR(SUBSTITUTE(CELL("adres",OFFSET(INDIRECT(AG316),,BX316*($I316-$G316)*2,1,1)),"$",""),"x"),
_xlpm.y, IFERROR(IF(OR(COLUMN(INDIRECT(_xlpm.x))&gt;21, COLUMN(INDIRECT(_xlpm.x))&lt;2),"x",_xlpm.x), "x"),
_xlpm.y)</f>
        <v>x</v>
      </c>
      <c r="CT316" s="23" t="str" cm="1">
        <f t="array" aca="1" ref="CT316" ca="1">_xlfn.LET(
_xlpm.x, IFERROR(SUBSTITUTE(CELL("adres",OFFSET(INDIRECT(AH316),,BY316*($I316-$G316)*2,1,1)),"$",""),"x"),
_xlpm.y, IFERROR(IF(OR(COLUMN(INDIRECT(_xlpm.x))&gt;21, COLUMN(INDIRECT(_xlpm.x))&lt;2),"x",_xlpm.x), "x"),
_xlpm.y)</f>
        <v>x</v>
      </c>
      <c r="CU316" s="23" t="str" cm="1">
        <f t="array" aca="1" ref="CU316" ca="1">_xlfn.LET(
_xlpm.x, IFERROR(SUBSTITUTE(CELL("adres",OFFSET(INDIRECT(AI316),,BZ316*($I316-$G316)*2,1,1)),"$",""),"x"),
_xlpm.y, IFERROR(IF(OR(COLUMN(INDIRECT(_xlpm.x))&gt;21, COLUMN(INDIRECT(_xlpm.x))&lt;2),"x",_xlpm.x), "x"),
_xlpm.y)</f>
        <v>x</v>
      </c>
      <c r="CV316" s="23" t="str" cm="1">
        <f t="array" aca="1" ref="CV316" ca="1">_xlfn.LET(
_xlpm.x, IFERROR(SUBSTITUTE(CELL("adres",OFFSET(INDIRECT(AJ316),,CA316*($I316-$G316)*2,1,1)),"$",""),"x"),
_xlpm.y, IFERROR(IF(OR(COLUMN(INDIRECT(_xlpm.x))&gt;21, COLUMN(INDIRECT(_xlpm.x))&lt;2),"x",_xlpm.x), "x"),
_xlpm.y)</f>
        <v>x</v>
      </c>
      <c r="CW316" s="23" t="str" cm="1">
        <f t="array" aca="1" ref="CW316" ca="1">_xlfn.LET(
_xlpm.x, IFERROR(SUBSTITUTE(CELL("adres",OFFSET(INDIRECT(AK316),,CB316*($I316-$G316)*2,1,1)),"$",""),"x"),
_xlpm.y, IFERROR(IF(OR(COLUMN(INDIRECT(_xlpm.x))&gt;21, COLUMN(INDIRECT(_xlpm.x))&lt;2),"x",_xlpm.x), "x"),
_xlpm.y)</f>
        <v>x</v>
      </c>
      <c r="CX316" s="23" t="str" cm="1">
        <f t="array" aca="1" ref="CX316" ca="1">_xlfn.LET(
_xlpm.x, IFERROR(SUBSTITUTE(CELL("adres",OFFSET(INDIRECT(AL316),,CC316*($I316-$G316)*2,1,1)),"$",""),"x"),
_xlpm.y, IFERROR(IF(OR(COLUMN(INDIRECT(_xlpm.x))&gt;21, COLUMN(INDIRECT(_xlpm.x))&lt;2),"x",_xlpm.x), "x"),
_xlpm.y)</f>
        <v>x</v>
      </c>
      <c r="CY316" s="23" t="str" cm="1">
        <f t="array" aca="1" ref="CY316" ca="1">_xlfn.LET(
_xlpm.x, IFERROR(SUBSTITUTE(CELL("adres",OFFSET(INDIRECT(AM316),,CD316*($I316-$G316)*2,1,1)),"$",""),"x"),
_xlpm.y, IFERROR(IF(OR(COLUMN(INDIRECT(_xlpm.x))&gt;21, COLUMN(INDIRECT(_xlpm.x))&lt;2),"x",_xlpm.x), "x"),
_xlpm.y)</f>
        <v>x</v>
      </c>
      <c r="CZ316" s="23" t="str" cm="1">
        <f t="array" aca="1" ref="CZ316" ca="1">_xlfn.LET(
_xlpm.x, IFERROR(SUBSTITUTE(CELL("adres",OFFSET(INDIRECT(AN316),,CE316*($I316-$G316)*2,1,1)),"$",""),"x"),
_xlpm.y, IFERROR(IF(OR(COLUMN(INDIRECT(_xlpm.x))&gt;21, COLUMN(INDIRECT(_xlpm.x))&lt;2),"x",_xlpm.x), "x"),
_xlpm.y)</f>
        <v>x</v>
      </c>
      <c r="DA316" s="23" t="str" cm="1">
        <f t="array" aca="1" ref="DA316" ca="1">_xlfn.LET(
_xlpm.x, IFERROR(SUBSTITUTE(CELL("adres",OFFSET(INDIRECT(AO316),,CF316*($I316-$G316)*2,1,1)),"$",""),"x"),
_xlpm.y, IFERROR(IF(OR(COLUMN(INDIRECT(_xlpm.x))&gt;21, COLUMN(INDIRECT(_xlpm.x))&lt;2),"x",_xlpm.x), "x"),
_xlpm.y)</f>
        <v>x</v>
      </c>
      <c r="DB316" s="23" t="str" cm="1">
        <f t="array" aca="1" ref="DB316" ca="1">_xlfn.LET(
_xlpm.x, IFERROR(SUBSTITUTE(CELL("adres",OFFSET(INDIRECT(AP316),,CG316*($I316-$G316)*2,1,1)),"$",""),"x"),
_xlpm.y, IFERROR(IF(OR(COLUMN(INDIRECT(_xlpm.x))&gt;21, COLUMN(INDIRECT(_xlpm.x))&lt;2),"x",_xlpm.x), "x"),
_xlpm.y)</f>
        <v>x</v>
      </c>
      <c r="DC316" s="23" t="str" cm="1">
        <f t="array" aca="1" ref="DC316" ca="1">_xlfn.LET(
_xlpm.x, IFERROR(SUBSTITUTE(CELL("adres",OFFSET(INDIRECT(AQ316),,CH316*($I316-$G316)*2,1,1)),"$",""),"x"),
_xlpm.y, IFERROR(IF(OR(COLUMN(INDIRECT(_xlpm.x))&gt;21, COLUMN(INDIRECT(_xlpm.x))&lt;2),"x",_xlpm.x), "x"),
_xlpm.y)</f>
        <v>x</v>
      </c>
      <c r="DD316" s="23" t="str" cm="1">
        <f t="array" aca="1" ref="DD316" ca="1">_xlfn.LET(
_xlpm.x, IFERROR(SUBSTITUTE(CELL("adres",OFFSET(INDIRECT(AR316),,CI316*($I316-$G316)*2,1,1)),"$",""),"x"),
_xlpm.y, IFERROR(IF(OR(COLUMN(INDIRECT(_xlpm.x))&gt;21, COLUMN(INDIRECT(_xlpm.x))&lt;2),"x",_xlpm.x), "x"),
_xlpm.y)</f>
        <v>B20</v>
      </c>
      <c r="DE316" s="23" t="str" cm="1">
        <f t="array" aca="1" ref="DE316" ca="1">_xlfn.LET(
_xlpm.x, IFERROR(SUBSTITUTE(CELL("adres",OFFSET(INDIRECT(AS316),,CJ316*($I316-$G316)*2,1,1)),"$",""),"x"),
_xlpm.y, IFERROR(IF(OR(COLUMN(INDIRECT(_xlpm.x))&gt;21, COLUMN(INDIRECT(_xlpm.x))&lt;2),"x",_xlpm.x), "x"),
_xlpm.y)</f>
        <v>T7</v>
      </c>
      <c r="DF316" s="23" t="str" cm="1">
        <f t="array" aca="1" ref="DF316" ca="1">_xlfn.LET(
_xlpm.x, IFERROR(SUBSTITUTE(CELL("adres",OFFSET(INDIRECT(AT316),,CK316*($I316-$G316)*2,1,1)),"$",""),"x"),
_xlpm.y, IFERROR(IF(OR(COLUMN(INDIRECT(_xlpm.x))&gt;21, COLUMN(INDIRECT(_xlpm.x))&lt;2),"x",_xlpm.x), "x"),
_xlpm.y)</f>
        <v>C17</v>
      </c>
      <c r="DG316" s="23" t="str" cm="1">
        <f t="array" aca="1" ref="DG316" ca="1">_xlfn.LET(
_xlpm.x, IFERROR(SUBSTITUTE(CELL("adres",OFFSET(INDIRECT(AU316),,CL316*($I316-$G316)*2,1,1)),"$",""),"x"),
_xlpm.y, IFERROR(IF(OR(COLUMN(INDIRECT(_xlpm.x))&gt;21, COLUMN(INDIRECT(_xlpm.x))&lt;2),"x",_xlpm.x), "x"),
_xlpm.y)</f>
        <v>B26</v>
      </c>
      <c r="DH316" s="23" t="str" cm="1">
        <f t="array" aca="1" ref="DH316" ca="1">_xlfn.LET(
_xlpm.x, IFERROR(SUBSTITUTE(CELL("adres",OFFSET(INDIRECT(AV316),,CM316*($I316-$G316)*2,1,1)),"$",""),"x"),
_xlpm.y, IFERROR(IF(OR(COLUMN(INDIRECT(_xlpm.x))&gt;21, COLUMN(INDIRECT(_xlpm.x))&lt;2),"x",_xlpm.x), "x"),
_xlpm.y)</f>
        <v>x</v>
      </c>
      <c r="DI316" s="23" t="str" cm="1">
        <f t="array" aca="1" ref="DI316" ca="1">_xlfn.LET(
_xlpm.x, IFERROR(SUBSTITUTE(CELL("adres",OFFSET(INDIRECT(AW316),,CN316*($I316-$G316)*2,1,1)),"$",""),"x"),
_xlpm.y, IFERROR(IF(OR(COLUMN(INDIRECT(_xlpm.x))&gt;21, COLUMN(INDIRECT(_xlpm.x))&lt;2),"x",_xlpm.x), "x"),
_xlpm.y)</f>
        <v>x</v>
      </c>
      <c r="DJ316" s="23" t="str" cm="1">
        <f t="array" aca="1" ref="DJ316" ca="1">_xlfn.LET(
_xlpm.x, IFERROR(SUBSTITUTE(CELL("adres",OFFSET(INDIRECT(AX316),,CO316*($I316-$G316)*2,1,1)),"$",""),"x"),
_xlpm.y, IFERROR(IF(OR(COLUMN(INDIRECT(_xlpm.x))&gt;21, COLUMN(INDIRECT(_xlpm.x))&lt;2),"x",_xlpm.x), "x"),
_xlpm.y)</f>
        <v>x</v>
      </c>
      <c r="DK316" s="23" t="str" cm="1">
        <f t="array" aca="1" ref="DK316" ca="1">_xlfn.LET(
_xlpm.x, IFERROR(SUBSTITUTE(CELL("adres",OFFSET(INDIRECT(AY316),,CP316*($I316-$G316)*2,1,1)),"$",""),"x"),
_xlpm.y, IFERROR(IF(OR(COLUMN(INDIRECT(_xlpm.x))&gt;21, COLUMN(INDIRECT(_xlpm.x))&lt;2),"x",_xlpm.x), "x"),
_xlpm.y)</f>
        <v>x</v>
      </c>
      <c r="DM316" s="23" t="e" cm="1">
        <f t="array" aca="1" ref="DM316" ca="1">ROW(INDIRECT(CR316))</f>
        <v>#REF!</v>
      </c>
      <c r="DN316" s="23" cm="1">
        <f t="array" aca="1" ref="DN316" ca="1">ROW(INDIRECT(J316))</f>
        <v>6</v>
      </c>
      <c r="DO316" s="23" t="e">
        <f t="shared" ca="1" si="60"/>
        <v>#REF!</v>
      </c>
      <c r="DP316" s="23" t="e" cm="1">
        <f t="array" aca="1" ref="DP316" ca="1">COLUMN(INDIRECT(CR316))</f>
        <v>#REF!</v>
      </c>
      <c r="DQ316" s="23" cm="1">
        <f t="array" aca="1" ref="DQ316" ca="1">COLUMN(INDIRECT(J316))</f>
        <v>16</v>
      </c>
      <c r="DR316" s="23" t="e">
        <f t="shared" ca="1" si="61"/>
        <v>#REF!</v>
      </c>
      <c r="DS316" s="23">
        <f t="shared" ca="1" si="39"/>
        <v>1000</v>
      </c>
      <c r="DU316" s="23" cm="1">
        <f t="array" aca="1" ref="DU316" ca="1">IFERROR(MAX(ABS(ROW(INDIRECT($J316))-ROW(INDIRECT(CR316))),ABS(COLUMN(INDIRECT($J316))-COLUMN(INDIRECT(CR316)))),1000)</f>
        <v>1000</v>
      </c>
      <c r="DV316" s="23" cm="1">
        <f t="array" aca="1" ref="DV316" ca="1">IFERROR(MAX(ABS(ROW(INDIRECT($J316))-ROW(INDIRECT(CS316))),ABS(COLUMN(INDIRECT($J316))-COLUMN(INDIRECT(CS316)))),1000)</f>
        <v>1000</v>
      </c>
      <c r="DW316" s="23" cm="1">
        <f t="array" aca="1" ref="DW316" ca="1">IFERROR(MAX(ABS(ROW(INDIRECT($J316))-ROW(INDIRECT(CT316))),ABS(COLUMN(INDIRECT($J316))-COLUMN(INDIRECT(CT316)))),1000)</f>
        <v>1000</v>
      </c>
      <c r="DX316" s="23" cm="1">
        <f t="array" aca="1" ref="DX316" ca="1">IFERROR(MAX(ABS(ROW(INDIRECT($J316))-ROW(INDIRECT(CU316))),ABS(COLUMN(INDIRECT($J316))-COLUMN(INDIRECT(CU316)))),1000)</f>
        <v>1000</v>
      </c>
      <c r="DY316" s="23" cm="1">
        <f t="array" aca="1" ref="DY316" ca="1">IFERROR(MAX(ABS(ROW(INDIRECT($J316))-ROW(INDIRECT(CV316))),ABS(COLUMN(INDIRECT($J316))-COLUMN(INDIRECT(CV316)))),1000)</f>
        <v>1000</v>
      </c>
      <c r="DZ316" s="23" cm="1">
        <f t="array" aca="1" ref="DZ316" ca="1">IFERROR(MAX(ABS(ROW(INDIRECT($J316))-ROW(INDIRECT(CW316))),ABS(COLUMN(INDIRECT($J316))-COLUMN(INDIRECT(CW316)))),1000)</f>
        <v>1000</v>
      </c>
      <c r="EA316" s="23" cm="1">
        <f t="array" aca="1" ref="EA316" ca="1">IFERROR(MAX(ABS(ROW(INDIRECT($J316))-ROW(INDIRECT(CX316))),ABS(COLUMN(INDIRECT($J316))-COLUMN(INDIRECT(CX316)))),1000)</f>
        <v>1000</v>
      </c>
      <c r="EB316" s="23" cm="1">
        <f t="array" aca="1" ref="EB316" ca="1">IFERROR(MAX(ABS(ROW(INDIRECT($J316))-ROW(INDIRECT(CY316))),ABS(COLUMN(INDIRECT($J316))-COLUMN(INDIRECT(CY316)))),1000)</f>
        <v>1000</v>
      </c>
      <c r="EC316" s="23" cm="1">
        <f t="array" aca="1" ref="EC316" ca="1">IFERROR(MAX(ABS(ROW(INDIRECT($J316))-ROW(INDIRECT(CZ316))),ABS(COLUMN(INDIRECT($J316))-COLUMN(INDIRECT(CZ316)))),1000)</f>
        <v>1000</v>
      </c>
      <c r="ED316" s="23" cm="1">
        <f t="array" aca="1" ref="ED316" ca="1">IFERROR(MAX(ABS(ROW(INDIRECT($J316))-ROW(INDIRECT(DA316))),ABS(COLUMN(INDIRECT($J316))-COLUMN(INDIRECT(DA316)))),1000)</f>
        <v>1000</v>
      </c>
      <c r="EE316" s="23" cm="1">
        <f t="array" aca="1" ref="EE316" ca="1">IFERROR(MAX(ABS(ROW(INDIRECT($J316))-ROW(INDIRECT(DB316))),ABS(COLUMN(INDIRECT($J316))-COLUMN(INDIRECT(DB316)))),1000)</f>
        <v>1000</v>
      </c>
      <c r="EF316" s="23" cm="1">
        <f t="array" aca="1" ref="EF316" ca="1">IFERROR(MAX(ABS(ROW(INDIRECT($J316))-ROW(INDIRECT(DC316))),ABS(COLUMN(INDIRECT($J316))-COLUMN(INDIRECT(DC316)))),1000)</f>
        <v>1000</v>
      </c>
      <c r="EG316" s="23" cm="1">
        <f t="array" aca="1" ref="EG316" ca="1">IFERROR(MAX(ABS(ROW(INDIRECT($J316))-ROW(INDIRECT(DD316))),ABS(COLUMN(INDIRECT($J316))-COLUMN(INDIRECT(DD316)))),1000)</f>
        <v>14</v>
      </c>
      <c r="EH316" s="23" cm="1">
        <f t="array" aca="1" ref="EH316" ca="1">IFERROR(MAX(ABS(ROW(INDIRECT($J316))-ROW(INDIRECT(DE316))),ABS(COLUMN(INDIRECT($J316))-COLUMN(INDIRECT(DE316)))),1000)</f>
        <v>4</v>
      </c>
      <c r="EI316" s="23" cm="1">
        <f t="array" aca="1" ref="EI316" ca="1">IFERROR(MAX(ABS(ROW(INDIRECT($J316))-ROW(INDIRECT(DF316))),ABS(COLUMN(INDIRECT($J316))-COLUMN(INDIRECT(DF316)))),1000)</f>
        <v>13</v>
      </c>
      <c r="EJ316" s="23" cm="1">
        <f t="array" aca="1" ref="EJ316" ca="1">IFERROR(MAX(ABS(ROW(INDIRECT($J316))-ROW(INDIRECT(DG316))),ABS(COLUMN(INDIRECT($J316))-COLUMN(INDIRECT(DG316)))),1000)</f>
        <v>20</v>
      </c>
      <c r="EK316" s="23" cm="1">
        <f t="array" aca="1" ref="EK316" ca="1">IFERROR(MAX(ABS(ROW(INDIRECT($J316))-ROW(INDIRECT(DH316))),ABS(COLUMN(INDIRECT($J316))-COLUMN(INDIRECT(DH316)))),1000)</f>
        <v>1000</v>
      </c>
      <c r="EL316" s="23" cm="1">
        <f t="array" aca="1" ref="EL316" ca="1">IFERROR(MAX(ABS(ROW(INDIRECT($J316))-ROW(INDIRECT(DI316))),ABS(COLUMN(INDIRECT($J316))-COLUMN(INDIRECT(DI316)))),1000)</f>
        <v>1000</v>
      </c>
      <c r="EM316" s="23" cm="1">
        <f t="array" aca="1" ref="EM316" ca="1">IFERROR(MAX(ABS(ROW(INDIRECT($J316))-ROW(INDIRECT(DJ316))),ABS(COLUMN(INDIRECT($J316))-COLUMN(INDIRECT(DJ316)))),1000)</f>
        <v>1000</v>
      </c>
      <c r="EN316" s="23" cm="1">
        <f t="array" aca="1" ref="EN316" ca="1">IFERROR(MAX(ABS(ROW(INDIRECT($J316))-ROW(INDIRECT(DK316))),ABS(COLUMN(INDIRECT($J316))-COLUMN(INDIRECT(DK316)))),1000)</f>
        <v>1000</v>
      </c>
      <c r="EP316" s="23">
        <f t="shared" ca="1" si="62"/>
        <v>4</v>
      </c>
      <c r="EQ316" s="23">
        <f t="shared" ca="1" si="63"/>
        <v>1</v>
      </c>
      <c r="ER316" s="23">
        <f t="shared" ca="1" si="64"/>
        <v>14</v>
      </c>
      <c r="ES316" s="23" t="str" cm="1">
        <f t="array" aca="1" ref="ES316" ca="1">INDEX(CR316:DK316,1,ER316)</f>
        <v>T7</v>
      </c>
    </row>
    <row r="317" spans="2:149" ht="22.5" customHeight="1">
      <c r="B317" s="32">
        <f t="shared" si="65"/>
        <v>130</v>
      </c>
      <c r="C317" s="32">
        <v>7</v>
      </c>
      <c r="D317" s="30">
        <v>12</v>
      </c>
      <c r="E317" s="34" t="str">
        <f ca="1"/>
        <v>U24</v>
      </c>
      <c r="F317" s="103"/>
      <c r="G317" s="33">
        <v>25</v>
      </c>
      <c r="H317" s="33" t="s">
        <v>292</v>
      </c>
      <c r="I317" s="33">
        <v>28</v>
      </c>
      <c r="J317" s="33" t="s">
        <v>293</v>
      </c>
      <c r="K317" s="33" t="s">
        <v>186</v>
      </c>
      <c r="L317" s="33" t="s">
        <v>83</v>
      </c>
      <c r="M317" s="33" t="s">
        <v>93</v>
      </c>
      <c r="N317" s="33" t="s">
        <v>155</v>
      </c>
      <c r="O317" s="33" t="s">
        <v>82</v>
      </c>
      <c r="P317" s="33" t="s">
        <v>115</v>
      </c>
      <c r="Q317" s="33" t="s">
        <v>88</v>
      </c>
      <c r="R317" s="33" t="s">
        <v>52</v>
      </c>
      <c r="S317" s="33" t="s">
        <v>88</v>
      </c>
      <c r="T317" s="33" t="s">
        <v>86</v>
      </c>
      <c r="U317" s="33" t="s">
        <v>51</v>
      </c>
      <c r="V317" s="33" t="s">
        <v>191</v>
      </c>
      <c r="W317" s="33" t="s">
        <v>90</v>
      </c>
      <c r="X317" s="33" t="s">
        <v>112</v>
      </c>
      <c r="Y317" s="33" t="s">
        <v>91</v>
      </c>
      <c r="Z317" s="33" t="s">
        <v>190</v>
      </c>
      <c r="AA317" s="33" t="s">
        <v>62</v>
      </c>
      <c r="AB317" s="33" t="s">
        <v>85</v>
      </c>
      <c r="AC317" s="33" t="s">
        <v>90</v>
      </c>
      <c r="AD317" s="33" t="s">
        <v>63</v>
      </c>
      <c r="AF317" s="31" t="str" cm="1">
        <f t="array" aca="1" ref="AF317" ca="1">_xlfn.LET(
_xlpm.x, IF(K$303&gt;$G317,"x",IFERROR(SUBSTITUTE(CELL("adres",OFFSET(INDIRECT(K317),,IF(LEFT(K317)="V",-1,1)*($G317-K$303),1,1)),"$",""),"x")),
_xlpm.y, IFERROR(IF(OR(COLUMN(INDIRECT(_xlpm.x))&gt;21, COLUMN(INDIRECT(_xlpm.x)) &lt;2), "x",_xlpm.x),"x"),
_xlpm.y)</f>
        <v>x</v>
      </c>
      <c r="AG317" s="31" t="str" cm="1">
        <f t="array" aca="1" ref="AG317" ca="1">_xlfn.LET(
_xlpm.x, IF(L$303&gt;$G317,"x",IFERROR(SUBSTITUTE(CELL("adres",OFFSET(INDIRECT(L317),,IF(LEFT(L317)="V",-1,1)*($G317-L$303),1,1)),"$",""),"x")),
_xlpm.y, IFERROR(IF(OR(COLUMN(INDIRECT(_xlpm.x))&gt;21, COLUMN(INDIRECT(_xlpm.x)) &lt;2), "x",_xlpm.x),"x"),
_xlpm.y)</f>
        <v>x</v>
      </c>
      <c r="AH317" s="31" t="str" cm="1">
        <f t="array" aca="1" ref="AH317" ca="1">_xlfn.LET(
_xlpm.x, IF(M$303&gt;$G317,"x",IFERROR(SUBSTITUTE(CELL("adres",OFFSET(INDIRECT(M317),,IF(LEFT(M317)="V",-1,1)*($G317-M$303),1,1)),"$",""),"x")),
_xlpm.y, IFERROR(IF(OR(COLUMN(INDIRECT(_xlpm.x))&gt;21, COLUMN(INDIRECT(_xlpm.x)) &lt;2), "x",_xlpm.x),"x"),
_xlpm.y)</f>
        <v>x</v>
      </c>
      <c r="AI317" s="31" t="str" cm="1">
        <f t="array" aca="1" ref="AI317" ca="1">_xlfn.LET(
_xlpm.x, IF(N$303&gt;$G317,"x",IFERROR(SUBSTITUTE(CELL("adres",OFFSET(INDIRECT(N317),,IF(LEFT(N317)="V",-1,1)*($G317-N$303),1,1)),"$",""),"x")),
_xlpm.y, IFERROR(IF(OR(COLUMN(INDIRECT(_xlpm.x))&gt;21, COLUMN(INDIRECT(_xlpm.x)) &lt;2), "x",_xlpm.x),"x"),
_xlpm.y)</f>
        <v>x</v>
      </c>
      <c r="AJ317" s="31" t="str" cm="1">
        <f t="array" aca="1" ref="AJ317" ca="1">_xlfn.LET(
_xlpm.x, IF(O$303&gt;$G317,"x",IFERROR(SUBSTITUTE(CELL("adres",OFFSET(INDIRECT(O317),,IF(LEFT(O317)="V",-1,1)*($G317-O$303),1,1)),"$",""),"x")),
_xlpm.y, IFERROR(IF(OR(COLUMN(INDIRECT(_xlpm.x))&gt;21, COLUMN(INDIRECT(_xlpm.x)) &lt;2), "x",_xlpm.x),"x"),
_xlpm.y)</f>
        <v>x</v>
      </c>
      <c r="AK317" s="31" t="str" cm="1">
        <f t="array" aca="1" ref="AK317" ca="1">_xlfn.LET(
_xlpm.x, IF(P$303&gt;$G317,"x",IFERROR(SUBSTITUTE(CELL("adres",OFFSET(INDIRECT(P317),,IF(LEFT(P317)="V",-1,1)*($G317-P$303),1,1)),"$",""),"x")),
_xlpm.y, IFERROR(IF(OR(COLUMN(INDIRECT(_xlpm.x))&gt;21, COLUMN(INDIRECT(_xlpm.x)) &lt;2), "x",_xlpm.x),"x"),
_xlpm.y)</f>
        <v>U2</v>
      </c>
      <c r="AL317" s="31" t="str" cm="1">
        <f t="array" aca="1" ref="AL317" ca="1">_xlfn.LET(
_xlpm.x, IF(Q$303&gt;$G317,"x",IFERROR(SUBSTITUTE(CELL("adres",OFFSET(INDIRECT(Q317),,IF(LEFT(Q317)="V",-1,1)*($G317-Q$303),1,1)),"$",""),"x")),
_xlpm.y, IFERROR(IF(OR(COLUMN(INDIRECT(_xlpm.x))&gt;21, COLUMN(INDIRECT(_xlpm.x)) &lt;2), "x",_xlpm.x),"x"),
_xlpm.y)</f>
        <v>C9</v>
      </c>
      <c r="AM317" s="31" t="str" cm="1">
        <f t="array" aca="1" ref="AM317" ca="1">_xlfn.LET(
_xlpm.x, IF(R$303&gt;$G317,"x",IFERROR(SUBSTITUTE(CELL("adres",OFFSET(INDIRECT(R317),,IF(LEFT(R317)="V",-1,1)*($G317-R$303),1,1)),"$",""),"x")),
_xlpm.y, IFERROR(IF(OR(COLUMN(INDIRECT(_xlpm.x))&gt;21, COLUMN(INDIRECT(_xlpm.x)) &lt;2), "x",_xlpm.x),"x"),
_xlpm.y)</f>
        <v>S25</v>
      </c>
      <c r="AN317" s="31" t="str" cm="1">
        <f t="array" aca="1" ref="AN317" ca="1">_xlfn.LET(
_xlpm.x, IF(S$303&gt;$G317,"x",IFERROR(SUBSTITUTE(CELL("adres",OFFSET(INDIRECT(S317),,IF(LEFT(S317)="V",-1,1)*($G317-S$303),1,1)),"$",""),"x")),
_xlpm.y, IFERROR(IF(OR(COLUMN(INDIRECT(_xlpm.x))&gt;21, COLUMN(INDIRECT(_xlpm.x)) &lt;2), "x",_xlpm.x),"x"),
_xlpm.y)</f>
        <v>E9</v>
      </c>
      <c r="AO317" s="31" t="str" cm="1">
        <f t="array" aca="1" ref="AO317" ca="1">_xlfn.LET(
_xlpm.x, IF(T$303&gt;$G317,"x",IFERROR(SUBSTITUTE(CELL("adres",OFFSET(INDIRECT(T317),,IF(LEFT(T317)="V",-1,1)*($G317-T$303),1,1)),"$",""),"x")),
_xlpm.y, IFERROR(IF(OR(COLUMN(INDIRECT(_xlpm.x))&gt;21, COLUMN(INDIRECT(_xlpm.x)) &lt;2), "x",_xlpm.x),"x"),
_xlpm.y)</f>
        <v>F17</v>
      </c>
      <c r="AP317" s="31" t="str" cm="1">
        <f t="array" aca="1" ref="AP317" ca="1">_xlfn.LET(
_xlpm.x, IF(U$303&gt;$G317,"x",IFERROR(SUBSTITUTE(CELL("adres",OFFSET(INDIRECT(U317),,IF(LEFT(U317)="V",-1,1)*($G317-U$303),1,1)),"$",""),"x")),
_xlpm.y, IFERROR(IF(OR(COLUMN(INDIRECT(_xlpm.x))&gt;21, COLUMN(INDIRECT(_xlpm.x)) &lt;2), "x",_xlpm.x),"x"),
_xlpm.y)</f>
        <v>P10</v>
      </c>
      <c r="AQ317" s="31" t="str" cm="1">
        <f t="array" aca="1" ref="AQ317" ca="1">_xlfn.LET(
_xlpm.x, IF(V$303&gt;$G317,"x",IFERROR(SUBSTITUTE(CELL("adres",OFFSET(INDIRECT(V317),,IF(LEFT(V317)="V",-1,1)*($G317-V$303),1,1)),"$",""),"x")),
_xlpm.y, IFERROR(IF(OR(COLUMN(INDIRECT(_xlpm.x))&gt;21, COLUMN(INDIRECT(_xlpm.x)) &lt;2), "x",_xlpm.x),"x"),
_xlpm.y)</f>
        <v>H7</v>
      </c>
      <c r="AR317" s="31" t="str" cm="1">
        <f t="array" aca="1" ref="AR317" ca="1">_xlfn.LET(
_xlpm.x, IF(W$303&gt;$G317,"x",IFERROR(SUBSTITUTE(CELL("adres",OFFSET(INDIRECT(W317),,IF(LEFT(W317)="V",-1,1)*($G317-W$303),1,1)),"$",""),"x")),
_xlpm.y, IFERROR(IF(OR(COLUMN(INDIRECT(_xlpm.x))&gt;21, COLUMN(INDIRECT(_xlpm.x)) &lt;2), "x",_xlpm.x),"x"),
_xlpm.y)</f>
        <v>I24</v>
      </c>
      <c r="AS317" s="31" t="str" cm="1">
        <f t="array" aca="1" ref="AS317" ca="1">_xlfn.LET(
_xlpm.x, IF(X$303&gt;$G317,"x",IFERROR(SUBSTITUTE(CELL("adres",OFFSET(INDIRECT(X317),,IF(LEFT(X317)="V",-1,1)*($G317-X$303),1,1)),"$",""),"x")),
_xlpm.y, IFERROR(IF(OR(COLUMN(INDIRECT(_xlpm.x))&gt;21, COLUMN(INDIRECT(_xlpm.x)) &lt;2), "x",_xlpm.x),"x"),
_xlpm.y)</f>
        <v>J2</v>
      </c>
      <c r="AT317" s="31" t="str" cm="1">
        <f t="array" aca="1" ref="AT317" ca="1">_xlfn.LET(
_xlpm.x, IF(Y$303&gt;$G317,"x",IFERROR(SUBSTITUTE(CELL("adres",OFFSET(INDIRECT(Y317),,IF(LEFT(Y317)="V",-1,1)*($G317-Y$303),1,1)),"$",""),"x")),
_xlpm.y, IFERROR(IF(OR(COLUMN(INDIRECT(_xlpm.x))&gt;21, COLUMN(INDIRECT(_xlpm.x)) &lt;2), "x",_xlpm.x),"x"),
_xlpm.y)</f>
        <v>K3</v>
      </c>
      <c r="AU317" s="31" t="str" cm="1">
        <f t="array" aca="1" ref="AU317" ca="1">_xlfn.LET(
_xlpm.x, IF(Z$303&gt;$G317,"x",IFERROR(SUBSTITUTE(CELL("adres",OFFSET(INDIRECT(Z317),,IF(LEFT(Z317)="V",-1,1)*($G317-Z$303),1,1)),"$",""),"x")),
_xlpm.y, IFERROR(IF(OR(COLUMN(INDIRECT(_xlpm.x))&gt;21, COLUMN(INDIRECT(_xlpm.x)) &lt;2), "x",_xlpm.x),"x"),
_xlpm.y)</f>
        <v>K24</v>
      </c>
      <c r="AV317" s="31" t="str" cm="1">
        <f t="array" aca="1" ref="AV317" ca="1">_xlfn.LET(
_xlpm.x, IF(AA$303&gt;$G317,"x",IFERROR(SUBSTITUTE(CELL("adres",OFFSET(INDIRECT(AA317),,IF(LEFT(AA317)="V",-1,1)*($G317-AA$303),1,1)),"$",""),"x")),
_xlpm.y, IFERROR(IF(OR(COLUMN(INDIRECT(_xlpm.x))&gt;21, COLUMN(INDIRECT(_xlpm.x)) &lt;2), "x",_xlpm.x),"x"),
_xlpm.y)</f>
        <v>J6</v>
      </c>
      <c r="AW317" s="31" t="str" cm="1">
        <f t="array" aca="1" ref="AW317" ca="1">_xlfn.LET(
_xlpm.x, IF(AB$303&gt;$G317,"x",IFERROR(SUBSTITUTE(CELL("adres",OFFSET(INDIRECT(AB317),,IF(LEFT(AB317)="V",-1,1)*($G317-AB$303),1,1)),"$",""),"x")),
_xlpm.y, IFERROR(IF(OR(COLUMN(INDIRECT(_xlpm.x))&gt;21, COLUMN(INDIRECT(_xlpm.x)) &lt;2), "x",_xlpm.x),"x"),
_xlpm.y)</f>
        <v>N25</v>
      </c>
      <c r="AX317" s="31" t="str" cm="1">
        <f t="array" aca="1" ref="AX317" ca="1">_xlfn.LET(
_xlpm.x, IF(AC$303&gt;$G317,"x",IFERROR(SUBSTITUTE(CELL("adres",OFFSET(INDIRECT(AC317),,IF(LEFT(AC317)="V",-1,1)*($G317-AC$303),1,1)),"$",""),"x")),
_xlpm.y, IFERROR(IF(OR(COLUMN(INDIRECT(_xlpm.x))&gt;21, COLUMN(INDIRECT(_xlpm.x)) &lt;2), "x",_xlpm.x),"x"),
_xlpm.y)</f>
        <v>O24</v>
      </c>
      <c r="AY317" s="31" t="str" cm="1">
        <f t="array" aca="1" ref="AY317" ca="1">_xlfn.LET(
_xlpm.x, IF(AD$303&gt;$G317,"x",IFERROR(SUBSTITUTE(CELL("adres",OFFSET(INDIRECT(AD317),,IF(LEFT(AD317)="V",-1,1)*($G317-AD$303),1,1)),"$",""),"x")),
_xlpm.y, IFERROR(IF(OR(COLUMN(INDIRECT(_xlpm.x))&gt;21, COLUMN(INDIRECT(_xlpm.x)) &lt;2), "x",_xlpm.x),"x"),
_xlpm.y)</f>
        <v>G22</v>
      </c>
      <c r="BB317" s="23" t="str" cm="1">
        <f t="array" aca="1" ref="BB317" ca="1">IFERROR(COLUMN(INDIRECT(AF317)),"x")</f>
        <v>x</v>
      </c>
      <c r="BC317" s="23" t="str" cm="1">
        <f t="array" aca="1" ref="BC317" ca="1">IFERROR(COLUMN(INDIRECT(AG317)),"x")</f>
        <v>x</v>
      </c>
      <c r="BD317" s="23" t="str" cm="1">
        <f t="array" aca="1" ref="BD317" ca="1">IFERROR(COLUMN(INDIRECT(AH317)),"x")</f>
        <v>x</v>
      </c>
      <c r="BE317" s="23" t="str" cm="1">
        <f t="array" aca="1" ref="BE317" ca="1">IFERROR(COLUMN(INDIRECT(AI317)),"x")</f>
        <v>x</v>
      </c>
      <c r="BF317" s="23" t="str" cm="1">
        <f t="array" aca="1" ref="BF317" ca="1">IFERROR(COLUMN(INDIRECT(AJ317)),"x")</f>
        <v>x</v>
      </c>
      <c r="BG317" s="23" cm="1">
        <f t="array" aca="1" ref="BG317" ca="1">IFERROR(COLUMN(INDIRECT(AK317)),"x")</f>
        <v>21</v>
      </c>
      <c r="BH317" s="23" cm="1">
        <f t="array" aca="1" ref="BH317" ca="1">IFERROR(COLUMN(INDIRECT(AL317)),"x")</f>
        <v>3</v>
      </c>
      <c r="BI317" s="23" cm="1">
        <f t="array" aca="1" ref="BI317" ca="1">IFERROR(COLUMN(INDIRECT(AM317)),"x")</f>
        <v>19</v>
      </c>
      <c r="BJ317" s="23" cm="1">
        <f t="array" aca="1" ref="BJ317" ca="1">IFERROR(COLUMN(INDIRECT(AN317)),"x")</f>
        <v>5</v>
      </c>
      <c r="BK317" s="23" cm="1">
        <f t="array" aca="1" ref="BK317" ca="1">IFERROR(COLUMN(INDIRECT(AO317)),"x")</f>
        <v>6</v>
      </c>
      <c r="BL317" s="23" cm="1">
        <f t="array" aca="1" ref="BL317" ca="1">IFERROR(COLUMN(INDIRECT(AP317)),"x")</f>
        <v>16</v>
      </c>
      <c r="BM317" s="23" cm="1">
        <f t="array" aca="1" ref="BM317" ca="1">IFERROR(COLUMN(INDIRECT(AQ317)),"x")</f>
        <v>8</v>
      </c>
      <c r="BN317" s="23" cm="1">
        <f t="array" aca="1" ref="BN317" ca="1">IFERROR(COLUMN(INDIRECT(AR317)),"x")</f>
        <v>9</v>
      </c>
      <c r="BO317" s="23" cm="1">
        <f t="array" aca="1" ref="BO317" ca="1">IFERROR(COLUMN(INDIRECT(AS317)),"x")</f>
        <v>10</v>
      </c>
      <c r="BP317" s="23" cm="1">
        <f t="array" aca="1" ref="BP317" ca="1">IFERROR(COLUMN(INDIRECT(AT317)),"x")</f>
        <v>11</v>
      </c>
      <c r="BQ317" s="23" cm="1">
        <f t="array" aca="1" ref="BQ317" ca="1">IFERROR(COLUMN(INDIRECT(AU317)),"x")</f>
        <v>11</v>
      </c>
      <c r="BR317" s="23" cm="1">
        <f t="array" aca="1" ref="BR317" ca="1">IFERROR(COLUMN(INDIRECT(AV317)),"x")</f>
        <v>10</v>
      </c>
      <c r="BS317" s="23" cm="1">
        <f t="array" aca="1" ref="BS317" ca="1">IFERROR(COLUMN(INDIRECT(AW317)),"x")</f>
        <v>14</v>
      </c>
      <c r="BT317" s="23" cm="1">
        <f t="array" aca="1" ref="BT317" ca="1">IFERROR(COLUMN(INDIRECT(AX317)),"x")</f>
        <v>15</v>
      </c>
      <c r="BU317" s="23" cm="1">
        <f t="array" aca="1" ref="BU317" ca="1">IFERROR(COLUMN(INDIRECT(AY317)),"x")</f>
        <v>7</v>
      </c>
      <c r="BW317" s="23" t="str">
        <f t="shared" ca="1" si="40"/>
        <v>x</v>
      </c>
      <c r="BX317" s="23" t="str">
        <f t="shared" ca="1" si="41"/>
        <v>x</v>
      </c>
      <c r="BY317" s="23" t="str">
        <f t="shared" ca="1" si="42"/>
        <v>x</v>
      </c>
      <c r="BZ317" s="23" t="str">
        <f t="shared" ca="1" si="43"/>
        <v>x</v>
      </c>
      <c r="CA317" s="23" t="str">
        <f t="shared" ca="1" si="44"/>
        <v>x</v>
      </c>
      <c r="CB317" s="23">
        <f t="shared" ca="1" si="45"/>
        <v>1</v>
      </c>
      <c r="CC317" s="23">
        <f t="shared" ca="1" si="46"/>
        <v>-1</v>
      </c>
      <c r="CD317" s="23">
        <f t="shared" ca="1" si="47"/>
        <v>1</v>
      </c>
      <c r="CE317" s="23">
        <f t="shared" ca="1" si="48"/>
        <v>-1</v>
      </c>
      <c r="CF317" s="23">
        <f t="shared" ca="1" si="49"/>
        <v>-1</v>
      </c>
      <c r="CG317" s="23">
        <f t="shared" ca="1" si="50"/>
        <v>1</v>
      </c>
      <c r="CH317" s="23">
        <f t="shared" ca="1" si="51"/>
        <v>-1</v>
      </c>
      <c r="CI317" s="23">
        <f t="shared" ca="1" si="52"/>
        <v>-1</v>
      </c>
      <c r="CJ317" s="23">
        <f t="shared" ca="1" si="53"/>
        <v>-1</v>
      </c>
      <c r="CK317" s="23">
        <f t="shared" ca="1" si="54"/>
        <v>-1</v>
      </c>
      <c r="CL317" s="23">
        <f t="shared" ca="1" si="55"/>
        <v>-1</v>
      </c>
      <c r="CM317" s="23">
        <f t="shared" ca="1" si="56"/>
        <v>-1</v>
      </c>
      <c r="CN317" s="23">
        <f t="shared" ca="1" si="57"/>
        <v>1</v>
      </c>
      <c r="CO317" s="23">
        <f t="shared" ca="1" si="58"/>
        <v>1</v>
      </c>
      <c r="CP317" s="23">
        <f t="shared" ca="1" si="59"/>
        <v>-1</v>
      </c>
      <c r="CQ317" s="75"/>
      <c r="CR317" s="23" t="str" cm="1">
        <f t="array" aca="1" ref="CR317" ca="1">_xlfn.LET(
_xlpm.x, IFERROR(SUBSTITUTE(CELL("adres",OFFSET(INDIRECT(AF317),,BW317*($I317-$G317)*2,1,1)),"$",""),"x"),
_xlpm.y, IFERROR(IF(OR(COLUMN(INDIRECT(_xlpm.x))&gt;21, COLUMN(INDIRECT(_xlpm.x))&lt;2),"x",_xlpm.x), "x"),
_xlpm.y)</f>
        <v>x</v>
      </c>
      <c r="CS317" s="23" t="str" cm="1">
        <f t="array" aca="1" ref="CS317" ca="1">_xlfn.LET(
_xlpm.x, IFERROR(SUBSTITUTE(CELL("adres",OFFSET(INDIRECT(AG317),,BX317*($I317-$G317)*2,1,1)),"$",""),"x"),
_xlpm.y, IFERROR(IF(OR(COLUMN(INDIRECT(_xlpm.x))&gt;21, COLUMN(INDIRECT(_xlpm.x))&lt;2),"x",_xlpm.x), "x"),
_xlpm.y)</f>
        <v>x</v>
      </c>
      <c r="CT317" s="23" t="str" cm="1">
        <f t="array" aca="1" ref="CT317" ca="1">_xlfn.LET(
_xlpm.x, IFERROR(SUBSTITUTE(CELL("adres",OFFSET(INDIRECT(AH317),,BY317*($I317-$G317)*2,1,1)),"$",""),"x"),
_xlpm.y, IFERROR(IF(OR(COLUMN(INDIRECT(_xlpm.x))&gt;21, COLUMN(INDIRECT(_xlpm.x))&lt;2),"x",_xlpm.x), "x"),
_xlpm.y)</f>
        <v>x</v>
      </c>
      <c r="CU317" s="23" t="str" cm="1">
        <f t="array" aca="1" ref="CU317" ca="1">_xlfn.LET(
_xlpm.x, IFERROR(SUBSTITUTE(CELL("adres",OFFSET(INDIRECT(AI317),,BZ317*($I317-$G317)*2,1,1)),"$",""),"x"),
_xlpm.y, IFERROR(IF(OR(COLUMN(INDIRECT(_xlpm.x))&gt;21, COLUMN(INDIRECT(_xlpm.x))&lt;2),"x",_xlpm.x), "x"),
_xlpm.y)</f>
        <v>x</v>
      </c>
      <c r="CV317" s="23" t="str" cm="1">
        <f t="array" aca="1" ref="CV317" ca="1">_xlfn.LET(
_xlpm.x, IFERROR(SUBSTITUTE(CELL("adres",OFFSET(INDIRECT(AJ317),,CA317*($I317-$G317)*2,1,1)),"$",""),"x"),
_xlpm.y, IFERROR(IF(OR(COLUMN(INDIRECT(_xlpm.x))&gt;21, COLUMN(INDIRECT(_xlpm.x))&lt;2),"x",_xlpm.x), "x"),
_xlpm.y)</f>
        <v>x</v>
      </c>
      <c r="CW317" s="23" t="str" cm="1">
        <f t="array" aca="1" ref="CW317" ca="1">_xlfn.LET(
_xlpm.x, IFERROR(SUBSTITUTE(CELL("adres",OFFSET(INDIRECT(AK317),,CB317*($I317-$G317)*2,1,1)),"$",""),"x"),
_xlpm.y, IFERROR(IF(OR(COLUMN(INDIRECT(_xlpm.x))&gt;21, COLUMN(INDIRECT(_xlpm.x))&lt;2),"x",_xlpm.x), "x"),
_xlpm.y)</f>
        <v>x</v>
      </c>
      <c r="CX317" s="23" t="str" cm="1">
        <f t="array" aca="1" ref="CX317" ca="1">_xlfn.LET(
_xlpm.x, IFERROR(SUBSTITUTE(CELL("adres",OFFSET(INDIRECT(AL317),,CC317*($I317-$G317)*2,1,1)),"$",""),"x"),
_xlpm.y, IFERROR(IF(OR(COLUMN(INDIRECT(_xlpm.x))&gt;21, COLUMN(INDIRECT(_xlpm.x))&lt;2),"x",_xlpm.x), "x"),
_xlpm.y)</f>
        <v>x</v>
      </c>
      <c r="CY317" s="23" t="str" cm="1">
        <f t="array" aca="1" ref="CY317" ca="1">_xlfn.LET(
_xlpm.x, IFERROR(SUBSTITUTE(CELL("adres",OFFSET(INDIRECT(AM317),,CD317*($I317-$G317)*2,1,1)),"$",""),"x"),
_xlpm.y, IFERROR(IF(OR(COLUMN(INDIRECT(_xlpm.x))&gt;21, COLUMN(INDIRECT(_xlpm.x))&lt;2),"x",_xlpm.x), "x"),
_xlpm.y)</f>
        <v>x</v>
      </c>
      <c r="CZ317" s="23" t="str" cm="1">
        <f t="array" aca="1" ref="CZ317" ca="1">_xlfn.LET(
_xlpm.x, IFERROR(SUBSTITUTE(CELL("adres",OFFSET(INDIRECT(AN317),,CE317*($I317-$G317)*2,1,1)),"$",""),"x"),
_xlpm.y, IFERROR(IF(OR(COLUMN(INDIRECT(_xlpm.x))&gt;21, COLUMN(INDIRECT(_xlpm.x))&lt;2),"x",_xlpm.x), "x"),
_xlpm.y)</f>
        <v>x</v>
      </c>
      <c r="DA317" s="23" t="str" cm="1">
        <f t="array" aca="1" ref="DA317" ca="1">_xlfn.LET(
_xlpm.x, IFERROR(SUBSTITUTE(CELL("adres",OFFSET(INDIRECT(AO317),,CF317*($I317-$G317)*2,1,1)),"$",""),"x"),
_xlpm.y, IFERROR(IF(OR(COLUMN(INDIRECT(_xlpm.x))&gt;21, COLUMN(INDIRECT(_xlpm.x))&lt;2),"x",_xlpm.x), "x"),
_xlpm.y)</f>
        <v>x</v>
      </c>
      <c r="DB317" s="23" t="str" cm="1">
        <f t="array" aca="1" ref="DB317" ca="1">_xlfn.LET(
_xlpm.x, IFERROR(SUBSTITUTE(CELL("adres",OFFSET(INDIRECT(AP317),,CG317*($I317-$G317)*2,1,1)),"$",""),"x"),
_xlpm.y, IFERROR(IF(OR(COLUMN(INDIRECT(_xlpm.x))&gt;21, COLUMN(INDIRECT(_xlpm.x))&lt;2),"x",_xlpm.x), "x"),
_xlpm.y)</f>
        <v>x</v>
      </c>
      <c r="DC317" s="23" t="str" cm="1">
        <f t="array" aca="1" ref="DC317" ca="1">_xlfn.LET(
_xlpm.x, IFERROR(SUBSTITUTE(CELL("adres",OFFSET(INDIRECT(AQ317),,CH317*($I317-$G317)*2,1,1)),"$",""),"x"),
_xlpm.y, IFERROR(IF(OR(COLUMN(INDIRECT(_xlpm.x))&gt;21, COLUMN(INDIRECT(_xlpm.x))&lt;2),"x",_xlpm.x), "x"),
_xlpm.y)</f>
        <v>B7</v>
      </c>
      <c r="DD317" s="23" t="str" cm="1">
        <f t="array" aca="1" ref="DD317" ca="1">_xlfn.LET(
_xlpm.x, IFERROR(SUBSTITUTE(CELL("adres",OFFSET(INDIRECT(AR317),,CI317*($I317-$G317)*2,1,1)),"$",""),"x"),
_xlpm.y, IFERROR(IF(OR(COLUMN(INDIRECT(_xlpm.x))&gt;21, COLUMN(INDIRECT(_xlpm.x))&lt;2),"x",_xlpm.x), "x"),
_xlpm.y)</f>
        <v>C24</v>
      </c>
      <c r="DE317" s="23" t="str" cm="1">
        <f t="array" aca="1" ref="DE317" ca="1">_xlfn.LET(
_xlpm.x, IFERROR(SUBSTITUTE(CELL("adres",OFFSET(INDIRECT(AS317),,CJ317*($I317-$G317)*2,1,1)),"$",""),"x"),
_xlpm.y, IFERROR(IF(OR(COLUMN(INDIRECT(_xlpm.x))&gt;21, COLUMN(INDIRECT(_xlpm.x))&lt;2),"x",_xlpm.x), "x"),
_xlpm.y)</f>
        <v>D2</v>
      </c>
      <c r="DF317" s="23" t="str" cm="1">
        <f t="array" aca="1" ref="DF317" ca="1">_xlfn.LET(
_xlpm.x, IFERROR(SUBSTITUTE(CELL("adres",OFFSET(INDIRECT(AT317),,CK317*($I317-$G317)*2,1,1)),"$",""),"x"),
_xlpm.y, IFERROR(IF(OR(COLUMN(INDIRECT(_xlpm.x))&gt;21, COLUMN(INDIRECT(_xlpm.x))&lt;2),"x",_xlpm.x), "x"),
_xlpm.y)</f>
        <v>E3</v>
      </c>
      <c r="DG317" s="23" t="str" cm="1">
        <f t="array" aca="1" ref="DG317" ca="1">_xlfn.LET(
_xlpm.x, IFERROR(SUBSTITUTE(CELL("adres",OFFSET(INDIRECT(AU317),,CL317*($I317-$G317)*2,1,1)),"$",""),"x"),
_xlpm.y, IFERROR(IF(OR(COLUMN(INDIRECT(_xlpm.x))&gt;21, COLUMN(INDIRECT(_xlpm.x))&lt;2),"x",_xlpm.x), "x"),
_xlpm.y)</f>
        <v>E24</v>
      </c>
      <c r="DH317" s="23" t="str" cm="1">
        <f t="array" aca="1" ref="DH317" ca="1">_xlfn.LET(
_xlpm.x, IFERROR(SUBSTITUTE(CELL("adres",OFFSET(INDIRECT(AV317),,CM317*($I317-$G317)*2,1,1)),"$",""),"x"),
_xlpm.y, IFERROR(IF(OR(COLUMN(INDIRECT(_xlpm.x))&gt;21, COLUMN(INDIRECT(_xlpm.x))&lt;2),"x",_xlpm.x), "x"),
_xlpm.y)</f>
        <v>D6</v>
      </c>
      <c r="DI317" s="23" t="str" cm="1">
        <f t="array" aca="1" ref="DI317" ca="1">_xlfn.LET(
_xlpm.x, IFERROR(SUBSTITUTE(CELL("adres",OFFSET(INDIRECT(AW317),,CN317*($I317-$G317)*2,1,1)),"$",""),"x"),
_xlpm.y, IFERROR(IF(OR(COLUMN(INDIRECT(_xlpm.x))&gt;21, COLUMN(INDIRECT(_xlpm.x))&lt;2),"x",_xlpm.x), "x"),
_xlpm.y)</f>
        <v>T25</v>
      </c>
      <c r="DJ317" s="23" t="str" cm="1">
        <f t="array" aca="1" ref="DJ317" ca="1">_xlfn.LET(
_xlpm.x, IFERROR(SUBSTITUTE(CELL("adres",OFFSET(INDIRECT(AX317),,CO317*($I317-$G317)*2,1,1)),"$",""),"x"),
_xlpm.y, IFERROR(IF(OR(COLUMN(INDIRECT(_xlpm.x))&gt;21, COLUMN(INDIRECT(_xlpm.x))&lt;2),"x",_xlpm.x), "x"),
_xlpm.y)</f>
        <v>U24</v>
      </c>
      <c r="DK317" s="23" t="str" cm="1">
        <f t="array" aca="1" ref="DK317" ca="1">_xlfn.LET(
_xlpm.x, IFERROR(SUBSTITUTE(CELL("adres",OFFSET(INDIRECT(AY317),,CP317*($I317-$G317)*2,1,1)),"$",""),"x"),
_xlpm.y, IFERROR(IF(OR(COLUMN(INDIRECT(_xlpm.x))&gt;21, COLUMN(INDIRECT(_xlpm.x))&lt;2),"x",_xlpm.x), "x"),
_xlpm.y)</f>
        <v>x</v>
      </c>
      <c r="DM317" s="23" t="e" cm="1">
        <f t="array" aca="1" ref="DM317" ca="1">ROW(INDIRECT(CR317))</f>
        <v>#REF!</v>
      </c>
      <c r="DN317" s="23" cm="1">
        <f t="array" aca="1" ref="DN317" ca="1">ROW(INDIRECT(J317))</f>
        <v>12</v>
      </c>
      <c r="DO317" s="23" t="e">
        <f t="shared" ca="1" si="60"/>
        <v>#REF!</v>
      </c>
      <c r="DP317" s="23" t="e" cm="1">
        <f t="array" aca="1" ref="DP317" ca="1">COLUMN(INDIRECT(CR317))</f>
        <v>#REF!</v>
      </c>
      <c r="DQ317" s="23" cm="1">
        <f t="array" aca="1" ref="DQ317" ca="1">COLUMN(INDIRECT(J317))</f>
        <v>21</v>
      </c>
      <c r="DR317" s="23" t="e">
        <f t="shared" ca="1" si="61"/>
        <v>#REF!</v>
      </c>
      <c r="DS317" s="23">
        <f t="shared" ca="1" si="39"/>
        <v>1000</v>
      </c>
      <c r="DU317" s="23" cm="1">
        <f t="array" aca="1" ref="DU317" ca="1">IFERROR(MAX(ABS(ROW(INDIRECT($J317))-ROW(INDIRECT(CR317))),ABS(COLUMN(INDIRECT($J317))-COLUMN(INDIRECT(CR317)))),1000)</f>
        <v>1000</v>
      </c>
      <c r="DV317" s="23" cm="1">
        <f t="array" aca="1" ref="DV317" ca="1">IFERROR(MAX(ABS(ROW(INDIRECT($J317))-ROW(INDIRECT(CS317))),ABS(COLUMN(INDIRECT($J317))-COLUMN(INDIRECT(CS317)))),1000)</f>
        <v>1000</v>
      </c>
      <c r="DW317" s="23" cm="1">
        <f t="array" aca="1" ref="DW317" ca="1">IFERROR(MAX(ABS(ROW(INDIRECT($J317))-ROW(INDIRECT(CT317))),ABS(COLUMN(INDIRECT($J317))-COLUMN(INDIRECT(CT317)))),1000)</f>
        <v>1000</v>
      </c>
      <c r="DX317" s="23" cm="1">
        <f t="array" aca="1" ref="DX317" ca="1">IFERROR(MAX(ABS(ROW(INDIRECT($J317))-ROW(INDIRECT(CU317))),ABS(COLUMN(INDIRECT($J317))-COLUMN(INDIRECT(CU317)))),1000)</f>
        <v>1000</v>
      </c>
      <c r="DY317" s="23" cm="1">
        <f t="array" aca="1" ref="DY317" ca="1">IFERROR(MAX(ABS(ROW(INDIRECT($J317))-ROW(INDIRECT(CV317))),ABS(COLUMN(INDIRECT($J317))-COLUMN(INDIRECT(CV317)))),1000)</f>
        <v>1000</v>
      </c>
      <c r="DZ317" s="23" cm="1">
        <f t="array" aca="1" ref="DZ317" ca="1">IFERROR(MAX(ABS(ROW(INDIRECT($J317))-ROW(INDIRECT(CW317))),ABS(COLUMN(INDIRECT($J317))-COLUMN(INDIRECT(CW317)))),1000)</f>
        <v>1000</v>
      </c>
      <c r="EA317" s="23" cm="1">
        <f t="array" aca="1" ref="EA317" ca="1">IFERROR(MAX(ABS(ROW(INDIRECT($J317))-ROW(INDIRECT(CX317))),ABS(COLUMN(INDIRECT($J317))-COLUMN(INDIRECT(CX317)))),1000)</f>
        <v>1000</v>
      </c>
      <c r="EB317" s="23" cm="1">
        <f t="array" aca="1" ref="EB317" ca="1">IFERROR(MAX(ABS(ROW(INDIRECT($J317))-ROW(INDIRECT(CY317))),ABS(COLUMN(INDIRECT($J317))-COLUMN(INDIRECT(CY317)))),1000)</f>
        <v>1000</v>
      </c>
      <c r="EC317" s="23" cm="1">
        <f t="array" aca="1" ref="EC317" ca="1">IFERROR(MAX(ABS(ROW(INDIRECT($J317))-ROW(INDIRECT(CZ317))),ABS(COLUMN(INDIRECT($J317))-COLUMN(INDIRECT(CZ317)))),1000)</f>
        <v>1000</v>
      </c>
      <c r="ED317" s="23" cm="1">
        <f t="array" aca="1" ref="ED317" ca="1">IFERROR(MAX(ABS(ROW(INDIRECT($J317))-ROW(INDIRECT(DA317))),ABS(COLUMN(INDIRECT($J317))-COLUMN(INDIRECT(DA317)))),1000)</f>
        <v>1000</v>
      </c>
      <c r="EE317" s="23" cm="1">
        <f t="array" aca="1" ref="EE317" ca="1">IFERROR(MAX(ABS(ROW(INDIRECT($J317))-ROW(INDIRECT(DB317))),ABS(COLUMN(INDIRECT($J317))-COLUMN(INDIRECT(DB317)))),1000)</f>
        <v>1000</v>
      </c>
      <c r="EF317" s="23" cm="1">
        <f t="array" aca="1" ref="EF317" ca="1">IFERROR(MAX(ABS(ROW(INDIRECT($J317))-ROW(INDIRECT(DC317))),ABS(COLUMN(INDIRECT($J317))-COLUMN(INDIRECT(DC317)))),1000)</f>
        <v>19</v>
      </c>
      <c r="EG317" s="23" cm="1">
        <f t="array" aca="1" ref="EG317" ca="1">IFERROR(MAX(ABS(ROW(INDIRECT($J317))-ROW(INDIRECT(DD317))),ABS(COLUMN(INDIRECT($J317))-COLUMN(INDIRECT(DD317)))),1000)</f>
        <v>18</v>
      </c>
      <c r="EH317" s="23" cm="1">
        <f t="array" aca="1" ref="EH317" ca="1">IFERROR(MAX(ABS(ROW(INDIRECT($J317))-ROW(INDIRECT(DE317))),ABS(COLUMN(INDIRECT($J317))-COLUMN(INDIRECT(DE317)))),1000)</f>
        <v>17</v>
      </c>
      <c r="EI317" s="23" cm="1">
        <f t="array" aca="1" ref="EI317" ca="1">IFERROR(MAX(ABS(ROW(INDIRECT($J317))-ROW(INDIRECT(DF317))),ABS(COLUMN(INDIRECT($J317))-COLUMN(INDIRECT(DF317)))),1000)</f>
        <v>16</v>
      </c>
      <c r="EJ317" s="23" cm="1">
        <f t="array" aca="1" ref="EJ317" ca="1">IFERROR(MAX(ABS(ROW(INDIRECT($J317))-ROW(INDIRECT(DG317))),ABS(COLUMN(INDIRECT($J317))-COLUMN(INDIRECT(DG317)))),1000)</f>
        <v>16</v>
      </c>
      <c r="EK317" s="23" cm="1">
        <f t="array" aca="1" ref="EK317" ca="1">IFERROR(MAX(ABS(ROW(INDIRECT($J317))-ROW(INDIRECT(DH317))),ABS(COLUMN(INDIRECT($J317))-COLUMN(INDIRECT(DH317)))),1000)</f>
        <v>17</v>
      </c>
      <c r="EL317" s="23" cm="1">
        <f t="array" aca="1" ref="EL317" ca="1">IFERROR(MAX(ABS(ROW(INDIRECT($J317))-ROW(INDIRECT(DI317))),ABS(COLUMN(INDIRECT($J317))-COLUMN(INDIRECT(DI317)))),1000)</f>
        <v>13</v>
      </c>
      <c r="EM317" s="23" cm="1">
        <f t="array" aca="1" ref="EM317" ca="1">IFERROR(MAX(ABS(ROW(INDIRECT($J317))-ROW(INDIRECT(DJ317))),ABS(COLUMN(INDIRECT($J317))-COLUMN(INDIRECT(DJ317)))),1000)</f>
        <v>12</v>
      </c>
      <c r="EN317" s="23" cm="1">
        <f t="array" aca="1" ref="EN317" ca="1">IFERROR(MAX(ABS(ROW(INDIRECT($J317))-ROW(INDIRECT(DK317))),ABS(COLUMN(INDIRECT($J317))-COLUMN(INDIRECT(DK317)))),1000)</f>
        <v>1000</v>
      </c>
      <c r="EP317" s="23">
        <f t="shared" ca="1" si="62"/>
        <v>12</v>
      </c>
      <c r="EQ317" s="23">
        <f t="shared" ca="1" si="63"/>
        <v>1</v>
      </c>
      <c r="ER317" s="23">
        <f t="shared" ca="1" si="64"/>
        <v>19</v>
      </c>
      <c r="ES317" s="23" t="str" cm="1">
        <f t="array" aca="1" ref="ES317" ca="1">INDEX(CR317:DK317,1,ER317)</f>
        <v>U24</v>
      </c>
    </row>
    <row r="318" spans="2:149" ht="22.5" customHeight="1">
      <c r="B318" s="32">
        <f t="shared" si="65"/>
        <v>131</v>
      </c>
      <c r="C318" s="32">
        <v>7</v>
      </c>
      <c r="D318" s="30">
        <v>12</v>
      </c>
      <c r="E318" s="34" t="str">
        <f ca="1"/>
        <v>S21</v>
      </c>
      <c r="F318" s="103"/>
      <c r="G318" s="33">
        <v>22</v>
      </c>
      <c r="H318" s="33" t="s">
        <v>294</v>
      </c>
      <c r="I318" s="33">
        <v>24</v>
      </c>
      <c r="J318" s="33" t="s">
        <v>295</v>
      </c>
      <c r="K318" s="33" t="s">
        <v>155</v>
      </c>
      <c r="L318" s="33" t="s">
        <v>60</v>
      </c>
      <c r="M318" s="33" t="s">
        <v>200</v>
      </c>
      <c r="N318" s="33" t="s">
        <v>81</v>
      </c>
      <c r="O318" s="33" t="s">
        <v>115</v>
      </c>
      <c r="P318" s="33" t="s">
        <v>84</v>
      </c>
      <c r="Q318" s="33" t="s">
        <v>112</v>
      </c>
      <c r="R318" s="33" t="s">
        <v>81</v>
      </c>
      <c r="S318" s="33" t="s">
        <v>113</v>
      </c>
      <c r="T318" s="33" t="s">
        <v>184</v>
      </c>
      <c r="U318" s="33" t="s">
        <v>191</v>
      </c>
      <c r="V318" s="33" t="s">
        <v>110</v>
      </c>
      <c r="W318" s="33" t="s">
        <v>110</v>
      </c>
      <c r="X318" s="33" t="s">
        <v>88</v>
      </c>
      <c r="Y318" s="33" t="s">
        <v>51</v>
      </c>
      <c r="Z318" s="33" t="s">
        <v>83</v>
      </c>
      <c r="AA318" s="33" t="s">
        <v>62</v>
      </c>
      <c r="AB318" s="33" t="s">
        <v>61</v>
      </c>
      <c r="AC318" s="33" t="s">
        <v>60</v>
      </c>
      <c r="AD318" s="33" t="s">
        <v>93</v>
      </c>
      <c r="AF318" s="31" t="str" cm="1">
        <f t="array" aca="1" ref="AF318" ca="1">_xlfn.LET(
_xlpm.x, IF(K$303&gt;$G318,"x",IFERROR(SUBSTITUTE(CELL("adres",OFFSET(INDIRECT(K318),,IF(LEFT(K318)="V",-1,1)*($G318-K$303),1,1)),"$",""),"x")),
_xlpm.y, IFERROR(IF(OR(COLUMN(INDIRECT(_xlpm.x))&gt;21, COLUMN(INDIRECT(_xlpm.x)) &lt;2), "x",_xlpm.x),"x"),
_xlpm.y)</f>
        <v>x</v>
      </c>
      <c r="AG318" s="31" t="str" cm="1">
        <f t="array" aca="1" ref="AG318" ca="1">_xlfn.LET(
_xlpm.x, IF(L$303&gt;$G318,"x",IFERROR(SUBSTITUTE(CELL("adres",OFFSET(INDIRECT(L318),,IF(LEFT(L318)="V",-1,1)*($G318-L$303),1,1)),"$",""),"x")),
_xlpm.y, IFERROR(IF(OR(COLUMN(INDIRECT(_xlpm.x))&gt;21, COLUMN(INDIRECT(_xlpm.x)) &lt;2), "x",_xlpm.x),"x"),
_xlpm.y)</f>
        <v>x</v>
      </c>
      <c r="AH318" s="31" t="str" cm="1">
        <f t="array" aca="1" ref="AH318" ca="1">_xlfn.LET(
_xlpm.x, IF(M$303&gt;$G318,"x",IFERROR(SUBSTITUTE(CELL("adres",OFFSET(INDIRECT(M318),,IF(LEFT(M318)="V",-1,1)*($G318-M$303),1,1)),"$",""),"x")),
_xlpm.y, IFERROR(IF(OR(COLUMN(INDIRECT(_xlpm.x))&gt;21, COLUMN(INDIRECT(_xlpm.x)) &lt;2), "x",_xlpm.x),"x"),
_xlpm.y)</f>
        <v>U18</v>
      </c>
      <c r="AI318" s="31" t="str" cm="1">
        <f t="array" aca="1" ref="AI318" ca="1">_xlfn.LET(
_xlpm.x, IF(N$303&gt;$G318,"x",IFERROR(SUBSTITUTE(CELL("adres",OFFSET(INDIRECT(N318),,IF(LEFT(N318)="V",-1,1)*($G318-N$303),1,1)),"$",""),"x")),
_xlpm.y, IFERROR(IF(OR(COLUMN(INDIRECT(_xlpm.x))&gt;21, COLUMN(INDIRECT(_xlpm.x)) &lt;2), "x",_xlpm.x),"x"),
_xlpm.y)</f>
        <v>C12</v>
      </c>
      <c r="AJ318" s="31" t="str" cm="1">
        <f t="array" aca="1" ref="AJ318" ca="1">_xlfn.LET(
_xlpm.x, IF(O$303&gt;$G318,"x",IFERROR(SUBSTITUTE(CELL("adres",OFFSET(INDIRECT(O318),,IF(LEFT(O318)="V",-1,1)*($G318-O$303),1,1)),"$",""),"x")),
_xlpm.y, IFERROR(IF(OR(COLUMN(INDIRECT(_xlpm.x))&gt;21, COLUMN(INDIRECT(_xlpm.x)) &lt;2), "x",_xlpm.x),"x"),
_xlpm.y)</f>
        <v>S2</v>
      </c>
      <c r="AK318" s="31" t="str" cm="1">
        <f t="array" aca="1" ref="AK318" ca="1">_xlfn.LET(
_xlpm.x, IF(P$303&gt;$G318,"x",IFERROR(SUBSTITUTE(CELL("adres",OFFSET(INDIRECT(P318),,IF(LEFT(P318)="V",-1,1)*($G318-P$303),1,1)),"$",""),"x")),
_xlpm.y, IFERROR(IF(OR(COLUMN(INDIRECT(_xlpm.x))&gt;21, COLUMN(INDIRECT(_xlpm.x)) &lt;2), "x",_xlpm.x),"x"),
_xlpm.y)</f>
        <v>E26</v>
      </c>
      <c r="AL318" s="31" t="str" cm="1">
        <f t="array" aca="1" ref="AL318" ca="1">_xlfn.LET(
_xlpm.x, IF(Q$303&gt;$G318,"x",IFERROR(SUBSTITUTE(CELL("adres",OFFSET(INDIRECT(Q318),,IF(LEFT(Q318)="V",-1,1)*($G318-Q$303),1,1)),"$",""),"x")),
_xlpm.y, IFERROR(IF(OR(COLUMN(INDIRECT(_xlpm.x))&gt;21, COLUMN(INDIRECT(_xlpm.x)) &lt;2), "x",_xlpm.x),"x"),
_xlpm.y)</f>
        <v>F2</v>
      </c>
      <c r="AM318" s="31" t="str" cm="1">
        <f t="array" aca="1" ref="AM318" ca="1">_xlfn.LET(
_xlpm.x, IF(R$303&gt;$G318,"x",IFERROR(SUBSTITUTE(CELL("adres",OFFSET(INDIRECT(R318),,IF(LEFT(R318)="V",-1,1)*($G318-R$303),1,1)),"$",""),"x")),
_xlpm.y, IFERROR(IF(OR(COLUMN(INDIRECT(_xlpm.x))&gt;21, COLUMN(INDIRECT(_xlpm.x)) &lt;2), "x",_xlpm.x),"x"),
_xlpm.y)</f>
        <v>G12</v>
      </c>
      <c r="AN318" s="31" t="str" cm="1">
        <f t="array" aca="1" ref="AN318" ca="1">_xlfn.LET(
_xlpm.x, IF(S$303&gt;$G318,"x",IFERROR(SUBSTITUTE(CELL("adres",OFFSET(INDIRECT(S318),,IF(LEFT(S318)="V",-1,1)*($G318-S$303),1,1)),"$",""),"x")),
_xlpm.y, IFERROR(IF(OR(COLUMN(INDIRECT(_xlpm.x))&gt;21, COLUMN(INDIRECT(_xlpm.x)) &lt;2), "x",_xlpm.x),"x"),
_xlpm.y)</f>
        <v>O14</v>
      </c>
      <c r="AO318" s="31" t="str" cm="1">
        <f t="array" aca="1" ref="AO318" ca="1">_xlfn.LET(
_xlpm.x, IF(T$303&gt;$G318,"x",IFERROR(SUBSTITUTE(CELL("adres",OFFSET(INDIRECT(T318),,IF(LEFT(T318)="V",-1,1)*($G318-T$303),1,1)),"$",""),"x")),
_xlpm.y, IFERROR(IF(OR(COLUMN(INDIRECT(_xlpm.x))&gt;21, COLUMN(INDIRECT(_xlpm.x)) &lt;2), "x",_xlpm.x),"x"),
_xlpm.y)</f>
        <v>I19</v>
      </c>
      <c r="AP318" s="31" t="str" cm="1">
        <f t="array" aca="1" ref="AP318" ca="1">_xlfn.LET(
_xlpm.x, IF(U$303&gt;$G318,"x",IFERROR(SUBSTITUTE(CELL("adres",OFFSET(INDIRECT(U318),,IF(LEFT(U318)="V",-1,1)*($G318-U$303),1,1)),"$",""),"x")),
_xlpm.y, IFERROR(IF(OR(COLUMN(INDIRECT(_xlpm.x))&gt;21, COLUMN(INDIRECT(_xlpm.x)) &lt;2), "x",_xlpm.x),"x"),
_xlpm.y)</f>
        <v>J7</v>
      </c>
      <c r="AQ318" s="31" t="str" cm="1">
        <f t="array" aca="1" ref="AQ318" ca="1">_xlfn.LET(
_xlpm.x, IF(V$303&gt;$G318,"x",IFERROR(SUBSTITUTE(CELL("adres",OFFSET(INDIRECT(V318),,IF(LEFT(V318)="V",-1,1)*($G318-V$303),1,1)),"$",""),"x")),
_xlpm.y, IFERROR(IF(OR(COLUMN(INDIRECT(_xlpm.x))&gt;21, COLUMN(INDIRECT(_xlpm.x)) &lt;2), "x",_xlpm.x),"x"),
_xlpm.y)</f>
        <v>L11</v>
      </c>
      <c r="AR318" s="31" t="str" cm="1">
        <f t="array" aca="1" ref="AR318" ca="1">_xlfn.LET(
_xlpm.x, IF(W$303&gt;$G318,"x",IFERROR(SUBSTITUTE(CELL("adres",OFFSET(INDIRECT(W318),,IF(LEFT(W318)="V",-1,1)*($G318-W$303),1,1)),"$",""),"x")),
_xlpm.y, IFERROR(IF(OR(COLUMN(INDIRECT(_xlpm.x))&gt;21, COLUMN(INDIRECT(_xlpm.x)) &lt;2), "x",_xlpm.x),"x"),
_xlpm.y)</f>
        <v>K11</v>
      </c>
      <c r="AS318" s="31" t="str" cm="1">
        <f t="array" aca="1" ref="AS318" ca="1">_xlfn.LET(
_xlpm.x, IF(X$303&gt;$G318,"x",IFERROR(SUBSTITUTE(CELL("adres",OFFSET(INDIRECT(X318),,IF(LEFT(X318)="V",-1,1)*($G318-X$303),1,1)),"$",""),"x")),
_xlpm.y, IFERROR(IF(OR(COLUMN(INDIRECT(_xlpm.x))&gt;21, COLUMN(INDIRECT(_xlpm.x)) &lt;2), "x",_xlpm.x),"x"),
_xlpm.y)</f>
        <v>M9</v>
      </c>
      <c r="AT318" s="31" t="str" cm="1">
        <f t="array" aca="1" ref="AT318" ca="1">_xlfn.LET(
_xlpm.x, IF(Y$303&gt;$G318,"x",IFERROR(SUBSTITUTE(CELL("adres",OFFSET(INDIRECT(Y318),,IF(LEFT(Y318)="V",-1,1)*($G318-Y$303),1,1)),"$",""),"x")),
_xlpm.y, IFERROR(IF(OR(COLUMN(INDIRECT(_xlpm.x))&gt;21, COLUMN(INDIRECT(_xlpm.x)) &lt;2), "x",_xlpm.x),"x"),
_xlpm.y)</f>
        <v>I10</v>
      </c>
      <c r="AU318" s="31" t="str" cm="1">
        <f t="array" aca="1" ref="AU318" ca="1">_xlfn.LET(
_xlpm.x, IF(Z$303&gt;$G318,"x",IFERROR(SUBSTITUTE(CELL("adres",OFFSET(INDIRECT(Z318),,IF(LEFT(Z318)="V",-1,1)*($G318-Z$303),1,1)),"$",""),"x")),
_xlpm.y, IFERROR(IF(OR(COLUMN(INDIRECT(_xlpm.x))&gt;21, COLUMN(INDIRECT(_xlpm.x)) &lt;2), "x",_xlpm.x),"x"),
_xlpm.y)</f>
        <v>O21</v>
      </c>
      <c r="AV318" s="31" t="str" cm="1">
        <f t="array" aca="1" ref="AV318" ca="1">_xlfn.LET(
_xlpm.x, IF(AA$303&gt;$G318,"x",IFERROR(SUBSTITUTE(CELL("adres",OFFSET(INDIRECT(AA318),,IF(LEFT(AA318)="V",-1,1)*($G318-AA$303),1,1)),"$",""),"x")),
_xlpm.y, IFERROR(IF(OR(COLUMN(INDIRECT(_xlpm.x))&gt;21, COLUMN(INDIRECT(_xlpm.x)) &lt;2), "x",_xlpm.x),"x"),
_xlpm.y)</f>
        <v>G6</v>
      </c>
      <c r="AW318" s="31" t="str" cm="1">
        <f t="array" aca="1" ref="AW318" ca="1">_xlfn.LET(
_xlpm.x, IF(AB$303&gt;$G318,"x",IFERROR(SUBSTITUTE(CELL("adres",OFFSET(INDIRECT(AB318),,IF(LEFT(AB318)="V",-1,1)*($G318-AB$303),1,1)),"$",""),"x")),
_xlpm.y, IFERROR(IF(OR(COLUMN(INDIRECT(_xlpm.x))&gt;21, COLUMN(INDIRECT(_xlpm.x)) &lt;2), "x",_xlpm.x),"x"),
_xlpm.y)</f>
        <v>F8</v>
      </c>
      <c r="AX318" s="31" t="str" cm="1">
        <f t="array" aca="1" ref="AX318" ca="1">_xlfn.LET(
_xlpm.x, IF(AC$303&gt;$G318,"x",IFERROR(SUBSTITUTE(CELL("adres",OFFSET(INDIRECT(AC318),,IF(LEFT(AC318)="V",-1,1)*($G318-AC$303),1,1)),"$",""),"x")),
_xlpm.y, IFERROR(IF(OR(COLUMN(INDIRECT(_xlpm.x))&gt;21, COLUMN(INDIRECT(_xlpm.x)) &lt;2), "x",_xlpm.x),"x"),
_xlpm.y)</f>
        <v>E21</v>
      </c>
      <c r="AY318" s="31" t="str" cm="1">
        <f t="array" aca="1" ref="AY318" ca="1">_xlfn.LET(
_xlpm.x, IF(AD$303&gt;$G318,"x",IFERROR(SUBSTITUTE(CELL("adres",OFFSET(INDIRECT(AD318),,IF(LEFT(AD318)="V",-1,1)*($G318-AD$303),1,1)),"$",""),"x")),
_xlpm.y, IFERROR(IF(OR(COLUMN(INDIRECT(_xlpm.x))&gt;21, COLUMN(INDIRECT(_xlpm.x)) &lt;2), "x",_xlpm.x),"x"),
_xlpm.y)</f>
        <v>S10</v>
      </c>
      <c r="BB318" s="23" t="str" cm="1">
        <f t="array" aca="1" ref="BB318" ca="1">IFERROR(COLUMN(INDIRECT(AF318)),"x")</f>
        <v>x</v>
      </c>
      <c r="BC318" s="23" t="str" cm="1">
        <f t="array" aca="1" ref="BC318" ca="1">IFERROR(COLUMN(INDIRECT(AG318)),"x")</f>
        <v>x</v>
      </c>
      <c r="BD318" s="23" cm="1">
        <f t="array" aca="1" ref="BD318" ca="1">IFERROR(COLUMN(INDIRECT(AH318)),"x")</f>
        <v>21</v>
      </c>
      <c r="BE318" s="23" cm="1">
        <f t="array" aca="1" ref="BE318" ca="1">IFERROR(COLUMN(INDIRECT(AI318)),"x")</f>
        <v>3</v>
      </c>
      <c r="BF318" s="23" cm="1">
        <f t="array" aca="1" ref="BF318" ca="1">IFERROR(COLUMN(INDIRECT(AJ318)),"x")</f>
        <v>19</v>
      </c>
      <c r="BG318" s="23" cm="1">
        <f t="array" aca="1" ref="BG318" ca="1">IFERROR(COLUMN(INDIRECT(AK318)),"x")</f>
        <v>5</v>
      </c>
      <c r="BH318" s="23" cm="1">
        <f t="array" aca="1" ref="BH318" ca="1">IFERROR(COLUMN(INDIRECT(AL318)),"x")</f>
        <v>6</v>
      </c>
      <c r="BI318" s="23" cm="1">
        <f t="array" aca="1" ref="BI318" ca="1">IFERROR(COLUMN(INDIRECT(AM318)),"x")</f>
        <v>7</v>
      </c>
      <c r="BJ318" s="23" cm="1">
        <f t="array" aca="1" ref="BJ318" ca="1">IFERROR(COLUMN(INDIRECT(AN318)),"x")</f>
        <v>15</v>
      </c>
      <c r="BK318" s="23" cm="1">
        <f t="array" aca="1" ref="BK318" ca="1">IFERROR(COLUMN(INDIRECT(AO318)),"x")</f>
        <v>9</v>
      </c>
      <c r="BL318" s="23" cm="1">
        <f t="array" aca="1" ref="BL318" ca="1">IFERROR(COLUMN(INDIRECT(AP318)),"x")</f>
        <v>10</v>
      </c>
      <c r="BM318" s="23" cm="1">
        <f t="array" aca="1" ref="BM318" ca="1">IFERROR(COLUMN(INDIRECT(AQ318)),"x")</f>
        <v>12</v>
      </c>
      <c r="BN318" s="23" cm="1">
        <f t="array" aca="1" ref="BN318" ca="1">IFERROR(COLUMN(INDIRECT(AR318)),"x")</f>
        <v>11</v>
      </c>
      <c r="BO318" s="23" cm="1">
        <f t="array" aca="1" ref="BO318" ca="1">IFERROR(COLUMN(INDIRECT(AS318)),"x")</f>
        <v>13</v>
      </c>
      <c r="BP318" s="23" cm="1">
        <f t="array" aca="1" ref="BP318" ca="1">IFERROR(COLUMN(INDIRECT(AT318)),"x")</f>
        <v>9</v>
      </c>
      <c r="BQ318" s="23" cm="1">
        <f t="array" aca="1" ref="BQ318" ca="1">IFERROR(COLUMN(INDIRECT(AU318)),"x")</f>
        <v>15</v>
      </c>
      <c r="BR318" s="23" cm="1">
        <f t="array" aca="1" ref="BR318" ca="1">IFERROR(COLUMN(INDIRECT(AV318)),"x")</f>
        <v>7</v>
      </c>
      <c r="BS318" s="23" cm="1">
        <f t="array" aca="1" ref="BS318" ca="1">IFERROR(COLUMN(INDIRECT(AW318)),"x")</f>
        <v>6</v>
      </c>
      <c r="BT318" s="23" cm="1">
        <f t="array" aca="1" ref="BT318" ca="1">IFERROR(COLUMN(INDIRECT(AX318)),"x")</f>
        <v>5</v>
      </c>
      <c r="BU318" s="23" cm="1">
        <f t="array" aca="1" ref="BU318" ca="1">IFERROR(COLUMN(INDIRECT(AY318)),"x")</f>
        <v>19</v>
      </c>
      <c r="BW318" s="23" t="str">
        <f t="shared" ca="1" si="40"/>
        <v>x</v>
      </c>
      <c r="BX318" s="23" t="str">
        <f t="shared" ca="1" si="41"/>
        <v>x</v>
      </c>
      <c r="BY318" s="23">
        <f t="shared" ca="1" si="42"/>
        <v>1</v>
      </c>
      <c r="BZ318" s="23">
        <f t="shared" ca="1" si="43"/>
        <v>-1</v>
      </c>
      <c r="CA318" s="23">
        <f t="shared" ca="1" si="44"/>
        <v>1</v>
      </c>
      <c r="CB318" s="23">
        <f t="shared" ca="1" si="45"/>
        <v>-1</v>
      </c>
      <c r="CC318" s="23">
        <f t="shared" ca="1" si="46"/>
        <v>-1</v>
      </c>
      <c r="CD318" s="23">
        <f t="shared" ca="1" si="47"/>
        <v>-1</v>
      </c>
      <c r="CE318" s="23">
        <f t="shared" ca="1" si="48"/>
        <v>1</v>
      </c>
      <c r="CF318" s="23">
        <f t="shared" ca="1" si="49"/>
        <v>-1</v>
      </c>
      <c r="CG318" s="23">
        <f t="shared" ca="1" si="50"/>
        <v>-1</v>
      </c>
      <c r="CH318" s="23">
        <f t="shared" ca="1" si="51"/>
        <v>1</v>
      </c>
      <c r="CI318" s="23">
        <f t="shared" ca="1" si="52"/>
        <v>-1</v>
      </c>
      <c r="CJ318" s="23">
        <f t="shared" ca="1" si="53"/>
        <v>1</v>
      </c>
      <c r="CK318" s="23">
        <f t="shared" ca="1" si="54"/>
        <v>-1</v>
      </c>
      <c r="CL318" s="23">
        <f t="shared" ca="1" si="55"/>
        <v>1</v>
      </c>
      <c r="CM318" s="23">
        <f t="shared" ca="1" si="56"/>
        <v>-1</v>
      </c>
      <c r="CN318" s="23">
        <f t="shared" ca="1" si="57"/>
        <v>-1</v>
      </c>
      <c r="CO318" s="23">
        <f t="shared" ca="1" si="58"/>
        <v>-1</v>
      </c>
      <c r="CP318" s="23">
        <f t="shared" ca="1" si="59"/>
        <v>1</v>
      </c>
      <c r="CQ318" s="75"/>
      <c r="CR318" s="23" t="str" cm="1">
        <f t="array" aca="1" ref="CR318" ca="1">_xlfn.LET(
_xlpm.x, IFERROR(SUBSTITUTE(CELL("adres",OFFSET(INDIRECT(AF318),,BW318*($I318-$G318)*2,1,1)),"$",""),"x"),
_xlpm.y, IFERROR(IF(OR(COLUMN(INDIRECT(_xlpm.x))&gt;21, COLUMN(INDIRECT(_xlpm.x))&lt;2),"x",_xlpm.x), "x"),
_xlpm.y)</f>
        <v>x</v>
      </c>
      <c r="CS318" s="23" t="str" cm="1">
        <f t="array" aca="1" ref="CS318" ca="1">_xlfn.LET(
_xlpm.x, IFERROR(SUBSTITUTE(CELL("adres",OFFSET(INDIRECT(AG318),,BX318*($I318-$G318)*2,1,1)),"$",""),"x"),
_xlpm.y, IFERROR(IF(OR(COLUMN(INDIRECT(_xlpm.x))&gt;21, COLUMN(INDIRECT(_xlpm.x))&lt;2),"x",_xlpm.x), "x"),
_xlpm.y)</f>
        <v>x</v>
      </c>
      <c r="CT318" s="23" t="str" cm="1">
        <f t="array" aca="1" ref="CT318" ca="1">_xlfn.LET(
_xlpm.x, IFERROR(SUBSTITUTE(CELL("adres",OFFSET(INDIRECT(AH318),,BY318*($I318-$G318)*2,1,1)),"$",""),"x"),
_xlpm.y, IFERROR(IF(OR(COLUMN(INDIRECT(_xlpm.x))&gt;21, COLUMN(INDIRECT(_xlpm.x))&lt;2),"x",_xlpm.x), "x"),
_xlpm.y)</f>
        <v>x</v>
      </c>
      <c r="CU318" s="23" t="str" cm="1">
        <f t="array" aca="1" ref="CU318" ca="1">_xlfn.LET(
_xlpm.x, IFERROR(SUBSTITUTE(CELL("adres",OFFSET(INDIRECT(AI318),,BZ318*($I318-$G318)*2,1,1)),"$",""),"x"),
_xlpm.y, IFERROR(IF(OR(COLUMN(INDIRECT(_xlpm.x))&gt;21, COLUMN(INDIRECT(_xlpm.x))&lt;2),"x",_xlpm.x), "x"),
_xlpm.y)</f>
        <v>x</v>
      </c>
      <c r="CV318" s="23" t="str" cm="1">
        <f t="array" aca="1" ref="CV318" ca="1">_xlfn.LET(
_xlpm.x, IFERROR(SUBSTITUTE(CELL("adres",OFFSET(INDIRECT(AJ318),,CA318*($I318-$G318)*2,1,1)),"$",""),"x"),
_xlpm.y, IFERROR(IF(OR(COLUMN(INDIRECT(_xlpm.x))&gt;21, COLUMN(INDIRECT(_xlpm.x))&lt;2),"x",_xlpm.x), "x"),
_xlpm.y)</f>
        <v>x</v>
      </c>
      <c r="CW318" s="23" t="str" cm="1">
        <f t="array" aca="1" ref="CW318" ca="1">_xlfn.LET(
_xlpm.x, IFERROR(SUBSTITUTE(CELL("adres",OFFSET(INDIRECT(AK318),,CB318*($I318-$G318)*2,1,1)),"$",""),"x"),
_xlpm.y, IFERROR(IF(OR(COLUMN(INDIRECT(_xlpm.x))&gt;21, COLUMN(INDIRECT(_xlpm.x))&lt;2),"x",_xlpm.x), "x"),
_xlpm.y)</f>
        <v>x</v>
      </c>
      <c r="CX318" s="23" t="str" cm="1">
        <f t="array" aca="1" ref="CX318" ca="1">_xlfn.LET(
_xlpm.x, IFERROR(SUBSTITUTE(CELL("adres",OFFSET(INDIRECT(AL318),,CC318*($I318-$G318)*2,1,1)),"$",""),"x"),
_xlpm.y, IFERROR(IF(OR(COLUMN(INDIRECT(_xlpm.x))&gt;21, COLUMN(INDIRECT(_xlpm.x))&lt;2),"x",_xlpm.x), "x"),
_xlpm.y)</f>
        <v>B2</v>
      </c>
      <c r="CY318" s="23" t="str" cm="1">
        <f t="array" aca="1" ref="CY318" ca="1">_xlfn.LET(
_xlpm.x, IFERROR(SUBSTITUTE(CELL("adres",OFFSET(INDIRECT(AM318),,CD318*($I318-$G318)*2,1,1)),"$",""),"x"),
_xlpm.y, IFERROR(IF(OR(COLUMN(INDIRECT(_xlpm.x))&gt;21, COLUMN(INDIRECT(_xlpm.x))&lt;2),"x",_xlpm.x), "x"),
_xlpm.y)</f>
        <v>C12</v>
      </c>
      <c r="CZ318" s="23" t="str" cm="1">
        <f t="array" aca="1" ref="CZ318" ca="1">_xlfn.LET(
_xlpm.x, IFERROR(SUBSTITUTE(CELL("adres",OFFSET(INDIRECT(AN318),,CE318*($I318-$G318)*2,1,1)),"$",""),"x"),
_xlpm.y, IFERROR(IF(OR(COLUMN(INDIRECT(_xlpm.x))&gt;21, COLUMN(INDIRECT(_xlpm.x))&lt;2),"x",_xlpm.x), "x"),
_xlpm.y)</f>
        <v>S14</v>
      </c>
      <c r="DA318" s="23" t="str" cm="1">
        <f t="array" aca="1" ref="DA318" ca="1">_xlfn.LET(
_xlpm.x, IFERROR(SUBSTITUTE(CELL("adres",OFFSET(INDIRECT(AO318),,CF318*($I318-$G318)*2,1,1)),"$",""),"x"),
_xlpm.y, IFERROR(IF(OR(COLUMN(INDIRECT(_xlpm.x))&gt;21, COLUMN(INDIRECT(_xlpm.x))&lt;2),"x",_xlpm.x), "x"),
_xlpm.y)</f>
        <v>E19</v>
      </c>
      <c r="DB318" s="23" t="str" cm="1">
        <f t="array" aca="1" ref="DB318" ca="1">_xlfn.LET(
_xlpm.x, IFERROR(SUBSTITUTE(CELL("adres",OFFSET(INDIRECT(AP318),,CG318*($I318-$G318)*2,1,1)),"$",""),"x"),
_xlpm.y, IFERROR(IF(OR(COLUMN(INDIRECT(_xlpm.x))&gt;21, COLUMN(INDIRECT(_xlpm.x))&lt;2),"x",_xlpm.x), "x"),
_xlpm.y)</f>
        <v>F7</v>
      </c>
      <c r="DC318" s="23" t="str" cm="1">
        <f t="array" aca="1" ref="DC318" ca="1">_xlfn.LET(
_xlpm.x, IFERROR(SUBSTITUTE(CELL("adres",OFFSET(INDIRECT(AQ318),,CH318*($I318-$G318)*2,1,1)),"$",""),"x"),
_xlpm.y, IFERROR(IF(OR(COLUMN(INDIRECT(_xlpm.x))&gt;21, COLUMN(INDIRECT(_xlpm.x))&lt;2),"x",_xlpm.x), "x"),
_xlpm.y)</f>
        <v>P11</v>
      </c>
      <c r="DD318" s="23" t="str" cm="1">
        <f t="array" aca="1" ref="DD318" ca="1">_xlfn.LET(
_xlpm.x, IFERROR(SUBSTITUTE(CELL("adres",OFFSET(INDIRECT(AR318),,CI318*($I318-$G318)*2,1,1)),"$",""),"x"),
_xlpm.y, IFERROR(IF(OR(COLUMN(INDIRECT(_xlpm.x))&gt;21, COLUMN(INDIRECT(_xlpm.x))&lt;2),"x",_xlpm.x), "x"),
_xlpm.y)</f>
        <v>G11</v>
      </c>
      <c r="DE318" s="23" t="str" cm="1">
        <f t="array" aca="1" ref="DE318" ca="1">_xlfn.LET(
_xlpm.x, IFERROR(SUBSTITUTE(CELL("adres",OFFSET(INDIRECT(AS318),,CJ318*($I318-$G318)*2,1,1)),"$",""),"x"),
_xlpm.y, IFERROR(IF(OR(COLUMN(INDIRECT(_xlpm.x))&gt;21, COLUMN(INDIRECT(_xlpm.x))&lt;2),"x",_xlpm.x), "x"),
_xlpm.y)</f>
        <v>Q9</v>
      </c>
      <c r="DF318" s="23" t="str" cm="1">
        <f t="array" aca="1" ref="DF318" ca="1">_xlfn.LET(
_xlpm.x, IFERROR(SUBSTITUTE(CELL("adres",OFFSET(INDIRECT(AT318),,CK318*($I318-$G318)*2,1,1)),"$",""),"x"),
_xlpm.y, IFERROR(IF(OR(COLUMN(INDIRECT(_xlpm.x))&gt;21, COLUMN(INDIRECT(_xlpm.x))&lt;2),"x",_xlpm.x), "x"),
_xlpm.y)</f>
        <v>E10</v>
      </c>
      <c r="DG318" s="23" t="str" cm="1">
        <f t="array" aca="1" ref="DG318" ca="1">_xlfn.LET(
_xlpm.x, IFERROR(SUBSTITUTE(CELL("adres",OFFSET(INDIRECT(AU318),,CL318*($I318-$G318)*2,1,1)),"$",""),"x"),
_xlpm.y, IFERROR(IF(OR(COLUMN(INDIRECT(_xlpm.x))&gt;21, COLUMN(INDIRECT(_xlpm.x))&lt;2),"x",_xlpm.x), "x"),
_xlpm.y)</f>
        <v>S21</v>
      </c>
      <c r="DH318" s="23" t="str" cm="1">
        <f t="array" aca="1" ref="DH318" ca="1">_xlfn.LET(
_xlpm.x, IFERROR(SUBSTITUTE(CELL("adres",OFFSET(INDIRECT(AV318),,CM318*($I318-$G318)*2,1,1)),"$",""),"x"),
_xlpm.y, IFERROR(IF(OR(COLUMN(INDIRECT(_xlpm.x))&gt;21, COLUMN(INDIRECT(_xlpm.x))&lt;2),"x",_xlpm.x), "x"),
_xlpm.y)</f>
        <v>C6</v>
      </c>
      <c r="DI318" s="23" t="str" cm="1">
        <f t="array" aca="1" ref="DI318" ca="1">_xlfn.LET(
_xlpm.x, IFERROR(SUBSTITUTE(CELL("adres",OFFSET(INDIRECT(AW318),,CN318*($I318-$G318)*2,1,1)),"$",""),"x"),
_xlpm.y, IFERROR(IF(OR(COLUMN(INDIRECT(_xlpm.x))&gt;21, COLUMN(INDIRECT(_xlpm.x))&lt;2),"x",_xlpm.x), "x"),
_xlpm.y)</f>
        <v>B8</v>
      </c>
      <c r="DJ318" s="23" t="str" cm="1">
        <f t="array" aca="1" ref="DJ318" ca="1">_xlfn.LET(
_xlpm.x, IFERROR(SUBSTITUTE(CELL("adres",OFFSET(INDIRECT(AX318),,CO318*($I318-$G318)*2,1,1)),"$",""),"x"),
_xlpm.y, IFERROR(IF(OR(COLUMN(INDIRECT(_xlpm.x))&gt;21, COLUMN(INDIRECT(_xlpm.x))&lt;2),"x",_xlpm.x), "x"),
_xlpm.y)</f>
        <v>x</v>
      </c>
      <c r="DK318" s="23" t="str" cm="1">
        <f t="array" aca="1" ref="DK318" ca="1">_xlfn.LET(
_xlpm.x, IFERROR(SUBSTITUTE(CELL("adres",OFFSET(INDIRECT(AY318),,CP318*($I318-$G318)*2,1,1)),"$",""),"x"),
_xlpm.y, IFERROR(IF(OR(COLUMN(INDIRECT(_xlpm.x))&gt;21, COLUMN(INDIRECT(_xlpm.x))&lt;2),"x",_xlpm.x), "x"),
_xlpm.y)</f>
        <v>x</v>
      </c>
      <c r="DM318" s="23" t="e" cm="1">
        <f t="array" aca="1" ref="DM318" ca="1">ROW(INDIRECT(CR318))</f>
        <v>#REF!</v>
      </c>
      <c r="DN318" s="23" cm="1">
        <f t="array" aca="1" ref="DN318" ca="1">ROW(INDIRECT(J318))</f>
        <v>20</v>
      </c>
      <c r="DO318" s="23" t="e">
        <f t="shared" ca="1" si="60"/>
        <v>#REF!</v>
      </c>
      <c r="DP318" s="23" t="e" cm="1">
        <f t="array" aca="1" ref="DP318" ca="1">COLUMN(INDIRECT(CR318))</f>
        <v>#REF!</v>
      </c>
      <c r="DQ318" s="23" cm="1">
        <f t="array" aca="1" ref="DQ318" ca="1">COLUMN(INDIRECT(J318))</f>
        <v>19</v>
      </c>
      <c r="DR318" s="23" t="e">
        <f t="shared" ca="1" si="61"/>
        <v>#REF!</v>
      </c>
      <c r="DS318" s="23">
        <f t="shared" ca="1" si="39"/>
        <v>1000</v>
      </c>
      <c r="DU318" s="23" cm="1">
        <f t="array" aca="1" ref="DU318" ca="1">IFERROR(MAX(ABS(ROW(INDIRECT($J318))-ROW(INDIRECT(CR318))),ABS(COLUMN(INDIRECT($J318))-COLUMN(INDIRECT(CR318)))),1000)</f>
        <v>1000</v>
      </c>
      <c r="DV318" s="23" cm="1">
        <f t="array" aca="1" ref="DV318" ca="1">IFERROR(MAX(ABS(ROW(INDIRECT($J318))-ROW(INDIRECT(CS318))),ABS(COLUMN(INDIRECT($J318))-COLUMN(INDIRECT(CS318)))),1000)</f>
        <v>1000</v>
      </c>
      <c r="DW318" s="23" cm="1">
        <f t="array" aca="1" ref="DW318" ca="1">IFERROR(MAX(ABS(ROW(INDIRECT($J318))-ROW(INDIRECT(CT318))),ABS(COLUMN(INDIRECT($J318))-COLUMN(INDIRECT(CT318)))),1000)</f>
        <v>1000</v>
      </c>
      <c r="DX318" s="23" cm="1">
        <f t="array" aca="1" ref="DX318" ca="1">IFERROR(MAX(ABS(ROW(INDIRECT($J318))-ROW(INDIRECT(CU318))),ABS(COLUMN(INDIRECT($J318))-COLUMN(INDIRECT(CU318)))),1000)</f>
        <v>1000</v>
      </c>
      <c r="DY318" s="23" cm="1">
        <f t="array" aca="1" ref="DY318" ca="1">IFERROR(MAX(ABS(ROW(INDIRECT($J318))-ROW(INDIRECT(CV318))),ABS(COLUMN(INDIRECT($J318))-COLUMN(INDIRECT(CV318)))),1000)</f>
        <v>1000</v>
      </c>
      <c r="DZ318" s="23" cm="1">
        <f t="array" aca="1" ref="DZ318" ca="1">IFERROR(MAX(ABS(ROW(INDIRECT($J318))-ROW(INDIRECT(CW318))),ABS(COLUMN(INDIRECT($J318))-COLUMN(INDIRECT(CW318)))),1000)</f>
        <v>1000</v>
      </c>
      <c r="EA318" s="23" cm="1">
        <f t="array" aca="1" ref="EA318" ca="1">IFERROR(MAX(ABS(ROW(INDIRECT($J318))-ROW(INDIRECT(CX318))),ABS(COLUMN(INDIRECT($J318))-COLUMN(INDIRECT(CX318)))),1000)</f>
        <v>18</v>
      </c>
      <c r="EB318" s="23" cm="1">
        <f t="array" aca="1" ref="EB318" ca="1">IFERROR(MAX(ABS(ROW(INDIRECT($J318))-ROW(INDIRECT(CY318))),ABS(COLUMN(INDIRECT($J318))-COLUMN(INDIRECT(CY318)))),1000)</f>
        <v>16</v>
      </c>
      <c r="EC318" s="23" cm="1">
        <f t="array" aca="1" ref="EC318" ca="1">IFERROR(MAX(ABS(ROW(INDIRECT($J318))-ROW(INDIRECT(CZ318))),ABS(COLUMN(INDIRECT($J318))-COLUMN(INDIRECT(CZ318)))),1000)</f>
        <v>6</v>
      </c>
      <c r="ED318" s="23" cm="1">
        <f t="array" aca="1" ref="ED318" ca="1">IFERROR(MAX(ABS(ROW(INDIRECT($J318))-ROW(INDIRECT(DA318))),ABS(COLUMN(INDIRECT($J318))-COLUMN(INDIRECT(DA318)))),1000)</f>
        <v>14</v>
      </c>
      <c r="EE318" s="23" cm="1">
        <f t="array" aca="1" ref="EE318" ca="1">IFERROR(MAX(ABS(ROW(INDIRECT($J318))-ROW(INDIRECT(DB318))),ABS(COLUMN(INDIRECT($J318))-COLUMN(INDIRECT(DB318)))),1000)</f>
        <v>13</v>
      </c>
      <c r="EF318" s="23" cm="1">
        <f t="array" aca="1" ref="EF318" ca="1">IFERROR(MAX(ABS(ROW(INDIRECT($J318))-ROW(INDIRECT(DC318))),ABS(COLUMN(INDIRECT($J318))-COLUMN(INDIRECT(DC318)))),1000)</f>
        <v>9</v>
      </c>
      <c r="EG318" s="23" cm="1">
        <f t="array" aca="1" ref="EG318" ca="1">IFERROR(MAX(ABS(ROW(INDIRECT($J318))-ROW(INDIRECT(DD318))),ABS(COLUMN(INDIRECT($J318))-COLUMN(INDIRECT(DD318)))),1000)</f>
        <v>12</v>
      </c>
      <c r="EH318" s="23" cm="1">
        <f t="array" aca="1" ref="EH318" ca="1">IFERROR(MAX(ABS(ROW(INDIRECT($J318))-ROW(INDIRECT(DE318))),ABS(COLUMN(INDIRECT($J318))-COLUMN(INDIRECT(DE318)))),1000)</f>
        <v>11</v>
      </c>
      <c r="EI318" s="23" cm="1">
        <f t="array" aca="1" ref="EI318" ca="1">IFERROR(MAX(ABS(ROW(INDIRECT($J318))-ROW(INDIRECT(DF318))),ABS(COLUMN(INDIRECT($J318))-COLUMN(INDIRECT(DF318)))),1000)</f>
        <v>14</v>
      </c>
      <c r="EJ318" s="23" cm="1">
        <f t="array" aca="1" ref="EJ318" ca="1">IFERROR(MAX(ABS(ROW(INDIRECT($J318))-ROW(INDIRECT(DG318))),ABS(COLUMN(INDIRECT($J318))-COLUMN(INDIRECT(DG318)))),1000)</f>
        <v>1</v>
      </c>
      <c r="EK318" s="23" cm="1">
        <f t="array" aca="1" ref="EK318" ca="1">IFERROR(MAX(ABS(ROW(INDIRECT($J318))-ROW(INDIRECT(DH318))),ABS(COLUMN(INDIRECT($J318))-COLUMN(INDIRECT(DH318)))),1000)</f>
        <v>16</v>
      </c>
      <c r="EL318" s="23" cm="1">
        <f t="array" aca="1" ref="EL318" ca="1">IFERROR(MAX(ABS(ROW(INDIRECT($J318))-ROW(INDIRECT(DI318))),ABS(COLUMN(INDIRECT($J318))-COLUMN(INDIRECT(DI318)))),1000)</f>
        <v>17</v>
      </c>
      <c r="EM318" s="23" cm="1">
        <f t="array" aca="1" ref="EM318" ca="1">IFERROR(MAX(ABS(ROW(INDIRECT($J318))-ROW(INDIRECT(DJ318))),ABS(COLUMN(INDIRECT($J318))-COLUMN(INDIRECT(DJ318)))),1000)</f>
        <v>1000</v>
      </c>
      <c r="EN318" s="23" cm="1">
        <f t="array" aca="1" ref="EN318" ca="1">IFERROR(MAX(ABS(ROW(INDIRECT($J318))-ROW(INDIRECT(DK318))),ABS(COLUMN(INDIRECT($J318))-COLUMN(INDIRECT(DK318)))),1000)</f>
        <v>1000</v>
      </c>
      <c r="EP318" s="23">
        <f t="shared" ca="1" si="62"/>
        <v>1</v>
      </c>
      <c r="EQ318" s="23">
        <f t="shared" ca="1" si="63"/>
        <v>1</v>
      </c>
      <c r="ER318" s="23">
        <f t="shared" ca="1" si="64"/>
        <v>16</v>
      </c>
      <c r="ES318" s="23" t="str" cm="1">
        <f t="array" aca="1" ref="ES318" ca="1">INDEX(CR318:DK318,1,ER318)</f>
        <v>S21</v>
      </c>
    </row>
    <row r="319" spans="2:149" ht="22.5" customHeight="1">
      <c r="B319" s="32">
        <f t="shared" si="65"/>
        <v>132</v>
      </c>
      <c r="C319" s="32">
        <v>7</v>
      </c>
      <c r="D319" s="30">
        <v>12</v>
      </c>
      <c r="E319" s="34" t="str">
        <f ca="1"/>
        <v>B7</v>
      </c>
      <c r="F319" s="103"/>
      <c r="G319" s="33">
        <v>25</v>
      </c>
      <c r="H319" s="33" t="s">
        <v>149</v>
      </c>
      <c r="I319" s="33">
        <v>27</v>
      </c>
      <c r="J319" s="33" t="s">
        <v>296</v>
      </c>
      <c r="K319" s="33" t="s">
        <v>111</v>
      </c>
      <c r="L319" s="33" t="s">
        <v>62</v>
      </c>
      <c r="M319" s="33" t="s">
        <v>53</v>
      </c>
      <c r="N319" s="33" t="s">
        <v>57</v>
      </c>
      <c r="O319" s="33" t="s">
        <v>58</v>
      </c>
      <c r="P319" s="33" t="s">
        <v>92</v>
      </c>
      <c r="Q319" s="33" t="s">
        <v>50</v>
      </c>
      <c r="R319" s="33" t="s">
        <v>200</v>
      </c>
      <c r="S319" s="33" t="s">
        <v>51</v>
      </c>
      <c r="T319" s="33" t="s">
        <v>191</v>
      </c>
      <c r="U319" s="33" t="s">
        <v>200</v>
      </c>
      <c r="V319" s="33" t="s">
        <v>61</v>
      </c>
      <c r="W319" s="33" t="s">
        <v>186</v>
      </c>
      <c r="X319" s="33" t="s">
        <v>186</v>
      </c>
      <c r="Y319" s="33" t="s">
        <v>114</v>
      </c>
      <c r="Z319" s="33" t="s">
        <v>190</v>
      </c>
      <c r="AA319" s="33" t="s">
        <v>113</v>
      </c>
      <c r="AB319" s="33" t="s">
        <v>114</v>
      </c>
      <c r="AC319" s="33" t="s">
        <v>80</v>
      </c>
      <c r="AD319" s="33" t="s">
        <v>92</v>
      </c>
      <c r="AF319" s="31" t="str" cm="1">
        <f t="array" aca="1" ref="AF319" ca="1">_xlfn.LET(
_xlpm.x, IF(K$303&gt;$G319,"x",IFERROR(SUBSTITUTE(CELL("adres",OFFSET(INDIRECT(K319),,IF(LEFT(K319)="V",-1,1)*($G319-K$303),1,1)),"$",""),"x")),
_xlpm.y, IFERROR(IF(OR(COLUMN(INDIRECT(_xlpm.x))&gt;21, COLUMN(INDIRECT(_xlpm.x)) &lt;2), "x",_xlpm.x),"x"),
_xlpm.y)</f>
        <v>x</v>
      </c>
      <c r="AG319" s="31" t="str" cm="1">
        <f t="array" aca="1" ref="AG319" ca="1">_xlfn.LET(
_xlpm.x, IF(L$303&gt;$G319,"x",IFERROR(SUBSTITUTE(CELL("adres",OFFSET(INDIRECT(L319),,IF(LEFT(L319)="V",-1,1)*($G319-L$303),1,1)),"$",""),"x")),
_xlpm.y, IFERROR(IF(OR(COLUMN(INDIRECT(_xlpm.x))&gt;21, COLUMN(INDIRECT(_xlpm.x)) &lt;2), "x",_xlpm.x),"x"),
_xlpm.y)</f>
        <v>x</v>
      </c>
      <c r="AH319" s="31" t="str" cm="1">
        <f t="array" aca="1" ref="AH319" ca="1">_xlfn.LET(
_xlpm.x, IF(M$303&gt;$G319,"x",IFERROR(SUBSTITUTE(CELL("adres",OFFSET(INDIRECT(M319),,IF(LEFT(M319)="V",-1,1)*($G319-M$303),1,1)),"$",""),"x")),
_xlpm.y, IFERROR(IF(OR(COLUMN(INDIRECT(_xlpm.x))&gt;21, COLUMN(INDIRECT(_xlpm.x)) &lt;2), "x",_xlpm.x),"x"),
_xlpm.y)</f>
        <v>x</v>
      </c>
      <c r="AI319" s="31" t="str" cm="1">
        <f t="array" aca="1" ref="AI319" ca="1">_xlfn.LET(
_xlpm.x, IF(N$303&gt;$G319,"x",IFERROR(SUBSTITUTE(CELL("adres",OFFSET(INDIRECT(N319),,IF(LEFT(N319)="V",-1,1)*($G319-N$303),1,1)),"$",""),"x")),
_xlpm.y, IFERROR(IF(OR(COLUMN(INDIRECT(_xlpm.x))&gt;21, COLUMN(INDIRECT(_xlpm.x)) &lt;2), "x",_xlpm.x),"x"),
_xlpm.y)</f>
        <v>x</v>
      </c>
      <c r="AJ319" s="31" t="str" cm="1">
        <f t="array" aca="1" ref="AJ319" ca="1">_xlfn.LET(
_xlpm.x, IF(O$303&gt;$G319,"x",IFERROR(SUBSTITUTE(CELL("adres",OFFSET(INDIRECT(O319),,IF(LEFT(O319)="V",-1,1)*($G319-O$303),1,1)),"$",""),"x")),
_xlpm.y, IFERROR(IF(OR(COLUMN(INDIRECT(_xlpm.x))&gt;21, COLUMN(INDIRECT(_xlpm.x)) &lt;2), "x",_xlpm.x),"x"),
_xlpm.y)</f>
        <v>x</v>
      </c>
      <c r="AK319" s="31" t="str" cm="1">
        <f t="array" aca="1" ref="AK319" ca="1">_xlfn.LET(
_xlpm.x, IF(P$303&gt;$G319,"x",IFERROR(SUBSTITUTE(CELL("adres",OFFSET(INDIRECT(P319),,IF(LEFT(P319)="V",-1,1)*($G319-P$303),1,1)),"$",""),"x")),
_xlpm.y, IFERROR(IF(OR(COLUMN(INDIRECT(_xlpm.x))&gt;21, COLUMN(INDIRECT(_xlpm.x)) &lt;2), "x",_xlpm.x),"x"),
_xlpm.y)</f>
        <v>B5</v>
      </c>
      <c r="AL319" s="31" t="str" cm="1">
        <f t="array" aca="1" ref="AL319" ca="1">_xlfn.LET(
_xlpm.x, IF(Q$303&gt;$G319,"x",IFERROR(SUBSTITUTE(CELL("adres",OFFSET(INDIRECT(Q319),,IF(LEFT(Q319)="V",-1,1)*($G319-Q$303),1,1)),"$",""),"x")),
_xlpm.y, IFERROR(IF(OR(COLUMN(INDIRECT(_xlpm.x))&gt;21, COLUMN(INDIRECT(_xlpm.x)) &lt;2), "x",_xlpm.x),"x"),
_xlpm.y)</f>
        <v>T13</v>
      </c>
      <c r="AM319" s="31" t="str" cm="1">
        <f t="array" aca="1" ref="AM319" ca="1">_xlfn.LET(
_xlpm.x, IF(R$303&gt;$G319,"x",IFERROR(SUBSTITUTE(CELL("adres",OFFSET(INDIRECT(R319),,IF(LEFT(R319)="V",-1,1)*($G319-R$303),1,1)),"$",""),"x")),
_xlpm.y, IFERROR(IF(OR(COLUMN(INDIRECT(_xlpm.x))&gt;21, COLUMN(INDIRECT(_xlpm.x)) &lt;2), "x",_xlpm.x),"x"),
_xlpm.y)</f>
        <v>S18</v>
      </c>
      <c r="AN319" s="31" t="str" cm="1">
        <f t="array" aca="1" ref="AN319" ca="1">_xlfn.LET(
_xlpm.x, IF(S$303&gt;$G319,"x",IFERROR(SUBSTITUTE(CELL("adres",OFFSET(INDIRECT(S319),,IF(LEFT(S319)="V",-1,1)*($G319-S$303),1,1)),"$",""),"x")),
_xlpm.y, IFERROR(IF(OR(COLUMN(INDIRECT(_xlpm.x))&gt;21, COLUMN(INDIRECT(_xlpm.x)) &lt;2), "x",_xlpm.x),"x"),
_xlpm.y)</f>
        <v>R10</v>
      </c>
      <c r="AO319" s="31" t="str" cm="1">
        <f t="array" aca="1" ref="AO319" ca="1">_xlfn.LET(
_xlpm.x, IF(T$303&gt;$G319,"x",IFERROR(SUBSTITUTE(CELL("adres",OFFSET(INDIRECT(T319),,IF(LEFT(T319)="V",-1,1)*($G319-T$303),1,1)),"$",""),"x")),
_xlpm.y, IFERROR(IF(OR(COLUMN(INDIRECT(_xlpm.x))&gt;21, COLUMN(INDIRECT(_xlpm.x)) &lt;2), "x",_xlpm.x),"x"),
_xlpm.y)</f>
        <v>F7</v>
      </c>
      <c r="AP319" s="31" t="str" cm="1">
        <f t="array" aca="1" ref="AP319" ca="1">_xlfn.LET(
_xlpm.x, IF(U$303&gt;$G319,"x",IFERROR(SUBSTITUTE(CELL("adres",OFFSET(INDIRECT(U319),,IF(LEFT(U319)="V",-1,1)*($G319-U$303),1,1)),"$",""),"x")),
_xlpm.y, IFERROR(IF(OR(COLUMN(INDIRECT(_xlpm.x))&gt;21, COLUMN(INDIRECT(_xlpm.x)) &lt;2), "x",_xlpm.x),"x"),
_xlpm.y)</f>
        <v>P18</v>
      </c>
      <c r="AQ319" s="31" t="str" cm="1">
        <f t="array" aca="1" ref="AQ319" ca="1">_xlfn.LET(
_xlpm.x, IF(V$303&gt;$G319,"x",IFERROR(SUBSTITUTE(CELL("adres",OFFSET(INDIRECT(V319),,IF(LEFT(V319)="V",-1,1)*($G319-V$303),1,1)),"$",""),"x")),
_xlpm.y, IFERROR(IF(OR(COLUMN(INDIRECT(_xlpm.x))&gt;21, COLUMN(INDIRECT(_xlpm.x)) &lt;2), "x",_xlpm.x),"x"),
_xlpm.y)</f>
        <v>O8</v>
      </c>
      <c r="AR319" s="31" t="str" cm="1">
        <f t="array" aca="1" ref="AR319" ca="1">_xlfn.LET(
_xlpm.x, IF(W$303&gt;$G319,"x",IFERROR(SUBSTITUTE(CELL("adres",OFFSET(INDIRECT(W319),,IF(LEFT(W319)="V",-1,1)*($G319-W$303),1,1)),"$",""),"x")),
_xlpm.y, IFERROR(IF(OR(COLUMN(INDIRECT(_xlpm.x))&gt;21, COLUMN(INDIRECT(_xlpm.x)) &lt;2), "x",_xlpm.x),"x"),
_xlpm.y)</f>
        <v>I15</v>
      </c>
      <c r="AS319" s="31" t="str" cm="1">
        <f t="array" aca="1" ref="AS319" ca="1">_xlfn.LET(
_xlpm.x, IF(X$303&gt;$G319,"x",IFERROR(SUBSTITUTE(CELL("adres",OFFSET(INDIRECT(X319),,IF(LEFT(X319)="V",-1,1)*($G319-X$303),1,1)),"$",""),"x")),
_xlpm.y, IFERROR(IF(OR(COLUMN(INDIRECT(_xlpm.x))&gt;21, COLUMN(INDIRECT(_xlpm.x)) &lt;2), "x",_xlpm.x),"x"),
_xlpm.y)</f>
        <v>J15</v>
      </c>
      <c r="AT319" s="31" t="str" cm="1">
        <f t="array" aca="1" ref="AT319" ca="1">_xlfn.LET(
_xlpm.x, IF(Y$303&gt;$G319,"x",IFERROR(SUBSTITUTE(CELL("adres",OFFSET(INDIRECT(Y319),,IF(LEFT(Y319)="V",-1,1)*($G319-Y$303),1,1)),"$",""),"x")),
_xlpm.y, IFERROR(IF(OR(COLUMN(INDIRECT(_xlpm.x))&gt;21, COLUMN(INDIRECT(_xlpm.x)) &lt;2), "x",_xlpm.x),"x"),
_xlpm.y)</f>
        <v>K13</v>
      </c>
      <c r="AU319" s="31" t="str" cm="1">
        <f t="array" aca="1" ref="AU319" ca="1">_xlfn.LET(
_xlpm.x, IF(Z$303&gt;$G319,"x",IFERROR(SUBSTITUTE(CELL("adres",OFFSET(INDIRECT(Z319),,IF(LEFT(Z319)="V",-1,1)*($G319-Z$303),1,1)),"$",""),"x")),
_xlpm.y, IFERROR(IF(OR(COLUMN(INDIRECT(_xlpm.x))&gt;21, COLUMN(INDIRECT(_xlpm.x)) &lt;2), "x",_xlpm.x),"x"),
_xlpm.y)</f>
        <v>K24</v>
      </c>
      <c r="AV319" s="31" t="str" cm="1">
        <f t="array" aca="1" ref="AV319" ca="1">_xlfn.LET(
_xlpm.x, IF(AA$303&gt;$G319,"x",IFERROR(SUBSTITUTE(CELL("adres",OFFSET(INDIRECT(AA319),,IF(LEFT(AA319)="V",-1,1)*($G319-AA$303),1,1)),"$",""),"x")),
_xlpm.y, IFERROR(IF(OR(COLUMN(INDIRECT(_xlpm.x))&gt;21, COLUMN(INDIRECT(_xlpm.x)) &lt;2), "x",_xlpm.x),"x"),
_xlpm.y)</f>
        <v>J14</v>
      </c>
      <c r="AW319" s="31" t="str" cm="1">
        <f t="array" aca="1" ref="AW319" ca="1">_xlfn.LET(
_xlpm.x, IF(AB$303&gt;$G319,"x",IFERROR(SUBSTITUTE(CELL("adres",OFFSET(INDIRECT(AB319),,IF(LEFT(AB319)="V",-1,1)*($G319-AB$303),1,1)),"$",""),"x")),
_xlpm.y, IFERROR(IF(OR(COLUMN(INDIRECT(_xlpm.x))&gt;21, COLUMN(INDIRECT(_xlpm.x)) &lt;2), "x",_xlpm.x),"x"),
_xlpm.y)</f>
        <v>N13</v>
      </c>
      <c r="AX319" s="31" t="str" cm="1">
        <f t="array" aca="1" ref="AX319" ca="1">_xlfn.LET(
_xlpm.x, IF(AC$303&gt;$G319,"x",IFERROR(SUBSTITUTE(CELL("adres",OFFSET(INDIRECT(AC319),,IF(LEFT(AC319)="V",-1,1)*($G319-AC$303),1,1)),"$",""),"x")),
_xlpm.y, IFERROR(IF(OR(COLUMN(INDIRECT(_xlpm.x))&gt;21, COLUMN(INDIRECT(_xlpm.x)) &lt;2), "x",_xlpm.x),"x"),
_xlpm.y)</f>
        <v>O6</v>
      </c>
      <c r="AY319" s="31" t="str" cm="1">
        <f t="array" aca="1" ref="AY319" ca="1">_xlfn.LET(
_xlpm.x, IF(AD$303&gt;$G319,"x",IFERROR(SUBSTITUTE(CELL("adres",OFFSET(INDIRECT(AD319),,IF(LEFT(AD319)="V",-1,1)*($G319-AD$303),1,1)),"$",""),"x")),
_xlpm.y, IFERROR(IF(OR(COLUMN(INDIRECT(_xlpm.x))&gt;21, COLUMN(INDIRECT(_xlpm.x)) &lt;2), "x",_xlpm.x),"x"),
_xlpm.y)</f>
        <v>P5</v>
      </c>
      <c r="BB319" s="23" t="str" cm="1">
        <f t="array" aca="1" ref="BB319" ca="1">IFERROR(COLUMN(INDIRECT(AF319)),"x")</f>
        <v>x</v>
      </c>
      <c r="BC319" s="23" t="str" cm="1">
        <f t="array" aca="1" ref="BC319" ca="1">IFERROR(COLUMN(INDIRECT(AG319)),"x")</f>
        <v>x</v>
      </c>
      <c r="BD319" s="23" t="str" cm="1">
        <f t="array" aca="1" ref="BD319" ca="1">IFERROR(COLUMN(INDIRECT(AH319)),"x")</f>
        <v>x</v>
      </c>
      <c r="BE319" s="23" t="str" cm="1">
        <f t="array" aca="1" ref="BE319" ca="1">IFERROR(COLUMN(INDIRECT(AI319)),"x")</f>
        <v>x</v>
      </c>
      <c r="BF319" s="23" t="str" cm="1">
        <f t="array" aca="1" ref="BF319" ca="1">IFERROR(COLUMN(INDIRECT(AJ319)),"x")</f>
        <v>x</v>
      </c>
      <c r="BG319" s="23" cm="1">
        <f t="array" aca="1" ref="BG319" ca="1">IFERROR(COLUMN(INDIRECT(AK319)),"x")</f>
        <v>2</v>
      </c>
      <c r="BH319" s="23" cm="1">
        <f t="array" aca="1" ref="BH319" ca="1">IFERROR(COLUMN(INDIRECT(AL319)),"x")</f>
        <v>20</v>
      </c>
      <c r="BI319" s="23" cm="1">
        <f t="array" aca="1" ref="BI319" ca="1">IFERROR(COLUMN(INDIRECT(AM319)),"x")</f>
        <v>19</v>
      </c>
      <c r="BJ319" s="23" cm="1">
        <f t="array" aca="1" ref="BJ319" ca="1">IFERROR(COLUMN(INDIRECT(AN319)),"x")</f>
        <v>18</v>
      </c>
      <c r="BK319" s="23" cm="1">
        <f t="array" aca="1" ref="BK319" ca="1">IFERROR(COLUMN(INDIRECT(AO319)),"x")</f>
        <v>6</v>
      </c>
      <c r="BL319" s="23" cm="1">
        <f t="array" aca="1" ref="BL319" ca="1">IFERROR(COLUMN(INDIRECT(AP319)),"x")</f>
        <v>16</v>
      </c>
      <c r="BM319" s="23" cm="1">
        <f t="array" aca="1" ref="BM319" ca="1">IFERROR(COLUMN(INDIRECT(AQ319)),"x")</f>
        <v>15</v>
      </c>
      <c r="BN319" s="23" cm="1">
        <f t="array" aca="1" ref="BN319" ca="1">IFERROR(COLUMN(INDIRECT(AR319)),"x")</f>
        <v>9</v>
      </c>
      <c r="BO319" s="23" cm="1">
        <f t="array" aca="1" ref="BO319" ca="1">IFERROR(COLUMN(INDIRECT(AS319)),"x")</f>
        <v>10</v>
      </c>
      <c r="BP319" s="23" cm="1">
        <f t="array" aca="1" ref="BP319" ca="1">IFERROR(COLUMN(INDIRECT(AT319)),"x")</f>
        <v>11</v>
      </c>
      <c r="BQ319" s="23" cm="1">
        <f t="array" aca="1" ref="BQ319" ca="1">IFERROR(COLUMN(INDIRECT(AU319)),"x")</f>
        <v>11</v>
      </c>
      <c r="BR319" s="23" cm="1">
        <f t="array" aca="1" ref="BR319" ca="1">IFERROR(COLUMN(INDIRECT(AV319)),"x")</f>
        <v>10</v>
      </c>
      <c r="BS319" s="23" cm="1">
        <f t="array" aca="1" ref="BS319" ca="1">IFERROR(COLUMN(INDIRECT(AW319)),"x")</f>
        <v>14</v>
      </c>
      <c r="BT319" s="23" cm="1">
        <f t="array" aca="1" ref="BT319" ca="1">IFERROR(COLUMN(INDIRECT(AX319)),"x")</f>
        <v>15</v>
      </c>
      <c r="BU319" s="23" cm="1">
        <f t="array" aca="1" ref="BU319" ca="1">IFERROR(COLUMN(INDIRECT(AY319)),"x")</f>
        <v>16</v>
      </c>
      <c r="BW319" s="23" t="str">
        <f t="shared" ca="1" si="40"/>
        <v>x</v>
      </c>
      <c r="BX319" s="23" t="str">
        <f t="shared" ca="1" si="41"/>
        <v>x</v>
      </c>
      <c r="BY319" s="23" t="str">
        <f t="shared" ca="1" si="42"/>
        <v>x</v>
      </c>
      <c r="BZ319" s="23" t="str">
        <f t="shared" ca="1" si="43"/>
        <v>x</v>
      </c>
      <c r="CA319" s="23" t="str">
        <f t="shared" ca="1" si="44"/>
        <v>x</v>
      </c>
      <c r="CB319" s="23">
        <f t="shared" ca="1" si="45"/>
        <v>-1</v>
      </c>
      <c r="CC319" s="23">
        <f t="shared" ca="1" si="46"/>
        <v>1</v>
      </c>
      <c r="CD319" s="23">
        <f t="shared" ca="1" si="47"/>
        <v>1</v>
      </c>
      <c r="CE319" s="23">
        <f t="shared" ca="1" si="48"/>
        <v>1</v>
      </c>
      <c r="CF319" s="23">
        <f t="shared" ca="1" si="49"/>
        <v>-1</v>
      </c>
      <c r="CG319" s="23">
        <f t="shared" ca="1" si="50"/>
        <v>1</v>
      </c>
      <c r="CH319" s="23">
        <f t="shared" ca="1" si="51"/>
        <v>1</v>
      </c>
      <c r="CI319" s="23">
        <f t="shared" ca="1" si="52"/>
        <v>-1</v>
      </c>
      <c r="CJ319" s="23">
        <f t="shared" ca="1" si="53"/>
        <v>-1</v>
      </c>
      <c r="CK319" s="23">
        <f t="shared" ca="1" si="54"/>
        <v>-1</v>
      </c>
      <c r="CL319" s="23">
        <f t="shared" ca="1" si="55"/>
        <v>-1</v>
      </c>
      <c r="CM319" s="23">
        <f t="shared" ca="1" si="56"/>
        <v>-1</v>
      </c>
      <c r="CN319" s="23">
        <f t="shared" ca="1" si="57"/>
        <v>1</v>
      </c>
      <c r="CO319" s="23">
        <f t="shared" ca="1" si="58"/>
        <v>1</v>
      </c>
      <c r="CP319" s="23">
        <f t="shared" ca="1" si="59"/>
        <v>1</v>
      </c>
      <c r="CQ319" s="75"/>
      <c r="CR319" s="23" t="str" cm="1">
        <f t="array" aca="1" ref="CR319" ca="1">_xlfn.LET(
_xlpm.x, IFERROR(SUBSTITUTE(CELL("adres",OFFSET(INDIRECT(AF319),,BW319*($I319-$G319)*2,1,1)),"$",""),"x"),
_xlpm.y, IFERROR(IF(OR(COLUMN(INDIRECT(_xlpm.x))&gt;21, COLUMN(INDIRECT(_xlpm.x))&lt;2),"x",_xlpm.x), "x"),
_xlpm.y)</f>
        <v>x</v>
      </c>
      <c r="CS319" s="23" t="str" cm="1">
        <f t="array" aca="1" ref="CS319" ca="1">_xlfn.LET(
_xlpm.x, IFERROR(SUBSTITUTE(CELL("adres",OFFSET(INDIRECT(AG319),,BX319*($I319-$G319)*2,1,1)),"$",""),"x"),
_xlpm.y, IFERROR(IF(OR(COLUMN(INDIRECT(_xlpm.x))&gt;21, COLUMN(INDIRECT(_xlpm.x))&lt;2),"x",_xlpm.x), "x"),
_xlpm.y)</f>
        <v>x</v>
      </c>
      <c r="CT319" s="23" t="str" cm="1">
        <f t="array" aca="1" ref="CT319" ca="1">_xlfn.LET(
_xlpm.x, IFERROR(SUBSTITUTE(CELL("adres",OFFSET(INDIRECT(AH319),,BY319*($I319-$G319)*2,1,1)),"$",""),"x"),
_xlpm.y, IFERROR(IF(OR(COLUMN(INDIRECT(_xlpm.x))&gt;21, COLUMN(INDIRECT(_xlpm.x))&lt;2),"x",_xlpm.x), "x"),
_xlpm.y)</f>
        <v>x</v>
      </c>
      <c r="CU319" s="23" t="str" cm="1">
        <f t="array" aca="1" ref="CU319" ca="1">_xlfn.LET(
_xlpm.x, IFERROR(SUBSTITUTE(CELL("adres",OFFSET(INDIRECT(AI319),,BZ319*($I319-$G319)*2,1,1)),"$",""),"x"),
_xlpm.y, IFERROR(IF(OR(COLUMN(INDIRECT(_xlpm.x))&gt;21, COLUMN(INDIRECT(_xlpm.x))&lt;2),"x",_xlpm.x), "x"),
_xlpm.y)</f>
        <v>x</v>
      </c>
      <c r="CV319" s="23" t="str" cm="1">
        <f t="array" aca="1" ref="CV319" ca="1">_xlfn.LET(
_xlpm.x, IFERROR(SUBSTITUTE(CELL("adres",OFFSET(INDIRECT(AJ319),,CA319*($I319-$G319)*2,1,1)),"$",""),"x"),
_xlpm.y, IFERROR(IF(OR(COLUMN(INDIRECT(_xlpm.x))&gt;21, COLUMN(INDIRECT(_xlpm.x))&lt;2),"x",_xlpm.x), "x"),
_xlpm.y)</f>
        <v>x</v>
      </c>
      <c r="CW319" s="23" t="str" cm="1">
        <f t="array" aca="1" ref="CW319" ca="1">_xlfn.LET(
_xlpm.x, IFERROR(SUBSTITUTE(CELL("adres",OFFSET(INDIRECT(AK319),,CB319*($I319-$G319)*2,1,1)),"$",""),"x"),
_xlpm.y, IFERROR(IF(OR(COLUMN(INDIRECT(_xlpm.x))&gt;21, COLUMN(INDIRECT(_xlpm.x))&lt;2),"x",_xlpm.x), "x"),
_xlpm.y)</f>
        <v>x</v>
      </c>
      <c r="CX319" s="23" t="str" cm="1">
        <f t="array" aca="1" ref="CX319" ca="1">_xlfn.LET(
_xlpm.x, IFERROR(SUBSTITUTE(CELL("adres",OFFSET(INDIRECT(AL319),,CC319*($I319-$G319)*2,1,1)),"$",""),"x"),
_xlpm.y, IFERROR(IF(OR(COLUMN(INDIRECT(_xlpm.x))&gt;21, COLUMN(INDIRECT(_xlpm.x))&lt;2),"x",_xlpm.x), "x"),
_xlpm.y)</f>
        <v>x</v>
      </c>
      <c r="CY319" s="23" t="str" cm="1">
        <f t="array" aca="1" ref="CY319" ca="1">_xlfn.LET(
_xlpm.x, IFERROR(SUBSTITUTE(CELL("adres",OFFSET(INDIRECT(AM319),,CD319*($I319-$G319)*2,1,1)),"$",""),"x"),
_xlpm.y, IFERROR(IF(OR(COLUMN(INDIRECT(_xlpm.x))&gt;21, COLUMN(INDIRECT(_xlpm.x))&lt;2),"x",_xlpm.x), "x"),
_xlpm.y)</f>
        <v>x</v>
      </c>
      <c r="CZ319" s="23" t="str" cm="1">
        <f t="array" aca="1" ref="CZ319" ca="1">_xlfn.LET(
_xlpm.x, IFERROR(SUBSTITUTE(CELL("adres",OFFSET(INDIRECT(AN319),,CE319*($I319-$G319)*2,1,1)),"$",""),"x"),
_xlpm.y, IFERROR(IF(OR(COLUMN(INDIRECT(_xlpm.x))&gt;21, COLUMN(INDIRECT(_xlpm.x))&lt;2),"x",_xlpm.x), "x"),
_xlpm.y)</f>
        <v>x</v>
      </c>
      <c r="DA319" s="23" t="str" cm="1">
        <f t="array" aca="1" ref="DA319" ca="1">_xlfn.LET(
_xlpm.x, IFERROR(SUBSTITUTE(CELL("adres",OFFSET(INDIRECT(AO319),,CF319*($I319-$G319)*2,1,1)),"$",""),"x"),
_xlpm.y, IFERROR(IF(OR(COLUMN(INDIRECT(_xlpm.x))&gt;21, COLUMN(INDIRECT(_xlpm.x))&lt;2),"x",_xlpm.x), "x"),
_xlpm.y)</f>
        <v>B7</v>
      </c>
      <c r="DB319" s="23" t="str" cm="1">
        <f t="array" aca="1" ref="DB319" ca="1">_xlfn.LET(
_xlpm.x, IFERROR(SUBSTITUTE(CELL("adres",OFFSET(INDIRECT(AP319),,CG319*($I319-$G319)*2,1,1)),"$",""),"x"),
_xlpm.y, IFERROR(IF(OR(COLUMN(INDIRECT(_xlpm.x))&gt;21, COLUMN(INDIRECT(_xlpm.x))&lt;2),"x",_xlpm.x), "x"),
_xlpm.y)</f>
        <v>T18</v>
      </c>
      <c r="DC319" s="23" t="str" cm="1">
        <f t="array" aca="1" ref="DC319" ca="1">_xlfn.LET(
_xlpm.x, IFERROR(SUBSTITUTE(CELL("adres",OFFSET(INDIRECT(AQ319),,CH319*($I319-$G319)*2,1,1)),"$",""),"x"),
_xlpm.y, IFERROR(IF(OR(COLUMN(INDIRECT(_xlpm.x))&gt;21, COLUMN(INDIRECT(_xlpm.x))&lt;2),"x",_xlpm.x), "x"),
_xlpm.y)</f>
        <v>S8</v>
      </c>
      <c r="DD319" s="23" t="str" cm="1">
        <f t="array" aca="1" ref="DD319" ca="1">_xlfn.LET(
_xlpm.x, IFERROR(SUBSTITUTE(CELL("adres",OFFSET(INDIRECT(AR319),,CI319*($I319-$G319)*2,1,1)),"$",""),"x"),
_xlpm.y, IFERROR(IF(OR(COLUMN(INDIRECT(_xlpm.x))&gt;21, COLUMN(INDIRECT(_xlpm.x))&lt;2),"x",_xlpm.x), "x"),
_xlpm.y)</f>
        <v>E15</v>
      </c>
      <c r="DE319" s="23" t="str" cm="1">
        <f t="array" aca="1" ref="DE319" ca="1">_xlfn.LET(
_xlpm.x, IFERROR(SUBSTITUTE(CELL("adres",OFFSET(INDIRECT(AS319),,CJ319*($I319-$G319)*2,1,1)),"$",""),"x"),
_xlpm.y, IFERROR(IF(OR(COLUMN(INDIRECT(_xlpm.x))&gt;21, COLUMN(INDIRECT(_xlpm.x))&lt;2),"x",_xlpm.x), "x"),
_xlpm.y)</f>
        <v>F15</v>
      </c>
      <c r="DF319" s="23" t="str" cm="1">
        <f t="array" aca="1" ref="DF319" ca="1">_xlfn.LET(
_xlpm.x, IFERROR(SUBSTITUTE(CELL("adres",OFFSET(INDIRECT(AT319),,CK319*($I319-$G319)*2,1,1)),"$",""),"x"),
_xlpm.y, IFERROR(IF(OR(COLUMN(INDIRECT(_xlpm.x))&gt;21, COLUMN(INDIRECT(_xlpm.x))&lt;2),"x",_xlpm.x), "x"),
_xlpm.y)</f>
        <v>G13</v>
      </c>
      <c r="DG319" s="23" t="str" cm="1">
        <f t="array" aca="1" ref="DG319" ca="1">_xlfn.LET(
_xlpm.x, IFERROR(SUBSTITUTE(CELL("adres",OFFSET(INDIRECT(AU319),,CL319*($I319-$G319)*2,1,1)),"$",""),"x"),
_xlpm.y, IFERROR(IF(OR(COLUMN(INDIRECT(_xlpm.x))&gt;21, COLUMN(INDIRECT(_xlpm.x))&lt;2),"x",_xlpm.x), "x"),
_xlpm.y)</f>
        <v>G24</v>
      </c>
      <c r="DH319" s="23" t="str" cm="1">
        <f t="array" aca="1" ref="DH319" ca="1">_xlfn.LET(
_xlpm.x, IFERROR(SUBSTITUTE(CELL("adres",OFFSET(INDIRECT(AV319),,CM319*($I319-$G319)*2,1,1)),"$",""),"x"),
_xlpm.y, IFERROR(IF(OR(COLUMN(INDIRECT(_xlpm.x))&gt;21, COLUMN(INDIRECT(_xlpm.x))&lt;2),"x",_xlpm.x), "x"),
_xlpm.y)</f>
        <v>F14</v>
      </c>
      <c r="DI319" s="23" t="str" cm="1">
        <f t="array" aca="1" ref="DI319" ca="1">_xlfn.LET(
_xlpm.x, IFERROR(SUBSTITUTE(CELL("adres",OFFSET(INDIRECT(AW319),,CN319*($I319-$G319)*2,1,1)),"$",""),"x"),
_xlpm.y, IFERROR(IF(OR(COLUMN(INDIRECT(_xlpm.x))&gt;21, COLUMN(INDIRECT(_xlpm.x))&lt;2),"x",_xlpm.x), "x"),
_xlpm.y)</f>
        <v>R13</v>
      </c>
      <c r="DJ319" s="23" t="str" cm="1">
        <f t="array" aca="1" ref="DJ319" ca="1">_xlfn.LET(
_xlpm.x, IFERROR(SUBSTITUTE(CELL("adres",OFFSET(INDIRECT(AX319),,CO319*($I319-$G319)*2,1,1)),"$",""),"x"),
_xlpm.y, IFERROR(IF(OR(COLUMN(INDIRECT(_xlpm.x))&gt;21, COLUMN(INDIRECT(_xlpm.x))&lt;2),"x",_xlpm.x), "x"),
_xlpm.y)</f>
        <v>S6</v>
      </c>
      <c r="DK319" s="23" t="str" cm="1">
        <f t="array" aca="1" ref="DK319" ca="1">_xlfn.LET(
_xlpm.x, IFERROR(SUBSTITUTE(CELL("adres",OFFSET(INDIRECT(AY319),,CP319*($I319-$G319)*2,1,1)),"$",""),"x"),
_xlpm.y, IFERROR(IF(OR(COLUMN(INDIRECT(_xlpm.x))&gt;21, COLUMN(INDIRECT(_xlpm.x))&lt;2),"x",_xlpm.x), "x"),
_xlpm.y)</f>
        <v>T5</v>
      </c>
      <c r="DM319" s="23" t="e" cm="1">
        <f t="array" aca="1" ref="DM319" ca="1">ROW(INDIRECT(CR319))</f>
        <v>#REF!</v>
      </c>
      <c r="DN319" s="23" cm="1">
        <f t="array" aca="1" ref="DN319" ca="1">ROW(INDIRECT(J319))</f>
        <v>2</v>
      </c>
      <c r="DO319" s="23" t="e">
        <f t="shared" ca="1" si="60"/>
        <v>#REF!</v>
      </c>
      <c r="DP319" s="23" t="e" cm="1">
        <f t="array" aca="1" ref="DP319" ca="1">COLUMN(INDIRECT(CR319))</f>
        <v>#REF!</v>
      </c>
      <c r="DQ319" s="23" cm="1">
        <f t="array" aca="1" ref="DQ319" ca="1">COLUMN(INDIRECT(J319))</f>
        <v>5</v>
      </c>
      <c r="DR319" s="23" t="e">
        <f t="shared" ca="1" si="61"/>
        <v>#REF!</v>
      </c>
      <c r="DS319" s="23">
        <f t="shared" ca="1" si="39"/>
        <v>1000</v>
      </c>
      <c r="DU319" s="23" cm="1">
        <f t="array" aca="1" ref="DU319" ca="1">IFERROR(MAX(ABS(ROW(INDIRECT($J319))-ROW(INDIRECT(CR319))),ABS(COLUMN(INDIRECT($J319))-COLUMN(INDIRECT(CR319)))),1000)</f>
        <v>1000</v>
      </c>
      <c r="DV319" s="23" cm="1">
        <f t="array" aca="1" ref="DV319" ca="1">IFERROR(MAX(ABS(ROW(INDIRECT($J319))-ROW(INDIRECT(CS319))),ABS(COLUMN(INDIRECT($J319))-COLUMN(INDIRECT(CS319)))),1000)</f>
        <v>1000</v>
      </c>
      <c r="DW319" s="23" cm="1">
        <f t="array" aca="1" ref="DW319" ca="1">IFERROR(MAX(ABS(ROW(INDIRECT($J319))-ROW(INDIRECT(CT319))),ABS(COLUMN(INDIRECT($J319))-COLUMN(INDIRECT(CT319)))),1000)</f>
        <v>1000</v>
      </c>
      <c r="DX319" s="23" cm="1">
        <f t="array" aca="1" ref="DX319" ca="1">IFERROR(MAX(ABS(ROW(INDIRECT($J319))-ROW(INDIRECT(CU319))),ABS(COLUMN(INDIRECT($J319))-COLUMN(INDIRECT(CU319)))),1000)</f>
        <v>1000</v>
      </c>
      <c r="DY319" s="23" cm="1">
        <f t="array" aca="1" ref="DY319" ca="1">IFERROR(MAX(ABS(ROW(INDIRECT($J319))-ROW(INDIRECT(CV319))),ABS(COLUMN(INDIRECT($J319))-COLUMN(INDIRECT(CV319)))),1000)</f>
        <v>1000</v>
      </c>
      <c r="DZ319" s="23" cm="1">
        <f t="array" aca="1" ref="DZ319" ca="1">IFERROR(MAX(ABS(ROW(INDIRECT($J319))-ROW(INDIRECT(CW319))),ABS(COLUMN(INDIRECT($J319))-COLUMN(INDIRECT(CW319)))),1000)</f>
        <v>1000</v>
      </c>
      <c r="EA319" s="23" cm="1">
        <f t="array" aca="1" ref="EA319" ca="1">IFERROR(MAX(ABS(ROW(INDIRECT($J319))-ROW(INDIRECT(CX319))),ABS(COLUMN(INDIRECT($J319))-COLUMN(INDIRECT(CX319)))),1000)</f>
        <v>1000</v>
      </c>
      <c r="EB319" s="23" cm="1">
        <f t="array" aca="1" ref="EB319" ca="1">IFERROR(MAX(ABS(ROW(INDIRECT($J319))-ROW(INDIRECT(CY319))),ABS(COLUMN(INDIRECT($J319))-COLUMN(INDIRECT(CY319)))),1000)</f>
        <v>1000</v>
      </c>
      <c r="EC319" s="23" cm="1">
        <f t="array" aca="1" ref="EC319" ca="1">IFERROR(MAX(ABS(ROW(INDIRECT($J319))-ROW(INDIRECT(CZ319))),ABS(COLUMN(INDIRECT($J319))-COLUMN(INDIRECT(CZ319)))),1000)</f>
        <v>1000</v>
      </c>
      <c r="ED319" s="23" cm="1">
        <f t="array" aca="1" ref="ED319" ca="1">IFERROR(MAX(ABS(ROW(INDIRECT($J319))-ROW(INDIRECT(DA319))),ABS(COLUMN(INDIRECT($J319))-COLUMN(INDIRECT(DA319)))),1000)</f>
        <v>5</v>
      </c>
      <c r="EE319" s="23" cm="1">
        <f t="array" aca="1" ref="EE319" ca="1">IFERROR(MAX(ABS(ROW(INDIRECT($J319))-ROW(INDIRECT(DB319))),ABS(COLUMN(INDIRECT($J319))-COLUMN(INDIRECT(DB319)))),1000)</f>
        <v>16</v>
      </c>
      <c r="EF319" s="23" cm="1">
        <f t="array" aca="1" ref="EF319" ca="1">IFERROR(MAX(ABS(ROW(INDIRECT($J319))-ROW(INDIRECT(DC319))),ABS(COLUMN(INDIRECT($J319))-COLUMN(INDIRECT(DC319)))),1000)</f>
        <v>14</v>
      </c>
      <c r="EG319" s="23" cm="1">
        <f t="array" aca="1" ref="EG319" ca="1">IFERROR(MAX(ABS(ROW(INDIRECT($J319))-ROW(INDIRECT(DD319))),ABS(COLUMN(INDIRECT($J319))-COLUMN(INDIRECT(DD319)))),1000)</f>
        <v>13</v>
      </c>
      <c r="EH319" s="23" cm="1">
        <f t="array" aca="1" ref="EH319" ca="1">IFERROR(MAX(ABS(ROW(INDIRECT($J319))-ROW(INDIRECT(DE319))),ABS(COLUMN(INDIRECT($J319))-COLUMN(INDIRECT(DE319)))),1000)</f>
        <v>13</v>
      </c>
      <c r="EI319" s="23" cm="1">
        <f t="array" aca="1" ref="EI319" ca="1">IFERROR(MAX(ABS(ROW(INDIRECT($J319))-ROW(INDIRECT(DF319))),ABS(COLUMN(INDIRECT($J319))-COLUMN(INDIRECT(DF319)))),1000)</f>
        <v>11</v>
      </c>
      <c r="EJ319" s="23" cm="1">
        <f t="array" aca="1" ref="EJ319" ca="1">IFERROR(MAX(ABS(ROW(INDIRECT($J319))-ROW(INDIRECT(DG319))),ABS(COLUMN(INDIRECT($J319))-COLUMN(INDIRECT(DG319)))),1000)</f>
        <v>22</v>
      </c>
      <c r="EK319" s="23" cm="1">
        <f t="array" aca="1" ref="EK319" ca="1">IFERROR(MAX(ABS(ROW(INDIRECT($J319))-ROW(INDIRECT(DH319))),ABS(COLUMN(INDIRECT($J319))-COLUMN(INDIRECT(DH319)))),1000)</f>
        <v>12</v>
      </c>
      <c r="EL319" s="23" cm="1">
        <f t="array" aca="1" ref="EL319" ca="1">IFERROR(MAX(ABS(ROW(INDIRECT($J319))-ROW(INDIRECT(DI319))),ABS(COLUMN(INDIRECT($J319))-COLUMN(INDIRECT(DI319)))),1000)</f>
        <v>13</v>
      </c>
      <c r="EM319" s="23" cm="1">
        <f t="array" aca="1" ref="EM319" ca="1">IFERROR(MAX(ABS(ROW(INDIRECT($J319))-ROW(INDIRECT(DJ319))),ABS(COLUMN(INDIRECT($J319))-COLUMN(INDIRECT(DJ319)))),1000)</f>
        <v>14</v>
      </c>
      <c r="EN319" s="23" cm="1">
        <f t="array" aca="1" ref="EN319" ca="1">IFERROR(MAX(ABS(ROW(INDIRECT($J319))-ROW(INDIRECT(DK319))),ABS(COLUMN(INDIRECT($J319))-COLUMN(INDIRECT(DK319)))),1000)</f>
        <v>15</v>
      </c>
      <c r="EP319" s="23">
        <f t="shared" ca="1" si="62"/>
        <v>5</v>
      </c>
      <c r="EQ319" s="23">
        <f t="shared" ca="1" si="63"/>
        <v>1</v>
      </c>
      <c r="ER319" s="23">
        <f t="shared" ca="1" si="64"/>
        <v>10</v>
      </c>
      <c r="ES319" s="23" t="str" cm="1">
        <f t="array" aca="1" ref="ES319" ca="1">INDEX(CR319:DK319,1,ER319)</f>
        <v>B7</v>
      </c>
    </row>
    <row r="320" spans="2:149" ht="22.5" customHeight="1">
      <c r="B320" s="32">
        <f t="shared" si="65"/>
        <v>133</v>
      </c>
      <c r="C320" s="32">
        <v>7</v>
      </c>
      <c r="D320" s="30">
        <v>12</v>
      </c>
      <c r="E320" s="34" t="str">
        <f ca="1"/>
        <v>C23</v>
      </c>
      <c r="F320" s="103"/>
      <c r="G320" s="33">
        <v>22</v>
      </c>
      <c r="H320" s="33" t="s">
        <v>297</v>
      </c>
      <c r="I320" s="33">
        <v>23</v>
      </c>
      <c r="J320" s="33" t="s">
        <v>298</v>
      </c>
      <c r="K320" s="33" t="s">
        <v>191</v>
      </c>
      <c r="L320" s="33" t="s">
        <v>52</v>
      </c>
      <c r="M320" s="33" t="s">
        <v>87</v>
      </c>
      <c r="N320" s="33" t="s">
        <v>190</v>
      </c>
      <c r="O320" s="33" t="s">
        <v>57</v>
      </c>
      <c r="P320" s="33" t="s">
        <v>179</v>
      </c>
      <c r="Q320" s="33" t="s">
        <v>137</v>
      </c>
      <c r="R320" s="33" t="s">
        <v>88</v>
      </c>
      <c r="S320" s="33" t="s">
        <v>81</v>
      </c>
      <c r="T320" s="33" t="s">
        <v>110</v>
      </c>
      <c r="U320" s="33" t="s">
        <v>200</v>
      </c>
      <c r="V320" s="33" t="s">
        <v>61</v>
      </c>
      <c r="W320" s="33" t="s">
        <v>86</v>
      </c>
      <c r="X320" s="33" t="s">
        <v>56</v>
      </c>
      <c r="Y320" s="33" t="s">
        <v>184</v>
      </c>
      <c r="Z320" s="33" t="s">
        <v>86</v>
      </c>
      <c r="AA320" s="33" t="s">
        <v>53</v>
      </c>
      <c r="AB320" s="33" t="s">
        <v>114</v>
      </c>
      <c r="AC320" s="33" t="s">
        <v>65</v>
      </c>
      <c r="AD320" s="33" t="s">
        <v>112</v>
      </c>
      <c r="AF320" s="31" t="str" cm="1">
        <f t="array" aca="1" ref="AF320" ca="1">_xlfn.LET(
_xlpm.x, IF(K$303&gt;$G320,"x",IFERROR(SUBSTITUTE(CELL("adres",OFFSET(INDIRECT(K320),,IF(LEFT(K320)="V",-1,1)*($G320-K$303),1,1)),"$",""),"x")),
_xlpm.y, IFERROR(IF(OR(COLUMN(INDIRECT(_xlpm.x))&gt;21, COLUMN(INDIRECT(_xlpm.x)) &lt;2), "x",_xlpm.x),"x"),
_xlpm.y)</f>
        <v>x</v>
      </c>
      <c r="AG320" s="31" t="str" cm="1">
        <f t="array" aca="1" ref="AG320" ca="1">_xlfn.LET(
_xlpm.x, IF(L$303&gt;$G320,"x",IFERROR(SUBSTITUTE(CELL("adres",OFFSET(INDIRECT(L320),,IF(LEFT(L320)="V",-1,1)*($G320-L$303),1,1)),"$",""),"x")),
_xlpm.y, IFERROR(IF(OR(COLUMN(INDIRECT(_xlpm.x))&gt;21, COLUMN(INDIRECT(_xlpm.x)) &lt;2), "x",_xlpm.x),"x"),
_xlpm.y)</f>
        <v>x</v>
      </c>
      <c r="AH320" s="31" t="str" cm="1">
        <f t="array" aca="1" ref="AH320" ca="1">_xlfn.LET(
_xlpm.x, IF(M$303&gt;$G320,"x",IFERROR(SUBSTITUTE(CELL("adres",OFFSET(INDIRECT(M320),,IF(LEFT(M320)="V",-1,1)*($G320-M$303),1,1)),"$",""),"x")),
_xlpm.y, IFERROR(IF(OR(COLUMN(INDIRECT(_xlpm.x))&gt;21, COLUMN(INDIRECT(_xlpm.x)) &lt;2), "x",_xlpm.x),"x"),
_xlpm.y)</f>
        <v>B8</v>
      </c>
      <c r="AI320" s="31" t="str" cm="1">
        <f t="array" aca="1" ref="AI320" ca="1">_xlfn.LET(
_xlpm.x, IF(N$303&gt;$G320,"x",IFERROR(SUBSTITUTE(CELL("adres",OFFSET(INDIRECT(N320),,IF(LEFT(N320)="V",-1,1)*($G320-N$303),1,1)),"$",""),"x")),
_xlpm.y, IFERROR(IF(OR(COLUMN(INDIRECT(_xlpm.x))&gt;21, COLUMN(INDIRECT(_xlpm.x)) &lt;2), "x",_xlpm.x),"x"),
_xlpm.y)</f>
        <v>T24</v>
      </c>
      <c r="AJ320" s="31" t="str" cm="1">
        <f t="array" aca="1" ref="AJ320" ca="1">_xlfn.LET(
_xlpm.x, IF(O$303&gt;$G320,"x",IFERROR(SUBSTITUTE(CELL("adres",OFFSET(INDIRECT(O320),,IF(LEFT(O320)="V",-1,1)*($G320-O$303),1,1)),"$",""),"x")),
_xlpm.y, IFERROR(IF(OR(COLUMN(INDIRECT(_xlpm.x))&gt;21, COLUMN(INDIRECT(_xlpm.x)) &lt;2), "x",_xlpm.x),"x"),
_xlpm.y)</f>
        <v>S17</v>
      </c>
      <c r="AK320" s="31" t="str" cm="1">
        <f t="array" aca="1" ref="AK320" ca="1">_xlfn.LET(
_xlpm.x, IF(P$303&gt;$G320,"x",IFERROR(SUBSTITUTE(CELL("adres",OFFSET(INDIRECT(P320),,IF(LEFT(P320)="V",-1,1)*($G320-P$303),1,1)),"$",""),"x")),
_xlpm.y, IFERROR(IF(OR(COLUMN(INDIRECT(_xlpm.x))&gt;21, COLUMN(INDIRECT(_xlpm.x)) &lt;2), "x",_xlpm.x),"x"),
_xlpm.y)</f>
        <v>E23</v>
      </c>
      <c r="AL320" s="31" t="str" cm="1">
        <f t="array" aca="1" ref="AL320" ca="1">_xlfn.LET(
_xlpm.x, IF(Q$303&gt;$G320,"x",IFERROR(SUBSTITUTE(CELL("adres",OFFSET(INDIRECT(Q320),,IF(LEFT(Q320)="V",-1,1)*($G320-Q$303),1,1)),"$",""),"x")),
_xlpm.y, IFERROR(IF(OR(COLUMN(INDIRECT(_xlpm.x))&gt;21, COLUMN(INDIRECT(_xlpm.x)) &lt;2), "x",_xlpm.x),"x"),
_xlpm.y)</f>
        <v>F4</v>
      </c>
      <c r="AM320" s="31" t="str" cm="1">
        <f t="array" aca="1" ref="AM320" ca="1">_xlfn.LET(
_xlpm.x, IF(R$303&gt;$G320,"x",IFERROR(SUBSTITUTE(CELL("adres",OFFSET(INDIRECT(R320),,IF(LEFT(R320)="V",-1,1)*($G320-R$303),1,1)),"$",""),"x")),
_xlpm.y, IFERROR(IF(OR(COLUMN(INDIRECT(_xlpm.x))&gt;21, COLUMN(INDIRECT(_xlpm.x)) &lt;2), "x",_xlpm.x),"x"),
_xlpm.y)</f>
        <v>G9</v>
      </c>
      <c r="AN320" s="31" t="str" cm="1">
        <f t="array" aca="1" ref="AN320" ca="1">_xlfn.LET(
_xlpm.x, IF(S$303&gt;$G320,"x",IFERROR(SUBSTITUTE(CELL("adres",OFFSET(INDIRECT(S320),,IF(LEFT(S320)="V",-1,1)*($G320-S$303),1,1)),"$",""),"x")),
_xlpm.y, IFERROR(IF(OR(COLUMN(INDIRECT(_xlpm.x))&gt;21, COLUMN(INDIRECT(_xlpm.x)) &lt;2), "x",_xlpm.x),"x"),
_xlpm.y)</f>
        <v>H12</v>
      </c>
      <c r="AO320" s="31" t="str" cm="1">
        <f t="array" aca="1" ref="AO320" ca="1">_xlfn.LET(
_xlpm.x, IF(T$303&gt;$G320,"x",IFERROR(SUBSTITUTE(CELL("adres",OFFSET(INDIRECT(T320),,IF(LEFT(T320)="V",-1,1)*($G320-T$303),1,1)),"$",""),"x")),
_xlpm.y, IFERROR(IF(OR(COLUMN(INDIRECT(_xlpm.x))&gt;21, COLUMN(INDIRECT(_xlpm.x)) &lt;2), "x",_xlpm.x),"x"),
_xlpm.y)</f>
        <v>N11</v>
      </c>
      <c r="AP320" s="31" t="str" cm="1">
        <f t="array" aca="1" ref="AP320" ca="1">_xlfn.LET(
_xlpm.x, IF(U$303&gt;$G320,"x",IFERROR(SUBSTITUTE(CELL("adres",OFFSET(INDIRECT(U320),,IF(LEFT(U320)="V",-1,1)*($G320-U$303),1,1)),"$",""),"x")),
_xlpm.y, IFERROR(IF(OR(COLUMN(INDIRECT(_xlpm.x))&gt;21, COLUMN(INDIRECT(_xlpm.x)) &lt;2), "x",_xlpm.x),"x"),
_xlpm.y)</f>
        <v>M18</v>
      </c>
      <c r="AQ320" s="31" t="str" cm="1">
        <f t="array" aca="1" ref="AQ320" ca="1">_xlfn.LET(
_xlpm.x, IF(V$303&gt;$G320,"x",IFERROR(SUBSTITUTE(CELL("adres",OFFSET(INDIRECT(V320),,IF(LEFT(V320)="V",-1,1)*($G320-V$303),1,1)),"$",""),"x")),
_xlpm.y, IFERROR(IF(OR(COLUMN(INDIRECT(_xlpm.x))&gt;21, COLUMN(INDIRECT(_xlpm.x)) &lt;2), "x",_xlpm.x),"x"),
_xlpm.y)</f>
        <v>L8</v>
      </c>
      <c r="AR320" s="31" t="str" cm="1">
        <f t="array" aca="1" ref="AR320" ca="1">_xlfn.LET(
_xlpm.x, IF(W$303&gt;$G320,"x",IFERROR(SUBSTITUTE(CELL("adres",OFFSET(INDIRECT(W320),,IF(LEFT(W320)="V",-1,1)*($G320-W$303),1,1)),"$",""),"x")),
_xlpm.y, IFERROR(IF(OR(COLUMN(INDIRECT(_xlpm.x))&gt;21, COLUMN(INDIRECT(_xlpm.x)) &lt;2), "x",_xlpm.x),"x"),
_xlpm.y)</f>
        <v>L17</v>
      </c>
      <c r="AS320" s="31" t="str" cm="1">
        <f t="array" aca="1" ref="AS320" ca="1">_xlfn.LET(
_xlpm.x, IF(X$303&gt;$G320,"x",IFERROR(SUBSTITUTE(CELL("adres",OFFSET(INDIRECT(X320),,IF(LEFT(X320)="V",-1,1)*($G320-X$303),1,1)),"$",""),"x")),
_xlpm.y, IFERROR(IF(OR(COLUMN(INDIRECT(_xlpm.x))&gt;21, COLUMN(INDIRECT(_xlpm.x)) &lt;2), "x",_xlpm.x),"x"),
_xlpm.y)</f>
        <v>J3</v>
      </c>
      <c r="AT320" s="31" t="str" cm="1">
        <f t="array" aca="1" ref="AT320" ca="1">_xlfn.LET(
_xlpm.x, IF(Y$303&gt;$G320,"x",IFERROR(SUBSTITUTE(CELL("adres",OFFSET(INDIRECT(Y320),,IF(LEFT(Y320)="V",-1,1)*($G320-Y$303),1,1)),"$",""),"x")),
_xlpm.y, IFERROR(IF(OR(COLUMN(INDIRECT(_xlpm.x))&gt;21, COLUMN(INDIRECT(_xlpm.x)) &lt;2), "x",_xlpm.x),"x"),
_xlpm.y)</f>
        <v>N19</v>
      </c>
      <c r="AU320" s="31" t="str" cm="1">
        <f t="array" aca="1" ref="AU320" ca="1">_xlfn.LET(
_xlpm.x, IF(Z$303&gt;$G320,"x",IFERROR(SUBSTITUTE(CELL("adres",OFFSET(INDIRECT(Z320),,IF(LEFT(Z320)="V",-1,1)*($G320-Z$303),1,1)),"$",""),"x")),
_xlpm.y, IFERROR(IF(OR(COLUMN(INDIRECT(_xlpm.x))&gt;21, COLUMN(INDIRECT(_xlpm.x)) &lt;2), "x",_xlpm.x),"x"),
_xlpm.y)</f>
        <v>O17</v>
      </c>
      <c r="AV320" s="31" t="str" cm="1">
        <f t="array" aca="1" ref="AV320" ca="1">_xlfn.LET(
_xlpm.x, IF(AA$303&gt;$G320,"x",IFERROR(SUBSTITUTE(CELL("adres",OFFSET(INDIRECT(AA320),,IF(LEFT(AA320)="V",-1,1)*($G320-AA$303),1,1)),"$",""),"x")),
_xlpm.y, IFERROR(IF(OR(COLUMN(INDIRECT(_xlpm.x))&gt;21, COLUMN(INDIRECT(_xlpm.x)) &lt;2), "x",_xlpm.x),"x"),
_xlpm.y)</f>
        <v>G4</v>
      </c>
      <c r="AW320" s="31" t="str" cm="1">
        <f t="array" aca="1" ref="AW320" ca="1">_xlfn.LET(
_xlpm.x, IF(AB$303&gt;$G320,"x",IFERROR(SUBSTITUTE(CELL("adres",OFFSET(INDIRECT(AB320),,IF(LEFT(AB320)="V",-1,1)*($G320-AB$303),1,1)),"$",""),"x")),
_xlpm.y, IFERROR(IF(OR(COLUMN(INDIRECT(_xlpm.x))&gt;21, COLUMN(INDIRECT(_xlpm.x)) &lt;2), "x",_xlpm.x),"x"),
_xlpm.y)</f>
        <v>Q13</v>
      </c>
      <c r="AX320" s="31" t="str" cm="1">
        <f t="array" aca="1" ref="AX320" ca="1">_xlfn.LET(
_xlpm.x, IF(AC$303&gt;$G320,"x",IFERROR(SUBSTITUTE(CELL("adres",OFFSET(INDIRECT(AC320),,IF(LEFT(AC320)="V",-1,1)*($G320-AC$303),1,1)),"$",""),"x")),
_xlpm.y, IFERROR(IF(OR(COLUMN(INDIRECT(_xlpm.x))&gt;21, COLUMN(INDIRECT(_xlpm.x)) &lt;2), "x",_xlpm.x),"x"),
_xlpm.y)</f>
        <v>E12</v>
      </c>
      <c r="AY320" s="31" t="str" cm="1">
        <f t="array" aca="1" ref="AY320" ca="1">_xlfn.LET(
_xlpm.x, IF(AD$303&gt;$G320,"x",IFERROR(SUBSTITUTE(CELL("adres",OFFSET(INDIRECT(AD320),,IF(LEFT(AD320)="V",-1,1)*($G320-AD$303),1,1)),"$",""),"x")),
_xlpm.y, IFERROR(IF(OR(COLUMN(INDIRECT(_xlpm.x))&gt;21, COLUMN(INDIRECT(_xlpm.x)) &lt;2), "x",_xlpm.x),"x"),
_xlpm.y)</f>
        <v>S2</v>
      </c>
      <c r="BB320" s="23" t="str" cm="1">
        <f t="array" aca="1" ref="BB320" ca="1">IFERROR(COLUMN(INDIRECT(AF320)),"x")</f>
        <v>x</v>
      </c>
      <c r="BC320" s="23" t="str" cm="1">
        <f t="array" aca="1" ref="BC320" ca="1">IFERROR(COLUMN(INDIRECT(AG320)),"x")</f>
        <v>x</v>
      </c>
      <c r="BD320" s="23" cm="1">
        <f t="array" aca="1" ref="BD320" ca="1">IFERROR(COLUMN(INDIRECT(AH320)),"x")</f>
        <v>2</v>
      </c>
      <c r="BE320" s="23" cm="1">
        <f t="array" aca="1" ref="BE320" ca="1">IFERROR(COLUMN(INDIRECT(AI320)),"x")</f>
        <v>20</v>
      </c>
      <c r="BF320" s="23" cm="1">
        <f t="array" aca="1" ref="BF320" ca="1">IFERROR(COLUMN(INDIRECT(AJ320)),"x")</f>
        <v>19</v>
      </c>
      <c r="BG320" s="23" cm="1">
        <f t="array" aca="1" ref="BG320" ca="1">IFERROR(COLUMN(INDIRECT(AK320)),"x")</f>
        <v>5</v>
      </c>
      <c r="BH320" s="23" cm="1">
        <f t="array" aca="1" ref="BH320" ca="1">IFERROR(COLUMN(INDIRECT(AL320)),"x")</f>
        <v>6</v>
      </c>
      <c r="BI320" s="23" cm="1">
        <f t="array" aca="1" ref="BI320" ca="1">IFERROR(COLUMN(INDIRECT(AM320)),"x")</f>
        <v>7</v>
      </c>
      <c r="BJ320" s="23" cm="1">
        <f t="array" aca="1" ref="BJ320" ca="1">IFERROR(COLUMN(INDIRECT(AN320)),"x")</f>
        <v>8</v>
      </c>
      <c r="BK320" s="23" cm="1">
        <f t="array" aca="1" ref="BK320" ca="1">IFERROR(COLUMN(INDIRECT(AO320)),"x")</f>
        <v>14</v>
      </c>
      <c r="BL320" s="23" cm="1">
        <f t="array" aca="1" ref="BL320" ca="1">IFERROR(COLUMN(INDIRECT(AP320)),"x")</f>
        <v>13</v>
      </c>
      <c r="BM320" s="23" cm="1">
        <f t="array" aca="1" ref="BM320" ca="1">IFERROR(COLUMN(INDIRECT(AQ320)),"x")</f>
        <v>12</v>
      </c>
      <c r="BN320" s="23" cm="1">
        <f t="array" aca="1" ref="BN320" ca="1">IFERROR(COLUMN(INDIRECT(AR320)),"x")</f>
        <v>12</v>
      </c>
      <c r="BO320" s="23" cm="1">
        <f t="array" aca="1" ref="BO320" ca="1">IFERROR(COLUMN(INDIRECT(AS320)),"x")</f>
        <v>10</v>
      </c>
      <c r="BP320" s="23" cm="1">
        <f t="array" aca="1" ref="BP320" ca="1">IFERROR(COLUMN(INDIRECT(AT320)),"x")</f>
        <v>14</v>
      </c>
      <c r="BQ320" s="23" cm="1">
        <f t="array" aca="1" ref="BQ320" ca="1">IFERROR(COLUMN(INDIRECT(AU320)),"x")</f>
        <v>15</v>
      </c>
      <c r="BR320" s="23" cm="1">
        <f t="array" aca="1" ref="BR320" ca="1">IFERROR(COLUMN(INDIRECT(AV320)),"x")</f>
        <v>7</v>
      </c>
      <c r="BS320" s="23" cm="1">
        <f t="array" aca="1" ref="BS320" ca="1">IFERROR(COLUMN(INDIRECT(AW320)),"x")</f>
        <v>17</v>
      </c>
      <c r="BT320" s="23" cm="1">
        <f t="array" aca="1" ref="BT320" ca="1">IFERROR(COLUMN(INDIRECT(AX320)),"x")</f>
        <v>5</v>
      </c>
      <c r="BU320" s="23" cm="1">
        <f t="array" aca="1" ref="BU320" ca="1">IFERROR(COLUMN(INDIRECT(AY320)),"x")</f>
        <v>19</v>
      </c>
      <c r="BW320" s="23" t="str">
        <f t="shared" ca="1" si="40"/>
        <v>x</v>
      </c>
      <c r="BX320" s="23" t="str">
        <f t="shared" ca="1" si="41"/>
        <v>x</v>
      </c>
      <c r="BY320" s="23">
        <f t="shared" ca="1" si="42"/>
        <v>-1</v>
      </c>
      <c r="BZ320" s="23">
        <f t="shared" ca="1" si="43"/>
        <v>1</v>
      </c>
      <c r="CA320" s="23">
        <f t="shared" ca="1" si="44"/>
        <v>1</v>
      </c>
      <c r="CB320" s="23">
        <f t="shared" ca="1" si="45"/>
        <v>-1</v>
      </c>
      <c r="CC320" s="23">
        <f t="shared" ca="1" si="46"/>
        <v>-1</v>
      </c>
      <c r="CD320" s="23">
        <f t="shared" ca="1" si="47"/>
        <v>-1</v>
      </c>
      <c r="CE320" s="23">
        <f t="shared" ca="1" si="48"/>
        <v>-1</v>
      </c>
      <c r="CF320" s="23">
        <f t="shared" ca="1" si="49"/>
        <v>1</v>
      </c>
      <c r="CG320" s="23">
        <f t="shared" ca="1" si="50"/>
        <v>1</v>
      </c>
      <c r="CH320" s="23">
        <f t="shared" ca="1" si="51"/>
        <v>1</v>
      </c>
      <c r="CI320" s="23">
        <f t="shared" ca="1" si="52"/>
        <v>1</v>
      </c>
      <c r="CJ320" s="23">
        <f t="shared" ca="1" si="53"/>
        <v>-1</v>
      </c>
      <c r="CK320" s="23">
        <f t="shared" ca="1" si="54"/>
        <v>1</v>
      </c>
      <c r="CL320" s="23">
        <f t="shared" ca="1" si="55"/>
        <v>1</v>
      </c>
      <c r="CM320" s="23">
        <f t="shared" ca="1" si="56"/>
        <v>-1</v>
      </c>
      <c r="CN320" s="23">
        <f t="shared" ca="1" si="57"/>
        <v>1</v>
      </c>
      <c r="CO320" s="23">
        <f t="shared" ca="1" si="58"/>
        <v>-1</v>
      </c>
      <c r="CP320" s="23">
        <f t="shared" ca="1" si="59"/>
        <v>1</v>
      </c>
      <c r="CQ320" s="75"/>
      <c r="CR320" s="23" t="str" cm="1">
        <f t="array" aca="1" ref="CR320" ca="1">_xlfn.LET(
_xlpm.x, IFERROR(SUBSTITUTE(CELL("adres",OFFSET(INDIRECT(AF320),,BW320*($I320-$G320)*2,1,1)),"$",""),"x"),
_xlpm.y, IFERROR(IF(OR(COLUMN(INDIRECT(_xlpm.x))&gt;21, COLUMN(INDIRECT(_xlpm.x))&lt;2),"x",_xlpm.x), "x"),
_xlpm.y)</f>
        <v>x</v>
      </c>
      <c r="CS320" s="23" t="str" cm="1">
        <f t="array" aca="1" ref="CS320" ca="1">_xlfn.LET(
_xlpm.x, IFERROR(SUBSTITUTE(CELL("adres",OFFSET(INDIRECT(AG320),,BX320*($I320-$G320)*2,1,1)),"$",""),"x"),
_xlpm.y, IFERROR(IF(OR(COLUMN(INDIRECT(_xlpm.x))&gt;21, COLUMN(INDIRECT(_xlpm.x))&lt;2),"x",_xlpm.x), "x"),
_xlpm.y)</f>
        <v>x</v>
      </c>
      <c r="CT320" s="23" t="str" cm="1">
        <f t="array" aca="1" ref="CT320" ca="1">_xlfn.LET(
_xlpm.x, IFERROR(SUBSTITUTE(CELL("adres",OFFSET(INDIRECT(AH320),,BY320*($I320-$G320)*2,1,1)),"$",""),"x"),
_xlpm.y, IFERROR(IF(OR(COLUMN(INDIRECT(_xlpm.x))&gt;21, COLUMN(INDIRECT(_xlpm.x))&lt;2),"x",_xlpm.x), "x"),
_xlpm.y)</f>
        <v>x</v>
      </c>
      <c r="CU320" s="23" t="str" cm="1">
        <f t="array" aca="1" ref="CU320" ca="1">_xlfn.LET(
_xlpm.x, IFERROR(SUBSTITUTE(CELL("adres",OFFSET(INDIRECT(AI320),,BZ320*($I320-$G320)*2,1,1)),"$",""),"x"),
_xlpm.y, IFERROR(IF(OR(COLUMN(INDIRECT(_xlpm.x))&gt;21, COLUMN(INDIRECT(_xlpm.x))&lt;2),"x",_xlpm.x), "x"),
_xlpm.y)</f>
        <v>x</v>
      </c>
      <c r="CV320" s="23" t="str" cm="1">
        <f t="array" aca="1" ref="CV320" ca="1">_xlfn.LET(
_xlpm.x, IFERROR(SUBSTITUTE(CELL("adres",OFFSET(INDIRECT(AJ320),,CA320*($I320-$G320)*2,1,1)),"$",""),"x"),
_xlpm.y, IFERROR(IF(OR(COLUMN(INDIRECT(_xlpm.x))&gt;21, COLUMN(INDIRECT(_xlpm.x))&lt;2),"x",_xlpm.x), "x"),
_xlpm.y)</f>
        <v>U17</v>
      </c>
      <c r="CW320" s="23" t="str" cm="1">
        <f t="array" aca="1" ref="CW320" ca="1">_xlfn.LET(
_xlpm.x, IFERROR(SUBSTITUTE(CELL("adres",OFFSET(INDIRECT(AK320),,CB320*($I320-$G320)*2,1,1)),"$",""),"x"),
_xlpm.y, IFERROR(IF(OR(COLUMN(INDIRECT(_xlpm.x))&gt;21, COLUMN(INDIRECT(_xlpm.x))&lt;2),"x",_xlpm.x), "x"),
_xlpm.y)</f>
        <v>C23</v>
      </c>
      <c r="CX320" s="23" t="str" cm="1">
        <f t="array" aca="1" ref="CX320" ca="1">_xlfn.LET(
_xlpm.x, IFERROR(SUBSTITUTE(CELL("adres",OFFSET(INDIRECT(AL320),,CC320*($I320-$G320)*2,1,1)),"$",""),"x"),
_xlpm.y, IFERROR(IF(OR(COLUMN(INDIRECT(_xlpm.x))&gt;21, COLUMN(INDIRECT(_xlpm.x))&lt;2),"x",_xlpm.x), "x"),
_xlpm.y)</f>
        <v>D4</v>
      </c>
      <c r="CY320" s="23" t="str" cm="1">
        <f t="array" aca="1" ref="CY320" ca="1">_xlfn.LET(
_xlpm.x, IFERROR(SUBSTITUTE(CELL("adres",OFFSET(INDIRECT(AM320),,CD320*($I320-$G320)*2,1,1)),"$",""),"x"),
_xlpm.y, IFERROR(IF(OR(COLUMN(INDIRECT(_xlpm.x))&gt;21, COLUMN(INDIRECT(_xlpm.x))&lt;2),"x",_xlpm.x), "x"),
_xlpm.y)</f>
        <v>E9</v>
      </c>
      <c r="CZ320" s="23" t="str" cm="1">
        <f t="array" aca="1" ref="CZ320" ca="1">_xlfn.LET(
_xlpm.x, IFERROR(SUBSTITUTE(CELL("adres",OFFSET(INDIRECT(AN320),,CE320*($I320-$G320)*2,1,1)),"$",""),"x"),
_xlpm.y, IFERROR(IF(OR(COLUMN(INDIRECT(_xlpm.x))&gt;21, COLUMN(INDIRECT(_xlpm.x))&lt;2),"x",_xlpm.x), "x"),
_xlpm.y)</f>
        <v>F12</v>
      </c>
      <c r="DA320" s="23" t="str" cm="1">
        <f t="array" aca="1" ref="DA320" ca="1">_xlfn.LET(
_xlpm.x, IFERROR(SUBSTITUTE(CELL("adres",OFFSET(INDIRECT(AO320),,CF320*($I320-$G320)*2,1,1)),"$",""),"x"),
_xlpm.y, IFERROR(IF(OR(COLUMN(INDIRECT(_xlpm.x))&gt;21, COLUMN(INDIRECT(_xlpm.x))&lt;2),"x",_xlpm.x), "x"),
_xlpm.y)</f>
        <v>P11</v>
      </c>
      <c r="DB320" s="23" t="str" cm="1">
        <f t="array" aca="1" ref="DB320" ca="1">_xlfn.LET(
_xlpm.x, IFERROR(SUBSTITUTE(CELL("adres",OFFSET(INDIRECT(AP320),,CG320*($I320-$G320)*2,1,1)),"$",""),"x"),
_xlpm.y, IFERROR(IF(OR(COLUMN(INDIRECT(_xlpm.x))&gt;21, COLUMN(INDIRECT(_xlpm.x))&lt;2),"x",_xlpm.x), "x"),
_xlpm.y)</f>
        <v>O18</v>
      </c>
      <c r="DC320" s="23" t="str" cm="1">
        <f t="array" aca="1" ref="DC320" ca="1">_xlfn.LET(
_xlpm.x, IFERROR(SUBSTITUTE(CELL("adres",OFFSET(INDIRECT(AQ320),,CH320*($I320-$G320)*2,1,1)),"$",""),"x"),
_xlpm.y, IFERROR(IF(OR(COLUMN(INDIRECT(_xlpm.x))&gt;21, COLUMN(INDIRECT(_xlpm.x))&lt;2),"x",_xlpm.x), "x"),
_xlpm.y)</f>
        <v>N8</v>
      </c>
      <c r="DD320" s="23" t="str" cm="1">
        <f t="array" aca="1" ref="DD320" ca="1">_xlfn.LET(
_xlpm.x, IFERROR(SUBSTITUTE(CELL("adres",OFFSET(INDIRECT(AR320),,CI320*($I320-$G320)*2,1,1)),"$",""),"x"),
_xlpm.y, IFERROR(IF(OR(COLUMN(INDIRECT(_xlpm.x))&gt;21, COLUMN(INDIRECT(_xlpm.x))&lt;2),"x",_xlpm.x), "x"),
_xlpm.y)</f>
        <v>N17</v>
      </c>
      <c r="DE320" s="23" t="str" cm="1">
        <f t="array" aca="1" ref="DE320" ca="1">_xlfn.LET(
_xlpm.x, IFERROR(SUBSTITUTE(CELL("adres",OFFSET(INDIRECT(AS320),,CJ320*($I320-$G320)*2,1,1)),"$",""),"x"),
_xlpm.y, IFERROR(IF(OR(COLUMN(INDIRECT(_xlpm.x))&gt;21, COLUMN(INDIRECT(_xlpm.x))&lt;2),"x",_xlpm.x), "x"),
_xlpm.y)</f>
        <v>H3</v>
      </c>
      <c r="DF320" s="23" t="str" cm="1">
        <f t="array" aca="1" ref="DF320" ca="1">_xlfn.LET(
_xlpm.x, IFERROR(SUBSTITUTE(CELL("adres",OFFSET(INDIRECT(AT320),,CK320*($I320-$G320)*2,1,1)),"$",""),"x"),
_xlpm.y, IFERROR(IF(OR(COLUMN(INDIRECT(_xlpm.x))&gt;21, COLUMN(INDIRECT(_xlpm.x))&lt;2),"x",_xlpm.x), "x"),
_xlpm.y)</f>
        <v>P19</v>
      </c>
      <c r="DG320" s="23" t="str" cm="1">
        <f t="array" aca="1" ref="DG320" ca="1">_xlfn.LET(
_xlpm.x, IFERROR(SUBSTITUTE(CELL("adres",OFFSET(INDIRECT(AU320),,CL320*($I320-$G320)*2,1,1)),"$",""),"x"),
_xlpm.y, IFERROR(IF(OR(COLUMN(INDIRECT(_xlpm.x))&gt;21, COLUMN(INDIRECT(_xlpm.x))&lt;2),"x",_xlpm.x), "x"),
_xlpm.y)</f>
        <v>Q17</v>
      </c>
      <c r="DH320" s="23" t="str" cm="1">
        <f t="array" aca="1" ref="DH320" ca="1">_xlfn.LET(
_xlpm.x, IFERROR(SUBSTITUTE(CELL("adres",OFFSET(INDIRECT(AV320),,CM320*($I320-$G320)*2,1,1)),"$",""),"x"),
_xlpm.y, IFERROR(IF(OR(COLUMN(INDIRECT(_xlpm.x))&gt;21, COLUMN(INDIRECT(_xlpm.x))&lt;2),"x",_xlpm.x), "x"),
_xlpm.y)</f>
        <v>E4</v>
      </c>
      <c r="DI320" s="23" t="str" cm="1">
        <f t="array" aca="1" ref="DI320" ca="1">_xlfn.LET(
_xlpm.x, IFERROR(SUBSTITUTE(CELL("adres",OFFSET(INDIRECT(AW320),,CN320*($I320-$G320)*2,1,1)),"$",""),"x"),
_xlpm.y, IFERROR(IF(OR(COLUMN(INDIRECT(_xlpm.x))&gt;21, COLUMN(INDIRECT(_xlpm.x))&lt;2),"x",_xlpm.x), "x"),
_xlpm.y)</f>
        <v>S13</v>
      </c>
      <c r="DJ320" s="23" t="str" cm="1">
        <f t="array" aca="1" ref="DJ320" ca="1">_xlfn.LET(
_xlpm.x, IFERROR(SUBSTITUTE(CELL("adres",OFFSET(INDIRECT(AX320),,CO320*($I320-$G320)*2,1,1)),"$",""),"x"),
_xlpm.y, IFERROR(IF(OR(COLUMN(INDIRECT(_xlpm.x))&gt;21, COLUMN(INDIRECT(_xlpm.x))&lt;2),"x",_xlpm.x), "x"),
_xlpm.y)</f>
        <v>C12</v>
      </c>
      <c r="DK320" s="23" t="str" cm="1">
        <f t="array" aca="1" ref="DK320" ca="1">_xlfn.LET(
_xlpm.x, IFERROR(SUBSTITUTE(CELL("adres",OFFSET(INDIRECT(AY320),,CP320*($I320-$G320)*2,1,1)),"$",""),"x"),
_xlpm.y, IFERROR(IF(OR(COLUMN(INDIRECT(_xlpm.x))&gt;21, COLUMN(INDIRECT(_xlpm.x))&lt;2),"x",_xlpm.x), "x"),
_xlpm.y)</f>
        <v>U2</v>
      </c>
      <c r="DM320" s="23" t="e" cm="1">
        <f t="array" aca="1" ref="DM320" ca="1">ROW(INDIRECT(CR320))</f>
        <v>#REF!</v>
      </c>
      <c r="DN320" s="23" cm="1">
        <f t="array" aca="1" ref="DN320" ca="1">ROW(INDIRECT(J320))</f>
        <v>21</v>
      </c>
      <c r="DO320" s="23" t="e">
        <f t="shared" ca="1" si="60"/>
        <v>#REF!</v>
      </c>
      <c r="DP320" s="23" t="e" cm="1">
        <f t="array" aca="1" ref="DP320" ca="1">COLUMN(INDIRECT(CR320))</f>
        <v>#REF!</v>
      </c>
      <c r="DQ320" s="23" cm="1">
        <f t="array" aca="1" ref="DQ320" ca="1">COLUMN(INDIRECT(J320))</f>
        <v>4</v>
      </c>
      <c r="DR320" s="23" t="e">
        <f t="shared" ca="1" si="61"/>
        <v>#REF!</v>
      </c>
      <c r="DS320" s="23">
        <f t="shared" ca="1" si="39"/>
        <v>1000</v>
      </c>
      <c r="DU320" s="23" cm="1">
        <f t="array" aca="1" ref="DU320" ca="1">IFERROR(MAX(ABS(ROW(INDIRECT($J320))-ROW(INDIRECT(CR320))),ABS(COLUMN(INDIRECT($J320))-COLUMN(INDIRECT(CR320)))),1000)</f>
        <v>1000</v>
      </c>
      <c r="DV320" s="23" cm="1">
        <f t="array" aca="1" ref="DV320" ca="1">IFERROR(MAX(ABS(ROW(INDIRECT($J320))-ROW(INDIRECT(CS320))),ABS(COLUMN(INDIRECT($J320))-COLUMN(INDIRECT(CS320)))),1000)</f>
        <v>1000</v>
      </c>
      <c r="DW320" s="23" cm="1">
        <f t="array" aca="1" ref="DW320" ca="1">IFERROR(MAX(ABS(ROW(INDIRECT($J320))-ROW(INDIRECT(CT320))),ABS(COLUMN(INDIRECT($J320))-COLUMN(INDIRECT(CT320)))),1000)</f>
        <v>1000</v>
      </c>
      <c r="DX320" s="23" cm="1">
        <f t="array" aca="1" ref="DX320" ca="1">IFERROR(MAX(ABS(ROW(INDIRECT($J320))-ROW(INDIRECT(CU320))),ABS(COLUMN(INDIRECT($J320))-COLUMN(INDIRECT(CU320)))),1000)</f>
        <v>1000</v>
      </c>
      <c r="DY320" s="23" cm="1">
        <f t="array" aca="1" ref="DY320" ca="1">IFERROR(MAX(ABS(ROW(INDIRECT($J320))-ROW(INDIRECT(CV320))),ABS(COLUMN(INDIRECT($J320))-COLUMN(INDIRECT(CV320)))),1000)</f>
        <v>17</v>
      </c>
      <c r="DZ320" s="23" cm="1">
        <f t="array" aca="1" ref="DZ320" ca="1">IFERROR(MAX(ABS(ROW(INDIRECT($J320))-ROW(INDIRECT(CW320))),ABS(COLUMN(INDIRECT($J320))-COLUMN(INDIRECT(CW320)))),1000)</f>
        <v>2</v>
      </c>
      <c r="EA320" s="23" cm="1">
        <f t="array" aca="1" ref="EA320" ca="1">IFERROR(MAX(ABS(ROW(INDIRECT($J320))-ROW(INDIRECT(CX320))),ABS(COLUMN(INDIRECT($J320))-COLUMN(INDIRECT(CX320)))),1000)</f>
        <v>17</v>
      </c>
      <c r="EB320" s="23" cm="1">
        <f t="array" aca="1" ref="EB320" ca="1">IFERROR(MAX(ABS(ROW(INDIRECT($J320))-ROW(INDIRECT(CY320))),ABS(COLUMN(INDIRECT($J320))-COLUMN(INDIRECT(CY320)))),1000)</f>
        <v>12</v>
      </c>
      <c r="EC320" s="23" cm="1">
        <f t="array" aca="1" ref="EC320" ca="1">IFERROR(MAX(ABS(ROW(INDIRECT($J320))-ROW(INDIRECT(CZ320))),ABS(COLUMN(INDIRECT($J320))-COLUMN(INDIRECT(CZ320)))),1000)</f>
        <v>9</v>
      </c>
      <c r="ED320" s="23" cm="1">
        <f t="array" aca="1" ref="ED320" ca="1">IFERROR(MAX(ABS(ROW(INDIRECT($J320))-ROW(INDIRECT(DA320))),ABS(COLUMN(INDIRECT($J320))-COLUMN(INDIRECT(DA320)))),1000)</f>
        <v>12</v>
      </c>
      <c r="EE320" s="23" cm="1">
        <f t="array" aca="1" ref="EE320" ca="1">IFERROR(MAX(ABS(ROW(INDIRECT($J320))-ROW(INDIRECT(DB320))),ABS(COLUMN(INDIRECT($J320))-COLUMN(INDIRECT(DB320)))),1000)</f>
        <v>11</v>
      </c>
      <c r="EF320" s="23" cm="1">
        <f t="array" aca="1" ref="EF320" ca="1">IFERROR(MAX(ABS(ROW(INDIRECT($J320))-ROW(INDIRECT(DC320))),ABS(COLUMN(INDIRECT($J320))-COLUMN(INDIRECT(DC320)))),1000)</f>
        <v>13</v>
      </c>
      <c r="EG320" s="23" cm="1">
        <f t="array" aca="1" ref="EG320" ca="1">IFERROR(MAX(ABS(ROW(INDIRECT($J320))-ROW(INDIRECT(DD320))),ABS(COLUMN(INDIRECT($J320))-COLUMN(INDIRECT(DD320)))),1000)</f>
        <v>10</v>
      </c>
      <c r="EH320" s="23" cm="1">
        <f t="array" aca="1" ref="EH320" ca="1">IFERROR(MAX(ABS(ROW(INDIRECT($J320))-ROW(INDIRECT(DE320))),ABS(COLUMN(INDIRECT($J320))-COLUMN(INDIRECT(DE320)))),1000)</f>
        <v>18</v>
      </c>
      <c r="EI320" s="23" cm="1">
        <f t="array" aca="1" ref="EI320" ca="1">IFERROR(MAX(ABS(ROW(INDIRECT($J320))-ROW(INDIRECT(DF320))),ABS(COLUMN(INDIRECT($J320))-COLUMN(INDIRECT(DF320)))),1000)</f>
        <v>12</v>
      </c>
      <c r="EJ320" s="23" cm="1">
        <f t="array" aca="1" ref="EJ320" ca="1">IFERROR(MAX(ABS(ROW(INDIRECT($J320))-ROW(INDIRECT(DG320))),ABS(COLUMN(INDIRECT($J320))-COLUMN(INDIRECT(DG320)))),1000)</f>
        <v>13</v>
      </c>
      <c r="EK320" s="23" cm="1">
        <f t="array" aca="1" ref="EK320" ca="1">IFERROR(MAX(ABS(ROW(INDIRECT($J320))-ROW(INDIRECT(DH320))),ABS(COLUMN(INDIRECT($J320))-COLUMN(INDIRECT(DH320)))),1000)</f>
        <v>17</v>
      </c>
      <c r="EL320" s="23" cm="1">
        <f t="array" aca="1" ref="EL320" ca="1">IFERROR(MAX(ABS(ROW(INDIRECT($J320))-ROW(INDIRECT(DI320))),ABS(COLUMN(INDIRECT($J320))-COLUMN(INDIRECT(DI320)))),1000)</f>
        <v>15</v>
      </c>
      <c r="EM320" s="23" cm="1">
        <f t="array" aca="1" ref="EM320" ca="1">IFERROR(MAX(ABS(ROW(INDIRECT($J320))-ROW(INDIRECT(DJ320))),ABS(COLUMN(INDIRECT($J320))-COLUMN(INDIRECT(DJ320)))),1000)</f>
        <v>9</v>
      </c>
      <c r="EN320" s="23" cm="1">
        <f t="array" aca="1" ref="EN320" ca="1">IFERROR(MAX(ABS(ROW(INDIRECT($J320))-ROW(INDIRECT(DK320))),ABS(COLUMN(INDIRECT($J320))-COLUMN(INDIRECT(DK320)))),1000)</f>
        <v>19</v>
      </c>
      <c r="EP320" s="23">
        <f t="shared" ca="1" si="62"/>
        <v>2</v>
      </c>
      <c r="EQ320" s="23">
        <f t="shared" ca="1" si="63"/>
        <v>1</v>
      </c>
      <c r="ER320" s="23">
        <f t="shared" ca="1" si="64"/>
        <v>6</v>
      </c>
      <c r="ES320" s="23" t="str" cm="1">
        <f t="array" aca="1" ref="ES320" ca="1">INDEX(CR320:DK320,1,ER320)</f>
        <v>C23</v>
      </c>
    </row>
    <row r="321" spans="2:149" ht="22.5" customHeight="1">
      <c r="B321" s="32">
        <f t="shared" si="65"/>
        <v>134</v>
      </c>
      <c r="C321" s="32">
        <v>7</v>
      </c>
      <c r="D321" s="30">
        <v>12</v>
      </c>
      <c r="E321" s="34" t="str">
        <f ca="1"/>
        <v>C11</v>
      </c>
      <c r="F321" s="103"/>
      <c r="G321" s="33">
        <v>30</v>
      </c>
      <c r="H321" s="33" t="s">
        <v>299</v>
      </c>
      <c r="I321" s="33">
        <v>32</v>
      </c>
      <c r="J321" s="33" t="s">
        <v>300</v>
      </c>
      <c r="K321" s="33" t="s">
        <v>155</v>
      </c>
      <c r="L321" s="33" t="s">
        <v>57</v>
      </c>
      <c r="M321" s="33" t="s">
        <v>62</v>
      </c>
      <c r="N321" s="33" t="s">
        <v>112</v>
      </c>
      <c r="O321" s="33" t="s">
        <v>86</v>
      </c>
      <c r="P321" s="33" t="s">
        <v>55</v>
      </c>
      <c r="Q321" s="33" t="s">
        <v>59</v>
      </c>
      <c r="R321" s="33" t="s">
        <v>57</v>
      </c>
      <c r="S321" s="33" t="s">
        <v>113</v>
      </c>
      <c r="T321" s="33" t="s">
        <v>85</v>
      </c>
      <c r="U321" s="33" t="s">
        <v>93</v>
      </c>
      <c r="V321" s="33" t="s">
        <v>115</v>
      </c>
      <c r="W321" s="33" t="s">
        <v>111</v>
      </c>
      <c r="X321" s="33" t="s">
        <v>91</v>
      </c>
      <c r="Y321" s="33" t="s">
        <v>89</v>
      </c>
      <c r="Z321" s="33" t="s">
        <v>144</v>
      </c>
      <c r="AA321" s="33" t="s">
        <v>155</v>
      </c>
      <c r="AB321" s="33" t="s">
        <v>179</v>
      </c>
      <c r="AC321" s="33" t="s">
        <v>137</v>
      </c>
      <c r="AD321" s="33" t="s">
        <v>191</v>
      </c>
      <c r="AF321" s="31" t="str" cm="1">
        <f t="array" aca="1" ref="AF321" ca="1">_xlfn.LET(
_xlpm.x, IF(K$303&gt;$G321,"x",IFERROR(SUBSTITUTE(CELL("adres",OFFSET(INDIRECT(K321),,IF(LEFT(K321)="V",-1,1)*($G321-K$303),1,1)),"$",""),"x")),
_xlpm.y, IFERROR(IF(OR(COLUMN(INDIRECT(_xlpm.x))&gt;21, COLUMN(INDIRECT(_xlpm.x)) &lt;2), "x",_xlpm.x),"x"),
_xlpm.y)</f>
        <v>x</v>
      </c>
      <c r="AG321" s="31" t="str" cm="1">
        <f t="array" aca="1" ref="AG321" ca="1">_xlfn.LET(
_xlpm.x, IF(L$303&gt;$G321,"x",IFERROR(SUBSTITUTE(CELL("adres",OFFSET(INDIRECT(L321),,IF(LEFT(L321)="V",-1,1)*($G321-L$303),1,1)),"$",""),"x")),
_xlpm.y, IFERROR(IF(OR(COLUMN(INDIRECT(_xlpm.x))&gt;21, COLUMN(INDIRECT(_xlpm.x)) &lt;2), "x",_xlpm.x),"x"),
_xlpm.y)</f>
        <v>x</v>
      </c>
      <c r="AH321" s="31" t="str" cm="1">
        <f t="array" aca="1" ref="AH321" ca="1">_xlfn.LET(
_xlpm.x, IF(M$303&gt;$G321,"x",IFERROR(SUBSTITUTE(CELL("adres",OFFSET(INDIRECT(M321),,IF(LEFT(M321)="V",-1,1)*($G321-M$303),1,1)),"$",""),"x")),
_xlpm.y, IFERROR(IF(OR(COLUMN(INDIRECT(_xlpm.x))&gt;21, COLUMN(INDIRECT(_xlpm.x)) &lt;2), "x",_xlpm.x),"x"),
_xlpm.y)</f>
        <v>x</v>
      </c>
      <c r="AI321" s="31" t="str" cm="1">
        <f t="array" aca="1" ref="AI321" ca="1">_xlfn.LET(
_xlpm.x, IF(N$303&gt;$G321,"x",IFERROR(SUBSTITUTE(CELL("adres",OFFSET(INDIRECT(N321),,IF(LEFT(N321)="V",-1,1)*($G321-N$303),1,1)),"$",""),"x")),
_xlpm.y, IFERROR(IF(OR(COLUMN(INDIRECT(_xlpm.x))&gt;21, COLUMN(INDIRECT(_xlpm.x)) &lt;2), "x",_xlpm.x),"x"),
_xlpm.y)</f>
        <v>x</v>
      </c>
      <c r="AJ321" s="31" t="str" cm="1">
        <f t="array" aca="1" ref="AJ321" ca="1">_xlfn.LET(
_xlpm.x, IF(O$303&gt;$G321,"x",IFERROR(SUBSTITUTE(CELL("adres",OFFSET(INDIRECT(O321),,IF(LEFT(O321)="V",-1,1)*($G321-O$303),1,1)),"$",""),"x")),
_xlpm.y, IFERROR(IF(OR(COLUMN(INDIRECT(_xlpm.x))&gt;21, COLUMN(INDIRECT(_xlpm.x)) &lt;2), "x",_xlpm.x),"x"),
_xlpm.y)</f>
        <v>x</v>
      </c>
      <c r="AK321" s="31" t="str" cm="1">
        <f t="array" aca="1" ref="AK321" ca="1">_xlfn.LET(
_xlpm.x, IF(P$303&gt;$G321,"x",IFERROR(SUBSTITUTE(CELL("adres",OFFSET(INDIRECT(P321),,IF(LEFT(P321)="V",-1,1)*($G321-P$303),1,1)),"$",""),"x")),
_xlpm.y, IFERROR(IF(OR(COLUMN(INDIRECT(_xlpm.x))&gt;21, COLUMN(INDIRECT(_xlpm.x)) &lt;2), "x",_xlpm.x),"x"),
_xlpm.y)</f>
        <v>x</v>
      </c>
      <c r="AL321" s="31" t="str" cm="1">
        <f t="array" aca="1" ref="AL321" ca="1">_xlfn.LET(
_xlpm.x, IF(Q$303&gt;$G321,"x",IFERROR(SUBSTITUTE(CELL("adres",OFFSET(INDIRECT(Q321),,IF(LEFT(Q321)="V",-1,1)*($G321-Q$303),1,1)),"$",""),"x")),
_xlpm.y, IFERROR(IF(OR(COLUMN(INDIRECT(_xlpm.x))&gt;21, COLUMN(INDIRECT(_xlpm.x)) &lt;2), "x",_xlpm.x),"x"),
_xlpm.y)</f>
        <v>x</v>
      </c>
      <c r="AM321" s="31" t="str" cm="1">
        <f t="array" aca="1" ref="AM321" ca="1">_xlfn.LET(
_xlpm.x, IF(R$303&gt;$G321,"x",IFERROR(SUBSTITUTE(CELL("adres",OFFSET(INDIRECT(R321),,IF(LEFT(R321)="V",-1,1)*($G321-R$303),1,1)),"$",""),"x")),
_xlpm.y, IFERROR(IF(OR(COLUMN(INDIRECT(_xlpm.x))&gt;21, COLUMN(INDIRECT(_xlpm.x)) &lt;2), "x",_xlpm.x),"x"),
_xlpm.y)</f>
        <v>x</v>
      </c>
      <c r="AN321" s="31" t="str" cm="1">
        <f t="array" aca="1" ref="AN321" ca="1">_xlfn.LET(
_xlpm.x, IF(S$303&gt;$G321,"x",IFERROR(SUBSTITUTE(CELL("adres",OFFSET(INDIRECT(S321),,IF(LEFT(S321)="V",-1,1)*($G321-S$303),1,1)),"$",""),"x")),
_xlpm.y, IFERROR(IF(OR(COLUMN(INDIRECT(_xlpm.x))&gt;21, COLUMN(INDIRECT(_xlpm.x)) &lt;2), "x",_xlpm.x),"x"),
_xlpm.y)</f>
        <v>x</v>
      </c>
      <c r="AO321" s="31" t="str" cm="1">
        <f t="array" aca="1" ref="AO321" ca="1">_xlfn.LET(
_xlpm.x, IF(T$303&gt;$G321,"x",IFERROR(SUBSTITUTE(CELL("adres",OFFSET(INDIRECT(T321),,IF(LEFT(T321)="V",-1,1)*($G321-T$303),1,1)),"$",""),"x")),
_xlpm.y, IFERROR(IF(OR(COLUMN(INDIRECT(_xlpm.x))&gt;21, COLUMN(INDIRECT(_xlpm.x)) &lt;2), "x",_xlpm.x),"x"),
_xlpm.y)</f>
        <v>x</v>
      </c>
      <c r="AP321" s="31" t="str" cm="1">
        <f t="array" aca="1" ref="AP321" ca="1">_xlfn.LET(
_xlpm.x, IF(U$303&gt;$G321,"x",IFERROR(SUBSTITUTE(CELL("adres",OFFSET(INDIRECT(U321),,IF(LEFT(U321)="V",-1,1)*($G321-U$303),1,1)),"$",""),"x")),
_xlpm.y, IFERROR(IF(OR(COLUMN(INDIRECT(_xlpm.x))&gt;21, COLUMN(INDIRECT(_xlpm.x)) &lt;2), "x",_xlpm.x),"x"),
_xlpm.y)</f>
        <v>B10</v>
      </c>
      <c r="AQ321" s="31" t="str" cm="1">
        <f t="array" aca="1" ref="AQ321" ca="1">_xlfn.LET(
_xlpm.x, IF(V$303&gt;$G321,"x",IFERROR(SUBSTITUTE(CELL("adres",OFFSET(INDIRECT(V321),,IF(LEFT(V321)="V",-1,1)*($G321-V$303),1,1)),"$",""),"x")),
_xlpm.y, IFERROR(IF(OR(COLUMN(INDIRECT(_xlpm.x))&gt;21, COLUMN(INDIRECT(_xlpm.x)) &lt;2), "x",_xlpm.x),"x"),
_xlpm.y)</f>
        <v>T2</v>
      </c>
      <c r="AR321" s="31" t="str" cm="1">
        <f t="array" aca="1" ref="AR321" ca="1">_xlfn.LET(
_xlpm.x, IF(W$303&gt;$G321,"x",IFERROR(SUBSTITUTE(CELL("adres",OFFSET(INDIRECT(W321),,IF(LEFT(W321)="V",-1,1)*($G321-W$303),1,1)),"$",""),"x")),
_xlpm.y, IFERROR(IF(OR(COLUMN(INDIRECT(_xlpm.x))&gt;21, COLUMN(INDIRECT(_xlpm.x)) &lt;2), "x",_xlpm.x),"x"),
_xlpm.y)</f>
        <v>D18</v>
      </c>
      <c r="AS321" s="31" t="str" cm="1">
        <f t="array" aca="1" ref="AS321" ca="1">_xlfn.LET(
_xlpm.x, IF(X$303&gt;$G321,"x",IFERROR(SUBSTITUTE(CELL("adres",OFFSET(INDIRECT(X321),,IF(LEFT(X321)="V",-1,1)*($G321-X$303),1,1)),"$",""),"x")),
_xlpm.y, IFERROR(IF(OR(COLUMN(INDIRECT(_xlpm.x))&gt;21, COLUMN(INDIRECT(_xlpm.x)) &lt;2), "x",_xlpm.x),"x"),
_xlpm.y)</f>
        <v>E3</v>
      </c>
      <c r="AT321" s="31" t="str" cm="1">
        <f t="array" aca="1" ref="AT321" ca="1">_xlfn.LET(
_xlpm.x, IF(Y$303&gt;$G321,"x",IFERROR(SUBSTITUTE(CELL("adres",OFFSET(INDIRECT(Y321),,IF(LEFT(Y321)="V",-1,1)*($G321-Y$303),1,1)),"$",""),"x")),
_xlpm.y, IFERROR(IF(OR(COLUMN(INDIRECT(_xlpm.x))&gt;21, COLUMN(INDIRECT(_xlpm.x)) &lt;2), "x",_xlpm.x),"x"),
_xlpm.y)</f>
        <v>F22</v>
      </c>
      <c r="AU321" s="31" t="str" cm="1">
        <f t="array" aca="1" ref="AU321" ca="1">_xlfn.LET(
_xlpm.x, IF(Z$303&gt;$G321,"x",IFERROR(SUBSTITUTE(CELL("adres",OFFSET(INDIRECT(Z321),,IF(LEFT(Z321)="V",-1,1)*($G321-Z$303),1,1)),"$",""),"x")),
_xlpm.y, IFERROR(IF(OR(COLUMN(INDIRECT(_xlpm.x))&gt;21, COLUMN(INDIRECT(_xlpm.x)) &lt;2), "x",_xlpm.x),"x"),
_xlpm.y)</f>
        <v>G11</v>
      </c>
      <c r="AV321" s="31" t="str" cm="1">
        <f t="array" aca="1" ref="AV321" ca="1">_xlfn.LET(
_xlpm.x, IF(AA$303&gt;$G321,"x",IFERROR(SUBSTITUTE(CELL("adres",OFFSET(INDIRECT(AA321),,IF(LEFT(AA321)="V",-1,1)*($G321-AA$303),1,1)),"$",""),"x")),
_xlpm.y, IFERROR(IF(OR(COLUMN(INDIRECT(_xlpm.x))&gt;21, COLUMN(INDIRECT(_xlpm.x)) &lt;2), "x",_xlpm.x),"x"),
_xlpm.y)</f>
        <v>H20</v>
      </c>
      <c r="AW321" s="31" t="str" cm="1">
        <f t="array" aca="1" ref="AW321" ca="1">_xlfn.LET(
_xlpm.x, IF(AB$303&gt;$G321,"x",IFERROR(SUBSTITUTE(CELL("adres",OFFSET(INDIRECT(AB321),,IF(LEFT(AB321)="V",-1,1)*($G321-AB$303),1,1)),"$",""),"x")),
_xlpm.y, IFERROR(IF(OR(COLUMN(INDIRECT(_xlpm.x))&gt;21, COLUMN(INDIRECT(_xlpm.x)) &lt;2), "x",_xlpm.x),"x"),
_xlpm.y)</f>
        <v>I23</v>
      </c>
      <c r="AX321" s="31" t="str" cm="1">
        <f t="array" aca="1" ref="AX321" ca="1">_xlfn.LET(
_xlpm.x, IF(AC$303&gt;$G321,"x",IFERROR(SUBSTITUTE(CELL("adres",OFFSET(INDIRECT(AC321),,IF(LEFT(AC321)="V",-1,1)*($G321-AC$303),1,1)),"$",""),"x")),
_xlpm.y, IFERROR(IF(OR(COLUMN(INDIRECT(_xlpm.x))&gt;21, COLUMN(INDIRECT(_xlpm.x)) &lt;2), "x",_xlpm.x),"x"),
_xlpm.y)</f>
        <v>J4</v>
      </c>
      <c r="AY321" s="31" t="str" cm="1">
        <f t="array" aca="1" ref="AY321" ca="1">_xlfn.LET(
_xlpm.x, IF(AD$303&gt;$G321,"x",IFERROR(SUBSTITUTE(CELL("adres",OFFSET(INDIRECT(AD321),,IF(LEFT(AD321)="V",-1,1)*($G321-AD$303),1,1)),"$",""),"x")),
_xlpm.y, IFERROR(IF(OR(COLUMN(INDIRECT(_xlpm.x))&gt;21, COLUMN(INDIRECT(_xlpm.x)) &lt;2), "x",_xlpm.x),"x"),
_xlpm.y)</f>
        <v>K7</v>
      </c>
      <c r="BB321" s="23" t="str" cm="1">
        <f t="array" aca="1" ref="BB321" ca="1">IFERROR(COLUMN(INDIRECT(AF321)),"x")</f>
        <v>x</v>
      </c>
      <c r="BC321" s="23" t="str" cm="1">
        <f t="array" aca="1" ref="BC321" ca="1">IFERROR(COLUMN(INDIRECT(AG321)),"x")</f>
        <v>x</v>
      </c>
      <c r="BD321" s="23" t="str" cm="1">
        <f t="array" aca="1" ref="BD321" ca="1">IFERROR(COLUMN(INDIRECT(AH321)),"x")</f>
        <v>x</v>
      </c>
      <c r="BE321" s="23" t="str" cm="1">
        <f t="array" aca="1" ref="BE321" ca="1">IFERROR(COLUMN(INDIRECT(AI321)),"x")</f>
        <v>x</v>
      </c>
      <c r="BF321" s="23" t="str" cm="1">
        <f t="array" aca="1" ref="BF321" ca="1">IFERROR(COLUMN(INDIRECT(AJ321)),"x")</f>
        <v>x</v>
      </c>
      <c r="BG321" s="23" t="str" cm="1">
        <f t="array" aca="1" ref="BG321" ca="1">IFERROR(COLUMN(INDIRECT(AK321)),"x")</f>
        <v>x</v>
      </c>
      <c r="BH321" s="23" t="str" cm="1">
        <f t="array" aca="1" ref="BH321" ca="1">IFERROR(COLUMN(INDIRECT(AL321)),"x")</f>
        <v>x</v>
      </c>
      <c r="BI321" s="23" t="str" cm="1">
        <f t="array" aca="1" ref="BI321" ca="1">IFERROR(COLUMN(INDIRECT(AM321)),"x")</f>
        <v>x</v>
      </c>
      <c r="BJ321" s="23" t="str" cm="1">
        <f t="array" aca="1" ref="BJ321" ca="1">IFERROR(COLUMN(INDIRECT(AN321)),"x")</f>
        <v>x</v>
      </c>
      <c r="BK321" s="23" t="str" cm="1">
        <f t="array" aca="1" ref="BK321" ca="1">IFERROR(COLUMN(INDIRECT(AO321)),"x")</f>
        <v>x</v>
      </c>
      <c r="BL321" s="23" cm="1">
        <f t="array" aca="1" ref="BL321" ca="1">IFERROR(COLUMN(INDIRECT(AP321)),"x")</f>
        <v>2</v>
      </c>
      <c r="BM321" s="23" cm="1">
        <f t="array" aca="1" ref="BM321" ca="1">IFERROR(COLUMN(INDIRECT(AQ321)),"x")</f>
        <v>20</v>
      </c>
      <c r="BN321" s="23" cm="1">
        <f t="array" aca="1" ref="BN321" ca="1">IFERROR(COLUMN(INDIRECT(AR321)),"x")</f>
        <v>4</v>
      </c>
      <c r="BO321" s="23" cm="1">
        <f t="array" aca="1" ref="BO321" ca="1">IFERROR(COLUMN(INDIRECT(AS321)),"x")</f>
        <v>5</v>
      </c>
      <c r="BP321" s="23" cm="1">
        <f t="array" aca="1" ref="BP321" ca="1">IFERROR(COLUMN(INDIRECT(AT321)),"x")</f>
        <v>6</v>
      </c>
      <c r="BQ321" s="23" cm="1">
        <f t="array" aca="1" ref="BQ321" ca="1">IFERROR(COLUMN(INDIRECT(AU321)),"x")</f>
        <v>7</v>
      </c>
      <c r="BR321" s="23" cm="1">
        <f t="array" aca="1" ref="BR321" ca="1">IFERROR(COLUMN(INDIRECT(AV321)),"x")</f>
        <v>8</v>
      </c>
      <c r="BS321" s="23" cm="1">
        <f t="array" aca="1" ref="BS321" ca="1">IFERROR(COLUMN(INDIRECT(AW321)),"x")</f>
        <v>9</v>
      </c>
      <c r="BT321" s="23" cm="1">
        <f t="array" aca="1" ref="BT321" ca="1">IFERROR(COLUMN(INDIRECT(AX321)),"x")</f>
        <v>10</v>
      </c>
      <c r="BU321" s="23" cm="1">
        <f t="array" aca="1" ref="BU321" ca="1">IFERROR(COLUMN(INDIRECT(AY321)),"x")</f>
        <v>11</v>
      </c>
      <c r="BW321" s="23" t="str">
        <f t="shared" ca="1" si="40"/>
        <v>x</v>
      </c>
      <c r="BX321" s="23" t="str">
        <f t="shared" ca="1" si="41"/>
        <v>x</v>
      </c>
      <c r="BY321" s="23" t="str">
        <f t="shared" ca="1" si="42"/>
        <v>x</v>
      </c>
      <c r="BZ321" s="23" t="str">
        <f t="shared" ca="1" si="43"/>
        <v>x</v>
      </c>
      <c r="CA321" s="23" t="str">
        <f t="shared" ca="1" si="44"/>
        <v>x</v>
      </c>
      <c r="CB321" s="23" t="str">
        <f t="shared" ca="1" si="45"/>
        <v>x</v>
      </c>
      <c r="CC321" s="23" t="str">
        <f t="shared" ca="1" si="46"/>
        <v>x</v>
      </c>
      <c r="CD321" s="23" t="str">
        <f t="shared" ca="1" si="47"/>
        <v>x</v>
      </c>
      <c r="CE321" s="23" t="str">
        <f t="shared" ca="1" si="48"/>
        <v>x</v>
      </c>
      <c r="CF321" s="23" t="str">
        <f t="shared" ca="1" si="49"/>
        <v>x</v>
      </c>
      <c r="CG321" s="23">
        <f t="shared" ca="1" si="50"/>
        <v>-1</v>
      </c>
      <c r="CH321" s="23">
        <f t="shared" ca="1" si="51"/>
        <v>1</v>
      </c>
      <c r="CI321" s="23">
        <f t="shared" ca="1" si="52"/>
        <v>-1</v>
      </c>
      <c r="CJ321" s="23">
        <f t="shared" ca="1" si="53"/>
        <v>-1</v>
      </c>
      <c r="CK321" s="23">
        <f t="shared" ca="1" si="54"/>
        <v>-1</v>
      </c>
      <c r="CL321" s="23">
        <f t="shared" ca="1" si="55"/>
        <v>-1</v>
      </c>
      <c r="CM321" s="23">
        <f t="shared" ca="1" si="56"/>
        <v>-1</v>
      </c>
      <c r="CN321" s="23">
        <f t="shared" ca="1" si="57"/>
        <v>-1</v>
      </c>
      <c r="CO321" s="23">
        <f t="shared" ca="1" si="58"/>
        <v>-1</v>
      </c>
      <c r="CP321" s="23">
        <f t="shared" ca="1" si="59"/>
        <v>-1</v>
      </c>
      <c r="CQ321" s="75"/>
      <c r="CR321" s="23" t="str" cm="1">
        <f t="array" aca="1" ref="CR321" ca="1">_xlfn.LET(
_xlpm.x, IFERROR(SUBSTITUTE(CELL("adres",OFFSET(INDIRECT(AF321),,BW321*($I321-$G321)*2,1,1)),"$",""),"x"),
_xlpm.y, IFERROR(IF(OR(COLUMN(INDIRECT(_xlpm.x))&gt;21, COLUMN(INDIRECT(_xlpm.x))&lt;2),"x",_xlpm.x), "x"),
_xlpm.y)</f>
        <v>x</v>
      </c>
      <c r="CS321" s="23" t="str" cm="1">
        <f t="array" aca="1" ref="CS321" ca="1">_xlfn.LET(
_xlpm.x, IFERROR(SUBSTITUTE(CELL("adres",OFFSET(INDIRECT(AG321),,BX321*($I321-$G321)*2,1,1)),"$",""),"x"),
_xlpm.y, IFERROR(IF(OR(COLUMN(INDIRECT(_xlpm.x))&gt;21, COLUMN(INDIRECT(_xlpm.x))&lt;2),"x",_xlpm.x), "x"),
_xlpm.y)</f>
        <v>x</v>
      </c>
      <c r="CT321" s="23" t="str" cm="1">
        <f t="array" aca="1" ref="CT321" ca="1">_xlfn.LET(
_xlpm.x, IFERROR(SUBSTITUTE(CELL("adres",OFFSET(INDIRECT(AH321),,BY321*($I321-$G321)*2,1,1)),"$",""),"x"),
_xlpm.y, IFERROR(IF(OR(COLUMN(INDIRECT(_xlpm.x))&gt;21, COLUMN(INDIRECT(_xlpm.x))&lt;2),"x",_xlpm.x), "x"),
_xlpm.y)</f>
        <v>x</v>
      </c>
      <c r="CU321" s="23" t="str" cm="1">
        <f t="array" aca="1" ref="CU321" ca="1">_xlfn.LET(
_xlpm.x, IFERROR(SUBSTITUTE(CELL("adres",OFFSET(INDIRECT(AI321),,BZ321*($I321-$G321)*2,1,1)),"$",""),"x"),
_xlpm.y, IFERROR(IF(OR(COLUMN(INDIRECT(_xlpm.x))&gt;21, COLUMN(INDIRECT(_xlpm.x))&lt;2),"x",_xlpm.x), "x"),
_xlpm.y)</f>
        <v>x</v>
      </c>
      <c r="CV321" s="23" t="str" cm="1">
        <f t="array" aca="1" ref="CV321" ca="1">_xlfn.LET(
_xlpm.x, IFERROR(SUBSTITUTE(CELL("adres",OFFSET(INDIRECT(AJ321),,CA321*($I321-$G321)*2,1,1)),"$",""),"x"),
_xlpm.y, IFERROR(IF(OR(COLUMN(INDIRECT(_xlpm.x))&gt;21, COLUMN(INDIRECT(_xlpm.x))&lt;2),"x",_xlpm.x), "x"),
_xlpm.y)</f>
        <v>x</v>
      </c>
      <c r="CW321" s="23" t="str" cm="1">
        <f t="array" aca="1" ref="CW321" ca="1">_xlfn.LET(
_xlpm.x, IFERROR(SUBSTITUTE(CELL("adres",OFFSET(INDIRECT(AK321),,CB321*($I321-$G321)*2,1,1)),"$",""),"x"),
_xlpm.y, IFERROR(IF(OR(COLUMN(INDIRECT(_xlpm.x))&gt;21, COLUMN(INDIRECT(_xlpm.x))&lt;2),"x",_xlpm.x), "x"),
_xlpm.y)</f>
        <v>x</v>
      </c>
      <c r="CX321" s="23" t="str" cm="1">
        <f t="array" aca="1" ref="CX321" ca="1">_xlfn.LET(
_xlpm.x, IFERROR(SUBSTITUTE(CELL("adres",OFFSET(INDIRECT(AL321),,CC321*($I321-$G321)*2,1,1)),"$",""),"x"),
_xlpm.y, IFERROR(IF(OR(COLUMN(INDIRECT(_xlpm.x))&gt;21, COLUMN(INDIRECT(_xlpm.x))&lt;2),"x",_xlpm.x), "x"),
_xlpm.y)</f>
        <v>x</v>
      </c>
      <c r="CY321" s="23" t="str" cm="1">
        <f t="array" aca="1" ref="CY321" ca="1">_xlfn.LET(
_xlpm.x, IFERROR(SUBSTITUTE(CELL("adres",OFFSET(INDIRECT(AM321),,CD321*($I321-$G321)*2,1,1)),"$",""),"x"),
_xlpm.y, IFERROR(IF(OR(COLUMN(INDIRECT(_xlpm.x))&gt;21, COLUMN(INDIRECT(_xlpm.x))&lt;2),"x",_xlpm.x), "x"),
_xlpm.y)</f>
        <v>x</v>
      </c>
      <c r="CZ321" s="23" t="str" cm="1">
        <f t="array" aca="1" ref="CZ321" ca="1">_xlfn.LET(
_xlpm.x, IFERROR(SUBSTITUTE(CELL("adres",OFFSET(INDIRECT(AN321),,CE321*($I321-$G321)*2,1,1)),"$",""),"x"),
_xlpm.y, IFERROR(IF(OR(COLUMN(INDIRECT(_xlpm.x))&gt;21, COLUMN(INDIRECT(_xlpm.x))&lt;2),"x",_xlpm.x), "x"),
_xlpm.y)</f>
        <v>x</v>
      </c>
      <c r="DA321" s="23" t="str" cm="1">
        <f t="array" aca="1" ref="DA321" ca="1">_xlfn.LET(
_xlpm.x, IFERROR(SUBSTITUTE(CELL("adres",OFFSET(INDIRECT(AO321),,CF321*($I321-$G321)*2,1,1)),"$",""),"x"),
_xlpm.y, IFERROR(IF(OR(COLUMN(INDIRECT(_xlpm.x))&gt;21, COLUMN(INDIRECT(_xlpm.x))&lt;2),"x",_xlpm.x), "x"),
_xlpm.y)</f>
        <v>x</v>
      </c>
      <c r="DB321" s="23" t="str" cm="1">
        <f t="array" aca="1" ref="DB321" ca="1">_xlfn.LET(
_xlpm.x, IFERROR(SUBSTITUTE(CELL("adres",OFFSET(INDIRECT(AP321),,CG321*($I321-$G321)*2,1,1)),"$",""),"x"),
_xlpm.y, IFERROR(IF(OR(COLUMN(INDIRECT(_xlpm.x))&gt;21, COLUMN(INDIRECT(_xlpm.x))&lt;2),"x",_xlpm.x), "x"),
_xlpm.y)</f>
        <v>x</v>
      </c>
      <c r="DC321" s="23" t="str" cm="1">
        <f t="array" aca="1" ref="DC321" ca="1">_xlfn.LET(
_xlpm.x, IFERROR(SUBSTITUTE(CELL("adres",OFFSET(INDIRECT(AQ321),,CH321*($I321-$G321)*2,1,1)),"$",""),"x"),
_xlpm.y, IFERROR(IF(OR(COLUMN(INDIRECT(_xlpm.x))&gt;21, COLUMN(INDIRECT(_xlpm.x))&lt;2),"x",_xlpm.x), "x"),
_xlpm.y)</f>
        <v>x</v>
      </c>
      <c r="DD321" s="23" t="str" cm="1">
        <f t="array" aca="1" ref="DD321" ca="1">_xlfn.LET(
_xlpm.x, IFERROR(SUBSTITUTE(CELL("adres",OFFSET(INDIRECT(AR321),,CI321*($I321-$G321)*2,1,1)),"$",""),"x"),
_xlpm.y, IFERROR(IF(OR(COLUMN(INDIRECT(_xlpm.x))&gt;21, COLUMN(INDIRECT(_xlpm.x))&lt;2),"x",_xlpm.x), "x"),
_xlpm.y)</f>
        <v>x</v>
      </c>
      <c r="DE321" s="23" t="str" cm="1">
        <f t="array" aca="1" ref="DE321" ca="1">_xlfn.LET(
_xlpm.x, IFERROR(SUBSTITUTE(CELL("adres",OFFSET(INDIRECT(AS321),,CJ321*($I321-$G321)*2,1,1)),"$",""),"x"),
_xlpm.y, IFERROR(IF(OR(COLUMN(INDIRECT(_xlpm.x))&gt;21, COLUMN(INDIRECT(_xlpm.x))&lt;2),"x",_xlpm.x), "x"),
_xlpm.y)</f>
        <v>x</v>
      </c>
      <c r="DF321" s="23" t="str" cm="1">
        <f t="array" aca="1" ref="DF321" ca="1">_xlfn.LET(
_xlpm.x, IFERROR(SUBSTITUTE(CELL("adres",OFFSET(INDIRECT(AT321),,CK321*($I321-$G321)*2,1,1)),"$",""),"x"),
_xlpm.y, IFERROR(IF(OR(COLUMN(INDIRECT(_xlpm.x))&gt;21, COLUMN(INDIRECT(_xlpm.x))&lt;2),"x",_xlpm.x), "x"),
_xlpm.y)</f>
        <v>B22</v>
      </c>
      <c r="DG321" s="23" t="str" cm="1">
        <f t="array" aca="1" ref="DG321" ca="1">_xlfn.LET(
_xlpm.x, IFERROR(SUBSTITUTE(CELL("adres",OFFSET(INDIRECT(AU321),,CL321*($I321-$G321)*2,1,1)),"$",""),"x"),
_xlpm.y, IFERROR(IF(OR(COLUMN(INDIRECT(_xlpm.x))&gt;21, COLUMN(INDIRECT(_xlpm.x))&lt;2),"x",_xlpm.x), "x"),
_xlpm.y)</f>
        <v>C11</v>
      </c>
      <c r="DH321" s="23" t="str" cm="1">
        <f t="array" aca="1" ref="DH321" ca="1">_xlfn.LET(
_xlpm.x, IFERROR(SUBSTITUTE(CELL("adres",OFFSET(INDIRECT(AV321),,CM321*($I321-$G321)*2,1,1)),"$",""),"x"),
_xlpm.y, IFERROR(IF(OR(COLUMN(INDIRECT(_xlpm.x))&gt;21, COLUMN(INDIRECT(_xlpm.x))&lt;2),"x",_xlpm.x), "x"),
_xlpm.y)</f>
        <v>D20</v>
      </c>
      <c r="DI321" s="23" t="str" cm="1">
        <f t="array" aca="1" ref="DI321" ca="1">_xlfn.LET(
_xlpm.x, IFERROR(SUBSTITUTE(CELL("adres",OFFSET(INDIRECT(AW321),,CN321*($I321-$G321)*2,1,1)),"$",""),"x"),
_xlpm.y, IFERROR(IF(OR(COLUMN(INDIRECT(_xlpm.x))&gt;21, COLUMN(INDIRECT(_xlpm.x))&lt;2),"x",_xlpm.x), "x"),
_xlpm.y)</f>
        <v>E23</v>
      </c>
      <c r="DJ321" s="23" t="str" cm="1">
        <f t="array" aca="1" ref="DJ321" ca="1">_xlfn.LET(
_xlpm.x, IFERROR(SUBSTITUTE(CELL("adres",OFFSET(INDIRECT(AX321),,CO321*($I321-$G321)*2,1,1)),"$",""),"x"),
_xlpm.y, IFERROR(IF(OR(COLUMN(INDIRECT(_xlpm.x))&gt;21, COLUMN(INDIRECT(_xlpm.x))&lt;2),"x",_xlpm.x), "x"),
_xlpm.y)</f>
        <v>F4</v>
      </c>
      <c r="DK321" s="23" t="str" cm="1">
        <f t="array" aca="1" ref="DK321" ca="1">_xlfn.LET(
_xlpm.x, IFERROR(SUBSTITUTE(CELL("adres",OFFSET(INDIRECT(AY321),,CP321*($I321-$G321)*2,1,1)),"$",""),"x"),
_xlpm.y, IFERROR(IF(OR(COLUMN(INDIRECT(_xlpm.x))&gt;21, COLUMN(INDIRECT(_xlpm.x))&lt;2),"x",_xlpm.x), "x"),
_xlpm.y)</f>
        <v>G7</v>
      </c>
      <c r="DM321" s="23" t="e" cm="1">
        <f t="array" aca="1" ref="DM321" ca="1">ROW(INDIRECT(CR321))</f>
        <v>#REF!</v>
      </c>
      <c r="DN321" s="23" cm="1">
        <f t="array" aca="1" ref="DN321" ca="1">ROW(INDIRECT(J321))</f>
        <v>15</v>
      </c>
      <c r="DO321" s="23" t="e">
        <f t="shared" ca="1" si="60"/>
        <v>#REF!</v>
      </c>
      <c r="DP321" s="23" t="e" cm="1">
        <f t="array" aca="1" ref="DP321" ca="1">COLUMN(INDIRECT(CR321))</f>
        <v>#REF!</v>
      </c>
      <c r="DQ321" s="23" cm="1">
        <f t="array" aca="1" ref="DQ321" ca="1">COLUMN(INDIRECT(J321))</f>
        <v>6</v>
      </c>
      <c r="DR321" s="23" t="e">
        <f t="shared" ca="1" si="61"/>
        <v>#REF!</v>
      </c>
      <c r="DS321" s="23">
        <f t="shared" ca="1" si="39"/>
        <v>1000</v>
      </c>
      <c r="DU321" s="23" cm="1">
        <f t="array" aca="1" ref="DU321" ca="1">IFERROR(MAX(ABS(ROW(INDIRECT($J321))-ROW(INDIRECT(CR321))),ABS(COLUMN(INDIRECT($J321))-COLUMN(INDIRECT(CR321)))),1000)</f>
        <v>1000</v>
      </c>
      <c r="DV321" s="23" cm="1">
        <f t="array" aca="1" ref="DV321" ca="1">IFERROR(MAX(ABS(ROW(INDIRECT($J321))-ROW(INDIRECT(CS321))),ABS(COLUMN(INDIRECT($J321))-COLUMN(INDIRECT(CS321)))),1000)</f>
        <v>1000</v>
      </c>
      <c r="DW321" s="23" cm="1">
        <f t="array" aca="1" ref="DW321" ca="1">IFERROR(MAX(ABS(ROW(INDIRECT($J321))-ROW(INDIRECT(CT321))),ABS(COLUMN(INDIRECT($J321))-COLUMN(INDIRECT(CT321)))),1000)</f>
        <v>1000</v>
      </c>
      <c r="DX321" s="23" cm="1">
        <f t="array" aca="1" ref="DX321" ca="1">IFERROR(MAX(ABS(ROW(INDIRECT($J321))-ROW(INDIRECT(CU321))),ABS(COLUMN(INDIRECT($J321))-COLUMN(INDIRECT(CU321)))),1000)</f>
        <v>1000</v>
      </c>
      <c r="DY321" s="23" cm="1">
        <f t="array" aca="1" ref="DY321" ca="1">IFERROR(MAX(ABS(ROW(INDIRECT($J321))-ROW(INDIRECT(CV321))),ABS(COLUMN(INDIRECT($J321))-COLUMN(INDIRECT(CV321)))),1000)</f>
        <v>1000</v>
      </c>
      <c r="DZ321" s="23" cm="1">
        <f t="array" aca="1" ref="DZ321" ca="1">IFERROR(MAX(ABS(ROW(INDIRECT($J321))-ROW(INDIRECT(CW321))),ABS(COLUMN(INDIRECT($J321))-COLUMN(INDIRECT(CW321)))),1000)</f>
        <v>1000</v>
      </c>
      <c r="EA321" s="23" cm="1">
        <f t="array" aca="1" ref="EA321" ca="1">IFERROR(MAX(ABS(ROW(INDIRECT($J321))-ROW(INDIRECT(CX321))),ABS(COLUMN(INDIRECT($J321))-COLUMN(INDIRECT(CX321)))),1000)</f>
        <v>1000</v>
      </c>
      <c r="EB321" s="23" cm="1">
        <f t="array" aca="1" ref="EB321" ca="1">IFERROR(MAX(ABS(ROW(INDIRECT($J321))-ROW(INDIRECT(CY321))),ABS(COLUMN(INDIRECT($J321))-COLUMN(INDIRECT(CY321)))),1000)</f>
        <v>1000</v>
      </c>
      <c r="EC321" s="23" cm="1">
        <f t="array" aca="1" ref="EC321" ca="1">IFERROR(MAX(ABS(ROW(INDIRECT($J321))-ROW(INDIRECT(CZ321))),ABS(COLUMN(INDIRECT($J321))-COLUMN(INDIRECT(CZ321)))),1000)</f>
        <v>1000</v>
      </c>
      <c r="ED321" s="23" cm="1">
        <f t="array" aca="1" ref="ED321" ca="1">IFERROR(MAX(ABS(ROW(INDIRECT($J321))-ROW(INDIRECT(DA321))),ABS(COLUMN(INDIRECT($J321))-COLUMN(INDIRECT(DA321)))),1000)</f>
        <v>1000</v>
      </c>
      <c r="EE321" s="23" cm="1">
        <f t="array" aca="1" ref="EE321" ca="1">IFERROR(MAX(ABS(ROW(INDIRECT($J321))-ROW(INDIRECT(DB321))),ABS(COLUMN(INDIRECT($J321))-COLUMN(INDIRECT(DB321)))),1000)</f>
        <v>1000</v>
      </c>
      <c r="EF321" s="23" cm="1">
        <f t="array" aca="1" ref="EF321" ca="1">IFERROR(MAX(ABS(ROW(INDIRECT($J321))-ROW(INDIRECT(DC321))),ABS(COLUMN(INDIRECT($J321))-COLUMN(INDIRECT(DC321)))),1000)</f>
        <v>1000</v>
      </c>
      <c r="EG321" s="23" cm="1">
        <f t="array" aca="1" ref="EG321" ca="1">IFERROR(MAX(ABS(ROW(INDIRECT($J321))-ROW(INDIRECT(DD321))),ABS(COLUMN(INDIRECT($J321))-COLUMN(INDIRECT(DD321)))),1000)</f>
        <v>1000</v>
      </c>
      <c r="EH321" s="23" cm="1">
        <f t="array" aca="1" ref="EH321" ca="1">IFERROR(MAX(ABS(ROW(INDIRECT($J321))-ROW(INDIRECT(DE321))),ABS(COLUMN(INDIRECT($J321))-COLUMN(INDIRECT(DE321)))),1000)</f>
        <v>1000</v>
      </c>
      <c r="EI321" s="23" cm="1">
        <f t="array" aca="1" ref="EI321" ca="1">IFERROR(MAX(ABS(ROW(INDIRECT($J321))-ROW(INDIRECT(DF321))),ABS(COLUMN(INDIRECT($J321))-COLUMN(INDIRECT(DF321)))),1000)</f>
        <v>7</v>
      </c>
      <c r="EJ321" s="23" cm="1">
        <f t="array" aca="1" ref="EJ321" ca="1">IFERROR(MAX(ABS(ROW(INDIRECT($J321))-ROW(INDIRECT(DG321))),ABS(COLUMN(INDIRECT($J321))-COLUMN(INDIRECT(DG321)))),1000)</f>
        <v>4</v>
      </c>
      <c r="EK321" s="23" cm="1">
        <f t="array" aca="1" ref="EK321" ca="1">IFERROR(MAX(ABS(ROW(INDIRECT($J321))-ROW(INDIRECT(DH321))),ABS(COLUMN(INDIRECT($J321))-COLUMN(INDIRECT(DH321)))),1000)</f>
        <v>5</v>
      </c>
      <c r="EL321" s="23" cm="1">
        <f t="array" aca="1" ref="EL321" ca="1">IFERROR(MAX(ABS(ROW(INDIRECT($J321))-ROW(INDIRECT(DI321))),ABS(COLUMN(INDIRECT($J321))-COLUMN(INDIRECT(DI321)))),1000)</f>
        <v>8</v>
      </c>
      <c r="EM321" s="23" cm="1">
        <f t="array" aca="1" ref="EM321" ca="1">IFERROR(MAX(ABS(ROW(INDIRECT($J321))-ROW(INDIRECT(DJ321))),ABS(COLUMN(INDIRECT($J321))-COLUMN(INDIRECT(DJ321)))),1000)</f>
        <v>11</v>
      </c>
      <c r="EN321" s="23" cm="1">
        <f t="array" aca="1" ref="EN321" ca="1">IFERROR(MAX(ABS(ROW(INDIRECT($J321))-ROW(INDIRECT(DK321))),ABS(COLUMN(INDIRECT($J321))-COLUMN(INDIRECT(DK321)))),1000)</f>
        <v>8</v>
      </c>
      <c r="EP321" s="23">
        <f t="shared" ca="1" si="62"/>
        <v>4</v>
      </c>
      <c r="EQ321" s="23">
        <f t="shared" ca="1" si="63"/>
        <v>1</v>
      </c>
      <c r="ER321" s="23">
        <f t="shared" ca="1" si="64"/>
        <v>16</v>
      </c>
      <c r="ES321" s="23" t="str" cm="1">
        <f t="array" aca="1" ref="ES321" ca="1">INDEX(CR321:DK321,1,ER321)</f>
        <v>C11</v>
      </c>
    </row>
    <row r="322" spans="2:149" ht="22.5" customHeight="1">
      <c r="B322" s="32">
        <f t="shared" si="65"/>
        <v>135</v>
      </c>
      <c r="C322" s="32">
        <v>7</v>
      </c>
      <c r="D322" s="30">
        <v>12</v>
      </c>
      <c r="E322" s="34" t="str">
        <f ca="1"/>
        <v>D16</v>
      </c>
      <c r="F322" s="103"/>
      <c r="G322" s="33">
        <v>26</v>
      </c>
      <c r="H322" s="33" t="s">
        <v>301</v>
      </c>
      <c r="I322" s="33">
        <v>28</v>
      </c>
      <c r="J322" s="33" t="s">
        <v>302</v>
      </c>
      <c r="K322" s="33" t="s">
        <v>111</v>
      </c>
      <c r="L322" s="33" t="s">
        <v>88</v>
      </c>
      <c r="M322" s="33" t="s">
        <v>61</v>
      </c>
      <c r="N322" s="33" t="s">
        <v>144</v>
      </c>
      <c r="O322" s="33" t="s">
        <v>190</v>
      </c>
      <c r="P322" s="33" t="s">
        <v>93</v>
      </c>
      <c r="Q322" s="33" t="s">
        <v>58</v>
      </c>
      <c r="R322" s="33" t="s">
        <v>93</v>
      </c>
      <c r="S322" s="33" t="s">
        <v>113</v>
      </c>
      <c r="T322" s="33" t="s">
        <v>200</v>
      </c>
      <c r="U322" s="33" t="s">
        <v>179</v>
      </c>
      <c r="V322" s="33" t="s">
        <v>178</v>
      </c>
      <c r="W322" s="33" t="s">
        <v>82</v>
      </c>
      <c r="X322" s="33" t="s">
        <v>66</v>
      </c>
      <c r="Y322" s="33" t="s">
        <v>57</v>
      </c>
      <c r="Z322" s="33" t="s">
        <v>61</v>
      </c>
      <c r="AA322" s="33" t="s">
        <v>64</v>
      </c>
      <c r="AB322" s="33" t="s">
        <v>111</v>
      </c>
      <c r="AC322" s="33" t="s">
        <v>85</v>
      </c>
      <c r="AD322" s="33" t="s">
        <v>52</v>
      </c>
      <c r="AF322" s="31" t="str" cm="1">
        <f t="array" aca="1" ref="AF322" ca="1">_xlfn.LET(
_xlpm.x, IF(K$303&gt;$G322,"x",IFERROR(SUBSTITUTE(CELL("adres",OFFSET(INDIRECT(K322),,IF(LEFT(K322)="V",-1,1)*($G322-K$303),1,1)),"$",""),"x")),
_xlpm.y, IFERROR(IF(OR(COLUMN(INDIRECT(_xlpm.x))&gt;21, COLUMN(INDIRECT(_xlpm.x)) &lt;2), "x",_xlpm.x),"x"),
_xlpm.y)</f>
        <v>x</v>
      </c>
      <c r="AG322" s="31" t="str" cm="1">
        <f t="array" aca="1" ref="AG322" ca="1">_xlfn.LET(
_xlpm.x, IF(L$303&gt;$G322,"x",IFERROR(SUBSTITUTE(CELL("adres",OFFSET(INDIRECT(L322),,IF(LEFT(L322)="V",-1,1)*($G322-L$303),1,1)),"$",""),"x")),
_xlpm.y, IFERROR(IF(OR(COLUMN(INDIRECT(_xlpm.x))&gt;21, COLUMN(INDIRECT(_xlpm.x)) &lt;2), "x",_xlpm.x),"x"),
_xlpm.y)</f>
        <v>x</v>
      </c>
      <c r="AH322" s="31" t="str" cm="1">
        <f t="array" aca="1" ref="AH322" ca="1">_xlfn.LET(
_xlpm.x, IF(M$303&gt;$G322,"x",IFERROR(SUBSTITUTE(CELL("adres",OFFSET(INDIRECT(M322),,IF(LEFT(M322)="V",-1,1)*($G322-M$303),1,1)),"$",""),"x")),
_xlpm.y, IFERROR(IF(OR(COLUMN(INDIRECT(_xlpm.x))&gt;21, COLUMN(INDIRECT(_xlpm.x)) &lt;2), "x",_xlpm.x),"x"),
_xlpm.y)</f>
        <v>x</v>
      </c>
      <c r="AI322" s="31" t="str" cm="1">
        <f t="array" aca="1" ref="AI322" ca="1">_xlfn.LET(
_xlpm.x, IF(N$303&gt;$G322,"x",IFERROR(SUBSTITUTE(CELL("adres",OFFSET(INDIRECT(N322),,IF(LEFT(N322)="V",-1,1)*($G322-N$303),1,1)),"$",""),"x")),
_xlpm.y, IFERROR(IF(OR(COLUMN(INDIRECT(_xlpm.x))&gt;21, COLUMN(INDIRECT(_xlpm.x)) &lt;2), "x",_xlpm.x),"x"),
_xlpm.y)</f>
        <v>x</v>
      </c>
      <c r="AJ322" s="31" t="str" cm="1">
        <f t="array" aca="1" ref="AJ322" ca="1">_xlfn.LET(
_xlpm.x, IF(O$303&gt;$G322,"x",IFERROR(SUBSTITUTE(CELL("adres",OFFSET(INDIRECT(O322),,IF(LEFT(O322)="V",-1,1)*($G322-O$303),1,1)),"$",""),"x")),
_xlpm.y, IFERROR(IF(OR(COLUMN(INDIRECT(_xlpm.x))&gt;21, COLUMN(INDIRECT(_xlpm.x)) &lt;2), "x",_xlpm.x),"x"),
_xlpm.y)</f>
        <v>x</v>
      </c>
      <c r="AK322" s="31" t="str" cm="1">
        <f t="array" aca="1" ref="AK322" ca="1">_xlfn.LET(
_xlpm.x, IF(P$303&gt;$G322,"x",IFERROR(SUBSTITUTE(CELL("adres",OFFSET(INDIRECT(P322),,IF(LEFT(P322)="V",-1,1)*($G322-P$303),1,1)),"$",""),"x")),
_xlpm.y, IFERROR(IF(OR(COLUMN(INDIRECT(_xlpm.x))&gt;21, COLUMN(INDIRECT(_xlpm.x)) &lt;2), "x",_xlpm.x),"x"),
_xlpm.y)</f>
        <v>x</v>
      </c>
      <c r="AL322" s="31" t="str" cm="1">
        <f t="array" aca="1" ref="AL322" ca="1">_xlfn.LET(
_xlpm.x, IF(Q$303&gt;$G322,"x",IFERROR(SUBSTITUTE(CELL("adres",OFFSET(INDIRECT(Q322),,IF(LEFT(Q322)="V",-1,1)*($G322-Q$303),1,1)),"$",""),"x")),
_xlpm.y, IFERROR(IF(OR(COLUMN(INDIRECT(_xlpm.x))&gt;21, COLUMN(INDIRECT(_xlpm.x)) &lt;2), "x",_xlpm.x),"x"),
_xlpm.y)</f>
        <v>U16</v>
      </c>
      <c r="AM322" s="31" t="str" cm="1">
        <f t="array" aca="1" ref="AM322" ca="1">_xlfn.LET(
_xlpm.x, IF(R$303&gt;$G322,"x",IFERROR(SUBSTITUTE(CELL("adres",OFFSET(INDIRECT(R322),,IF(LEFT(R322)="V",-1,1)*($G322-R$303),1,1)),"$",""),"x")),
_xlpm.y, IFERROR(IF(OR(COLUMN(INDIRECT(_xlpm.x))&gt;21, COLUMN(INDIRECT(_xlpm.x)) &lt;2), "x",_xlpm.x),"x"),
_xlpm.y)</f>
        <v>C10</v>
      </c>
      <c r="AN322" s="31" t="str" cm="1">
        <f t="array" aca="1" ref="AN322" ca="1">_xlfn.LET(
_xlpm.x, IF(S$303&gt;$G322,"x",IFERROR(SUBSTITUTE(CELL("adres",OFFSET(INDIRECT(S322),,IF(LEFT(S322)="V",-1,1)*($G322-S$303),1,1)),"$",""),"x")),
_xlpm.y, IFERROR(IF(OR(COLUMN(INDIRECT(_xlpm.x))&gt;21, COLUMN(INDIRECT(_xlpm.x)) &lt;2), "x",_xlpm.x),"x"),
_xlpm.y)</f>
        <v>S14</v>
      </c>
      <c r="AO322" s="31" t="str" cm="1">
        <f t="array" aca="1" ref="AO322" ca="1">_xlfn.LET(
_xlpm.x, IF(T$303&gt;$G322,"x",IFERROR(SUBSTITUTE(CELL("adres",OFFSET(INDIRECT(T322),,IF(LEFT(T322)="V",-1,1)*($G322-T$303),1,1)),"$",""),"x")),
_xlpm.y, IFERROR(IF(OR(COLUMN(INDIRECT(_xlpm.x))&gt;21, COLUMN(INDIRECT(_xlpm.x)) &lt;2), "x",_xlpm.x),"x"),
_xlpm.y)</f>
        <v>R18</v>
      </c>
      <c r="AP322" s="31" t="str" cm="1">
        <f t="array" aca="1" ref="AP322" ca="1">_xlfn.LET(
_xlpm.x, IF(U$303&gt;$G322,"x",IFERROR(SUBSTITUTE(CELL("adres",OFFSET(INDIRECT(U322),,IF(LEFT(U322)="V",-1,1)*($G322-U$303),1,1)),"$",""),"x")),
_xlpm.y, IFERROR(IF(OR(COLUMN(INDIRECT(_xlpm.x))&gt;21, COLUMN(INDIRECT(_xlpm.x)) &lt;2), "x",_xlpm.x),"x"),
_xlpm.y)</f>
        <v>F23</v>
      </c>
      <c r="AQ322" s="31" t="str" cm="1">
        <f t="array" aca="1" ref="AQ322" ca="1">_xlfn.LET(
_xlpm.x, IF(V$303&gt;$G322,"x",IFERROR(SUBSTITUTE(CELL("adres",OFFSET(INDIRECT(V322),,IF(LEFT(V322)="V",-1,1)*($G322-V$303),1,1)),"$",""),"x")),
_xlpm.y, IFERROR(IF(OR(COLUMN(INDIRECT(_xlpm.x))&gt;21, COLUMN(INDIRECT(_xlpm.x)) &lt;2), "x",_xlpm.x),"x"),
_xlpm.y)</f>
        <v>P15</v>
      </c>
      <c r="AR322" s="31" t="str" cm="1">
        <f t="array" aca="1" ref="AR322" ca="1">_xlfn.LET(
_xlpm.x, IF(W$303&gt;$G322,"x",IFERROR(SUBSTITUTE(CELL("adres",OFFSET(INDIRECT(W322),,IF(LEFT(W322)="V",-1,1)*($G322-W$303),1,1)),"$",""),"x")),
_xlpm.y, IFERROR(IF(OR(COLUMN(INDIRECT(_xlpm.x))&gt;21, COLUMN(INDIRECT(_xlpm.x)) &lt;2), "x",_xlpm.x),"x"),
_xlpm.y)</f>
        <v>H16</v>
      </c>
      <c r="AS322" s="31" t="str" cm="1">
        <f t="array" aca="1" ref="AS322" ca="1">_xlfn.LET(
_xlpm.x, IF(X$303&gt;$G322,"x",IFERROR(SUBSTITUTE(CELL("adres",OFFSET(INDIRECT(X322),,IF(LEFT(X322)="V",-1,1)*($G322-X$303),1,1)),"$",""),"x")),
_xlpm.y, IFERROR(IF(OR(COLUMN(INDIRECT(_xlpm.x))&gt;21, COLUMN(INDIRECT(_xlpm.x)) &lt;2), "x",_xlpm.x),"x"),
_xlpm.y)</f>
        <v>N20</v>
      </c>
      <c r="AT322" s="31" t="str" cm="1">
        <f t="array" aca="1" ref="AT322" ca="1">_xlfn.LET(
_xlpm.x, IF(Y$303&gt;$G322,"x",IFERROR(SUBSTITUTE(CELL("adres",OFFSET(INDIRECT(Y322),,IF(LEFT(Y322)="V",-1,1)*($G322-Y$303),1,1)),"$",""),"x")),
_xlpm.y, IFERROR(IF(OR(COLUMN(INDIRECT(_xlpm.x))&gt;21, COLUMN(INDIRECT(_xlpm.x)) &lt;2), "x",_xlpm.x),"x"),
_xlpm.y)</f>
        <v>M17</v>
      </c>
      <c r="AU322" s="31" t="str" cm="1">
        <f t="array" aca="1" ref="AU322" ca="1">_xlfn.LET(
_xlpm.x, IF(Z$303&gt;$G322,"x",IFERROR(SUBSTITUTE(CELL("adres",OFFSET(INDIRECT(Z322),,IF(LEFT(Z322)="V",-1,1)*($G322-Z$303),1,1)),"$",""),"x")),
_xlpm.y, IFERROR(IF(OR(COLUMN(INDIRECT(_xlpm.x))&gt;21, COLUMN(INDIRECT(_xlpm.x)) &lt;2), "x",_xlpm.x),"x"),
_xlpm.y)</f>
        <v>L8</v>
      </c>
      <c r="AV322" s="31" t="str" cm="1">
        <f t="array" aca="1" ref="AV322" ca="1">_xlfn.LET(
_xlpm.x, IF(AA$303&gt;$G322,"x",IFERROR(SUBSTITUTE(CELL("adres",OFFSET(INDIRECT(AA322),,IF(LEFT(AA322)="V",-1,1)*($G322-AA$303),1,1)),"$",""),"x")),
_xlpm.y, IFERROR(IF(OR(COLUMN(INDIRECT(_xlpm.x))&gt;21, COLUMN(INDIRECT(_xlpm.x)) &lt;2), "x",_xlpm.x),"x"),
_xlpm.y)</f>
        <v>K9</v>
      </c>
      <c r="AW322" s="31" t="str" cm="1">
        <f t="array" aca="1" ref="AW322" ca="1">_xlfn.LET(
_xlpm.x, IF(AB$303&gt;$G322,"x",IFERROR(SUBSTITUTE(CELL("adres",OFFSET(INDIRECT(AB322),,IF(LEFT(AB322)="V",-1,1)*($G322-AB$303),1,1)),"$",""),"x")),
_xlpm.y, IFERROR(IF(OR(COLUMN(INDIRECT(_xlpm.x))&gt;21, COLUMN(INDIRECT(_xlpm.x)) &lt;2), "x",_xlpm.x),"x"),
_xlpm.y)</f>
        <v>M18</v>
      </c>
      <c r="AX322" s="31" t="str" cm="1">
        <f t="array" aca="1" ref="AX322" ca="1">_xlfn.LET(
_xlpm.x, IF(AC$303&gt;$G322,"x",IFERROR(SUBSTITUTE(CELL("adres",OFFSET(INDIRECT(AC322),,IF(LEFT(AC322)="V",-1,1)*($G322-AC$303),1,1)),"$",""),"x")),
_xlpm.y, IFERROR(IF(OR(COLUMN(INDIRECT(_xlpm.x))&gt;21, COLUMN(INDIRECT(_xlpm.x)) &lt;2), "x",_xlpm.x),"x"),
_xlpm.y)</f>
        <v>N25</v>
      </c>
      <c r="AY322" s="31" t="str" cm="1">
        <f t="array" aca="1" ref="AY322" ca="1">_xlfn.LET(
_xlpm.x, IF(AD$303&gt;$G322,"x",IFERROR(SUBSTITUTE(CELL("adres",OFFSET(INDIRECT(AD322),,IF(LEFT(AD322)="V",-1,1)*($G322-AD$303),1,1)),"$",""),"x")),
_xlpm.y, IFERROR(IF(OR(COLUMN(INDIRECT(_xlpm.x))&gt;21, COLUMN(INDIRECT(_xlpm.x)) &lt;2), "x",_xlpm.x),"x"),
_xlpm.y)</f>
        <v>H25</v>
      </c>
      <c r="BB322" s="23" t="str" cm="1">
        <f t="array" aca="1" ref="BB322" ca="1">IFERROR(COLUMN(INDIRECT(AF322)),"x")</f>
        <v>x</v>
      </c>
      <c r="BC322" s="23" t="str" cm="1">
        <f t="array" aca="1" ref="BC322" ca="1">IFERROR(COLUMN(INDIRECT(AG322)),"x")</f>
        <v>x</v>
      </c>
      <c r="BD322" s="23" t="str" cm="1">
        <f t="array" aca="1" ref="BD322" ca="1">IFERROR(COLUMN(INDIRECT(AH322)),"x")</f>
        <v>x</v>
      </c>
      <c r="BE322" s="23" t="str" cm="1">
        <f t="array" aca="1" ref="BE322" ca="1">IFERROR(COLUMN(INDIRECT(AI322)),"x")</f>
        <v>x</v>
      </c>
      <c r="BF322" s="23" t="str" cm="1">
        <f t="array" aca="1" ref="BF322" ca="1">IFERROR(COLUMN(INDIRECT(AJ322)),"x")</f>
        <v>x</v>
      </c>
      <c r="BG322" s="23" t="str" cm="1">
        <f t="array" aca="1" ref="BG322" ca="1">IFERROR(COLUMN(INDIRECT(AK322)),"x")</f>
        <v>x</v>
      </c>
      <c r="BH322" s="23" cm="1">
        <f t="array" aca="1" ref="BH322" ca="1">IFERROR(COLUMN(INDIRECT(AL322)),"x")</f>
        <v>21</v>
      </c>
      <c r="BI322" s="23" cm="1">
        <f t="array" aca="1" ref="BI322" ca="1">IFERROR(COLUMN(INDIRECT(AM322)),"x")</f>
        <v>3</v>
      </c>
      <c r="BJ322" s="23" cm="1">
        <f t="array" aca="1" ref="BJ322" ca="1">IFERROR(COLUMN(INDIRECT(AN322)),"x")</f>
        <v>19</v>
      </c>
      <c r="BK322" s="23" cm="1">
        <f t="array" aca="1" ref="BK322" ca="1">IFERROR(COLUMN(INDIRECT(AO322)),"x")</f>
        <v>18</v>
      </c>
      <c r="BL322" s="23" cm="1">
        <f t="array" aca="1" ref="BL322" ca="1">IFERROR(COLUMN(INDIRECT(AP322)),"x")</f>
        <v>6</v>
      </c>
      <c r="BM322" s="23" cm="1">
        <f t="array" aca="1" ref="BM322" ca="1">IFERROR(COLUMN(INDIRECT(AQ322)),"x")</f>
        <v>16</v>
      </c>
      <c r="BN322" s="23" cm="1">
        <f t="array" aca="1" ref="BN322" ca="1">IFERROR(COLUMN(INDIRECT(AR322)),"x")</f>
        <v>8</v>
      </c>
      <c r="BO322" s="23" cm="1">
        <f t="array" aca="1" ref="BO322" ca="1">IFERROR(COLUMN(INDIRECT(AS322)),"x")</f>
        <v>14</v>
      </c>
      <c r="BP322" s="23" cm="1">
        <f t="array" aca="1" ref="BP322" ca="1">IFERROR(COLUMN(INDIRECT(AT322)),"x")</f>
        <v>13</v>
      </c>
      <c r="BQ322" s="23" cm="1">
        <f t="array" aca="1" ref="BQ322" ca="1">IFERROR(COLUMN(INDIRECT(AU322)),"x")</f>
        <v>12</v>
      </c>
      <c r="BR322" s="23" cm="1">
        <f t="array" aca="1" ref="BR322" ca="1">IFERROR(COLUMN(INDIRECT(AV322)),"x")</f>
        <v>11</v>
      </c>
      <c r="BS322" s="23" cm="1">
        <f t="array" aca="1" ref="BS322" ca="1">IFERROR(COLUMN(INDIRECT(AW322)),"x")</f>
        <v>13</v>
      </c>
      <c r="BT322" s="23" cm="1">
        <f t="array" aca="1" ref="BT322" ca="1">IFERROR(COLUMN(INDIRECT(AX322)),"x")</f>
        <v>14</v>
      </c>
      <c r="BU322" s="23" cm="1">
        <f t="array" aca="1" ref="BU322" ca="1">IFERROR(COLUMN(INDIRECT(AY322)),"x")</f>
        <v>8</v>
      </c>
      <c r="BW322" s="23" t="str">
        <f t="shared" ca="1" si="40"/>
        <v>x</v>
      </c>
      <c r="BX322" s="23" t="str">
        <f t="shared" ca="1" si="41"/>
        <v>x</v>
      </c>
      <c r="BY322" s="23" t="str">
        <f t="shared" ca="1" si="42"/>
        <v>x</v>
      </c>
      <c r="BZ322" s="23" t="str">
        <f t="shared" ca="1" si="43"/>
        <v>x</v>
      </c>
      <c r="CA322" s="23" t="str">
        <f t="shared" ca="1" si="44"/>
        <v>x</v>
      </c>
      <c r="CB322" s="23" t="str">
        <f t="shared" ca="1" si="45"/>
        <v>x</v>
      </c>
      <c r="CC322" s="23">
        <f t="shared" ca="1" si="46"/>
        <v>1</v>
      </c>
      <c r="CD322" s="23">
        <f t="shared" ca="1" si="47"/>
        <v>-1</v>
      </c>
      <c r="CE322" s="23">
        <f t="shared" ca="1" si="48"/>
        <v>1</v>
      </c>
      <c r="CF322" s="23">
        <f t="shared" ca="1" si="49"/>
        <v>1</v>
      </c>
      <c r="CG322" s="23">
        <f t="shared" ca="1" si="50"/>
        <v>-1</v>
      </c>
      <c r="CH322" s="23">
        <f t="shared" ca="1" si="51"/>
        <v>1</v>
      </c>
      <c r="CI322" s="23">
        <f t="shared" ca="1" si="52"/>
        <v>-1</v>
      </c>
      <c r="CJ322" s="23">
        <f t="shared" ca="1" si="53"/>
        <v>1</v>
      </c>
      <c r="CK322" s="23">
        <f t="shared" ca="1" si="54"/>
        <v>1</v>
      </c>
      <c r="CL322" s="23">
        <f t="shared" ca="1" si="55"/>
        <v>1</v>
      </c>
      <c r="CM322" s="23">
        <f t="shared" ca="1" si="56"/>
        <v>-1</v>
      </c>
      <c r="CN322" s="23">
        <f t="shared" ca="1" si="57"/>
        <v>1</v>
      </c>
      <c r="CO322" s="23">
        <f t="shared" ca="1" si="58"/>
        <v>1</v>
      </c>
      <c r="CP322" s="23">
        <f t="shared" ca="1" si="59"/>
        <v>-1</v>
      </c>
      <c r="CQ322" s="75"/>
      <c r="CR322" s="23" t="str" cm="1">
        <f t="array" aca="1" ref="CR322" ca="1">_xlfn.LET(
_xlpm.x, IFERROR(SUBSTITUTE(CELL("adres",OFFSET(INDIRECT(AF322),,BW322*($I322-$G322)*2,1,1)),"$",""),"x"),
_xlpm.y, IFERROR(IF(OR(COLUMN(INDIRECT(_xlpm.x))&gt;21, COLUMN(INDIRECT(_xlpm.x))&lt;2),"x",_xlpm.x), "x"),
_xlpm.y)</f>
        <v>x</v>
      </c>
      <c r="CS322" s="23" t="str" cm="1">
        <f t="array" aca="1" ref="CS322" ca="1">_xlfn.LET(
_xlpm.x, IFERROR(SUBSTITUTE(CELL("adres",OFFSET(INDIRECT(AG322),,BX322*($I322-$G322)*2,1,1)),"$",""),"x"),
_xlpm.y, IFERROR(IF(OR(COLUMN(INDIRECT(_xlpm.x))&gt;21, COLUMN(INDIRECT(_xlpm.x))&lt;2),"x",_xlpm.x), "x"),
_xlpm.y)</f>
        <v>x</v>
      </c>
      <c r="CT322" s="23" t="str" cm="1">
        <f t="array" aca="1" ref="CT322" ca="1">_xlfn.LET(
_xlpm.x, IFERROR(SUBSTITUTE(CELL("adres",OFFSET(INDIRECT(AH322),,BY322*($I322-$G322)*2,1,1)),"$",""),"x"),
_xlpm.y, IFERROR(IF(OR(COLUMN(INDIRECT(_xlpm.x))&gt;21, COLUMN(INDIRECT(_xlpm.x))&lt;2),"x",_xlpm.x), "x"),
_xlpm.y)</f>
        <v>x</v>
      </c>
      <c r="CU322" s="23" t="str" cm="1">
        <f t="array" aca="1" ref="CU322" ca="1">_xlfn.LET(
_xlpm.x, IFERROR(SUBSTITUTE(CELL("adres",OFFSET(INDIRECT(AI322),,BZ322*($I322-$G322)*2,1,1)),"$",""),"x"),
_xlpm.y, IFERROR(IF(OR(COLUMN(INDIRECT(_xlpm.x))&gt;21, COLUMN(INDIRECT(_xlpm.x))&lt;2),"x",_xlpm.x), "x"),
_xlpm.y)</f>
        <v>x</v>
      </c>
      <c r="CV322" s="23" t="str" cm="1">
        <f t="array" aca="1" ref="CV322" ca="1">_xlfn.LET(
_xlpm.x, IFERROR(SUBSTITUTE(CELL("adres",OFFSET(INDIRECT(AJ322),,CA322*($I322-$G322)*2,1,1)),"$",""),"x"),
_xlpm.y, IFERROR(IF(OR(COLUMN(INDIRECT(_xlpm.x))&gt;21, COLUMN(INDIRECT(_xlpm.x))&lt;2),"x",_xlpm.x), "x"),
_xlpm.y)</f>
        <v>x</v>
      </c>
      <c r="CW322" s="23" t="str" cm="1">
        <f t="array" aca="1" ref="CW322" ca="1">_xlfn.LET(
_xlpm.x, IFERROR(SUBSTITUTE(CELL("adres",OFFSET(INDIRECT(AK322),,CB322*($I322-$G322)*2,1,1)),"$",""),"x"),
_xlpm.y, IFERROR(IF(OR(COLUMN(INDIRECT(_xlpm.x))&gt;21, COLUMN(INDIRECT(_xlpm.x))&lt;2),"x",_xlpm.x), "x"),
_xlpm.y)</f>
        <v>x</v>
      </c>
      <c r="CX322" s="23" t="str" cm="1">
        <f t="array" aca="1" ref="CX322" ca="1">_xlfn.LET(
_xlpm.x, IFERROR(SUBSTITUTE(CELL("adres",OFFSET(INDIRECT(AL322),,CC322*($I322-$G322)*2,1,1)),"$",""),"x"),
_xlpm.y, IFERROR(IF(OR(COLUMN(INDIRECT(_xlpm.x))&gt;21, COLUMN(INDIRECT(_xlpm.x))&lt;2),"x",_xlpm.x), "x"),
_xlpm.y)</f>
        <v>x</v>
      </c>
      <c r="CY322" s="23" t="str" cm="1">
        <f t="array" aca="1" ref="CY322" ca="1">_xlfn.LET(
_xlpm.x, IFERROR(SUBSTITUTE(CELL("adres",OFFSET(INDIRECT(AM322),,CD322*($I322-$G322)*2,1,1)),"$",""),"x"),
_xlpm.y, IFERROR(IF(OR(COLUMN(INDIRECT(_xlpm.x))&gt;21, COLUMN(INDIRECT(_xlpm.x))&lt;2),"x",_xlpm.x), "x"),
_xlpm.y)</f>
        <v>x</v>
      </c>
      <c r="CZ322" s="23" t="str" cm="1">
        <f t="array" aca="1" ref="CZ322" ca="1">_xlfn.LET(
_xlpm.x, IFERROR(SUBSTITUTE(CELL("adres",OFFSET(INDIRECT(AN322),,CE322*($I322-$G322)*2,1,1)),"$",""),"x"),
_xlpm.y, IFERROR(IF(OR(COLUMN(INDIRECT(_xlpm.x))&gt;21, COLUMN(INDIRECT(_xlpm.x))&lt;2),"x",_xlpm.x), "x"),
_xlpm.y)</f>
        <v>x</v>
      </c>
      <c r="DA322" s="23" t="str" cm="1">
        <f t="array" aca="1" ref="DA322" ca="1">_xlfn.LET(
_xlpm.x, IFERROR(SUBSTITUTE(CELL("adres",OFFSET(INDIRECT(AO322),,CF322*($I322-$G322)*2,1,1)),"$",""),"x"),
_xlpm.y, IFERROR(IF(OR(COLUMN(INDIRECT(_xlpm.x))&gt;21, COLUMN(INDIRECT(_xlpm.x))&lt;2),"x",_xlpm.x), "x"),
_xlpm.y)</f>
        <v>x</v>
      </c>
      <c r="DB322" s="23" t="str" cm="1">
        <f t="array" aca="1" ref="DB322" ca="1">_xlfn.LET(
_xlpm.x, IFERROR(SUBSTITUTE(CELL("adres",OFFSET(INDIRECT(AP322),,CG322*($I322-$G322)*2,1,1)),"$",""),"x"),
_xlpm.y, IFERROR(IF(OR(COLUMN(INDIRECT(_xlpm.x))&gt;21, COLUMN(INDIRECT(_xlpm.x))&lt;2),"x",_xlpm.x), "x"),
_xlpm.y)</f>
        <v>B23</v>
      </c>
      <c r="DC322" s="23" t="str" cm="1">
        <f t="array" aca="1" ref="DC322" ca="1">_xlfn.LET(
_xlpm.x, IFERROR(SUBSTITUTE(CELL("adres",OFFSET(INDIRECT(AQ322),,CH322*($I322-$G322)*2,1,1)),"$",""),"x"),
_xlpm.y, IFERROR(IF(OR(COLUMN(INDIRECT(_xlpm.x))&gt;21, COLUMN(INDIRECT(_xlpm.x))&lt;2),"x",_xlpm.x), "x"),
_xlpm.y)</f>
        <v>T15</v>
      </c>
      <c r="DD322" s="23" t="str" cm="1">
        <f t="array" aca="1" ref="DD322" ca="1">_xlfn.LET(
_xlpm.x, IFERROR(SUBSTITUTE(CELL("adres",OFFSET(INDIRECT(AR322),,CI322*($I322-$G322)*2,1,1)),"$",""),"x"),
_xlpm.y, IFERROR(IF(OR(COLUMN(INDIRECT(_xlpm.x))&gt;21, COLUMN(INDIRECT(_xlpm.x))&lt;2),"x",_xlpm.x), "x"),
_xlpm.y)</f>
        <v>D16</v>
      </c>
      <c r="DE322" s="23" t="str" cm="1">
        <f t="array" aca="1" ref="DE322" ca="1">_xlfn.LET(
_xlpm.x, IFERROR(SUBSTITUTE(CELL("adres",OFFSET(INDIRECT(AS322),,CJ322*($I322-$G322)*2,1,1)),"$",""),"x"),
_xlpm.y, IFERROR(IF(OR(COLUMN(INDIRECT(_xlpm.x))&gt;21, COLUMN(INDIRECT(_xlpm.x))&lt;2),"x",_xlpm.x), "x"),
_xlpm.y)</f>
        <v>R20</v>
      </c>
      <c r="DF322" s="23" t="str" cm="1">
        <f t="array" aca="1" ref="DF322" ca="1">_xlfn.LET(
_xlpm.x, IFERROR(SUBSTITUTE(CELL("adres",OFFSET(INDIRECT(AT322),,CK322*($I322-$G322)*2,1,1)),"$",""),"x"),
_xlpm.y, IFERROR(IF(OR(COLUMN(INDIRECT(_xlpm.x))&gt;21, COLUMN(INDIRECT(_xlpm.x))&lt;2),"x",_xlpm.x), "x"),
_xlpm.y)</f>
        <v>Q17</v>
      </c>
      <c r="DG322" s="23" t="str" cm="1">
        <f t="array" aca="1" ref="DG322" ca="1">_xlfn.LET(
_xlpm.x, IFERROR(SUBSTITUTE(CELL("adres",OFFSET(INDIRECT(AU322),,CL322*($I322-$G322)*2,1,1)),"$",""),"x"),
_xlpm.y, IFERROR(IF(OR(COLUMN(INDIRECT(_xlpm.x))&gt;21, COLUMN(INDIRECT(_xlpm.x))&lt;2),"x",_xlpm.x), "x"),
_xlpm.y)</f>
        <v>P8</v>
      </c>
      <c r="DH322" s="23" t="str" cm="1">
        <f t="array" aca="1" ref="DH322" ca="1">_xlfn.LET(
_xlpm.x, IFERROR(SUBSTITUTE(CELL("adres",OFFSET(INDIRECT(AV322),,CM322*($I322-$G322)*2,1,1)),"$",""),"x"),
_xlpm.y, IFERROR(IF(OR(COLUMN(INDIRECT(_xlpm.x))&gt;21, COLUMN(INDIRECT(_xlpm.x))&lt;2),"x",_xlpm.x), "x"),
_xlpm.y)</f>
        <v>G9</v>
      </c>
      <c r="DI322" s="23" t="str" cm="1">
        <f t="array" aca="1" ref="DI322" ca="1">_xlfn.LET(
_xlpm.x, IFERROR(SUBSTITUTE(CELL("adres",OFFSET(INDIRECT(AW322),,CN322*($I322-$G322)*2,1,1)),"$",""),"x"),
_xlpm.y, IFERROR(IF(OR(COLUMN(INDIRECT(_xlpm.x))&gt;21, COLUMN(INDIRECT(_xlpm.x))&lt;2),"x",_xlpm.x), "x"),
_xlpm.y)</f>
        <v>Q18</v>
      </c>
      <c r="DJ322" s="23" t="str" cm="1">
        <f t="array" aca="1" ref="DJ322" ca="1">_xlfn.LET(
_xlpm.x, IFERROR(SUBSTITUTE(CELL("adres",OFFSET(INDIRECT(AX322),,CO322*($I322-$G322)*2,1,1)),"$",""),"x"),
_xlpm.y, IFERROR(IF(OR(COLUMN(INDIRECT(_xlpm.x))&gt;21, COLUMN(INDIRECT(_xlpm.x))&lt;2),"x",_xlpm.x), "x"),
_xlpm.y)</f>
        <v>R25</v>
      </c>
      <c r="DK322" s="23" t="str" cm="1">
        <f t="array" aca="1" ref="DK322" ca="1">_xlfn.LET(
_xlpm.x, IFERROR(SUBSTITUTE(CELL("adres",OFFSET(INDIRECT(AY322),,CP322*($I322-$G322)*2,1,1)),"$",""),"x"),
_xlpm.y, IFERROR(IF(OR(COLUMN(INDIRECT(_xlpm.x))&gt;21, COLUMN(INDIRECT(_xlpm.x))&lt;2),"x",_xlpm.x), "x"),
_xlpm.y)</f>
        <v>D25</v>
      </c>
      <c r="DM322" s="23" t="e" cm="1">
        <f t="array" aca="1" ref="DM322" ca="1">ROW(INDIRECT(CR322))</f>
        <v>#REF!</v>
      </c>
      <c r="DN322" s="23" cm="1">
        <f t="array" aca="1" ref="DN322" ca="1">ROW(INDIRECT(J322))</f>
        <v>14</v>
      </c>
      <c r="DO322" s="23" t="e">
        <f t="shared" ca="1" si="60"/>
        <v>#REF!</v>
      </c>
      <c r="DP322" s="23" t="e" cm="1">
        <f t="array" aca="1" ref="DP322" ca="1">COLUMN(INDIRECT(CR322))</f>
        <v>#REF!</v>
      </c>
      <c r="DQ322" s="23" cm="1">
        <f t="array" aca="1" ref="DQ322" ca="1">COLUMN(INDIRECT(J322))</f>
        <v>5</v>
      </c>
      <c r="DR322" s="23" t="e">
        <f t="shared" ca="1" si="61"/>
        <v>#REF!</v>
      </c>
      <c r="DS322" s="23">
        <f t="shared" ca="1" si="39"/>
        <v>1000</v>
      </c>
      <c r="DU322" s="23" cm="1">
        <f t="array" aca="1" ref="DU322" ca="1">IFERROR(MAX(ABS(ROW(INDIRECT($J322))-ROW(INDIRECT(CR322))),ABS(COLUMN(INDIRECT($J322))-COLUMN(INDIRECT(CR322)))),1000)</f>
        <v>1000</v>
      </c>
      <c r="DV322" s="23" cm="1">
        <f t="array" aca="1" ref="DV322" ca="1">IFERROR(MAX(ABS(ROW(INDIRECT($J322))-ROW(INDIRECT(CS322))),ABS(COLUMN(INDIRECT($J322))-COLUMN(INDIRECT(CS322)))),1000)</f>
        <v>1000</v>
      </c>
      <c r="DW322" s="23" cm="1">
        <f t="array" aca="1" ref="DW322" ca="1">IFERROR(MAX(ABS(ROW(INDIRECT($J322))-ROW(INDIRECT(CT322))),ABS(COLUMN(INDIRECT($J322))-COLUMN(INDIRECT(CT322)))),1000)</f>
        <v>1000</v>
      </c>
      <c r="DX322" s="23" cm="1">
        <f t="array" aca="1" ref="DX322" ca="1">IFERROR(MAX(ABS(ROW(INDIRECT($J322))-ROW(INDIRECT(CU322))),ABS(COLUMN(INDIRECT($J322))-COLUMN(INDIRECT(CU322)))),1000)</f>
        <v>1000</v>
      </c>
      <c r="DY322" s="23" cm="1">
        <f t="array" aca="1" ref="DY322" ca="1">IFERROR(MAX(ABS(ROW(INDIRECT($J322))-ROW(INDIRECT(CV322))),ABS(COLUMN(INDIRECT($J322))-COLUMN(INDIRECT(CV322)))),1000)</f>
        <v>1000</v>
      </c>
      <c r="DZ322" s="23" cm="1">
        <f t="array" aca="1" ref="DZ322" ca="1">IFERROR(MAX(ABS(ROW(INDIRECT($J322))-ROW(INDIRECT(CW322))),ABS(COLUMN(INDIRECT($J322))-COLUMN(INDIRECT(CW322)))),1000)</f>
        <v>1000</v>
      </c>
      <c r="EA322" s="23" cm="1">
        <f t="array" aca="1" ref="EA322" ca="1">IFERROR(MAX(ABS(ROW(INDIRECT($J322))-ROW(INDIRECT(CX322))),ABS(COLUMN(INDIRECT($J322))-COLUMN(INDIRECT(CX322)))),1000)</f>
        <v>1000</v>
      </c>
      <c r="EB322" s="23" cm="1">
        <f t="array" aca="1" ref="EB322" ca="1">IFERROR(MAX(ABS(ROW(INDIRECT($J322))-ROW(INDIRECT(CY322))),ABS(COLUMN(INDIRECT($J322))-COLUMN(INDIRECT(CY322)))),1000)</f>
        <v>1000</v>
      </c>
      <c r="EC322" s="23" cm="1">
        <f t="array" aca="1" ref="EC322" ca="1">IFERROR(MAX(ABS(ROW(INDIRECT($J322))-ROW(INDIRECT(CZ322))),ABS(COLUMN(INDIRECT($J322))-COLUMN(INDIRECT(CZ322)))),1000)</f>
        <v>1000</v>
      </c>
      <c r="ED322" s="23" cm="1">
        <f t="array" aca="1" ref="ED322" ca="1">IFERROR(MAX(ABS(ROW(INDIRECT($J322))-ROW(INDIRECT(DA322))),ABS(COLUMN(INDIRECT($J322))-COLUMN(INDIRECT(DA322)))),1000)</f>
        <v>1000</v>
      </c>
      <c r="EE322" s="23" cm="1">
        <f t="array" aca="1" ref="EE322" ca="1">IFERROR(MAX(ABS(ROW(INDIRECT($J322))-ROW(INDIRECT(DB322))),ABS(COLUMN(INDIRECT($J322))-COLUMN(INDIRECT(DB322)))),1000)</f>
        <v>9</v>
      </c>
      <c r="EF322" s="23" cm="1">
        <f t="array" aca="1" ref="EF322" ca="1">IFERROR(MAX(ABS(ROW(INDIRECT($J322))-ROW(INDIRECT(DC322))),ABS(COLUMN(INDIRECT($J322))-COLUMN(INDIRECT(DC322)))),1000)</f>
        <v>15</v>
      </c>
      <c r="EG322" s="23" cm="1">
        <f t="array" aca="1" ref="EG322" ca="1">IFERROR(MAX(ABS(ROW(INDIRECT($J322))-ROW(INDIRECT(DD322))),ABS(COLUMN(INDIRECT($J322))-COLUMN(INDIRECT(DD322)))),1000)</f>
        <v>2</v>
      </c>
      <c r="EH322" s="23" cm="1">
        <f t="array" aca="1" ref="EH322" ca="1">IFERROR(MAX(ABS(ROW(INDIRECT($J322))-ROW(INDIRECT(DE322))),ABS(COLUMN(INDIRECT($J322))-COLUMN(INDIRECT(DE322)))),1000)</f>
        <v>13</v>
      </c>
      <c r="EI322" s="23" cm="1">
        <f t="array" aca="1" ref="EI322" ca="1">IFERROR(MAX(ABS(ROW(INDIRECT($J322))-ROW(INDIRECT(DF322))),ABS(COLUMN(INDIRECT($J322))-COLUMN(INDIRECT(DF322)))),1000)</f>
        <v>12</v>
      </c>
      <c r="EJ322" s="23" cm="1">
        <f t="array" aca="1" ref="EJ322" ca="1">IFERROR(MAX(ABS(ROW(INDIRECT($J322))-ROW(INDIRECT(DG322))),ABS(COLUMN(INDIRECT($J322))-COLUMN(INDIRECT(DG322)))),1000)</f>
        <v>11</v>
      </c>
      <c r="EK322" s="23" cm="1">
        <f t="array" aca="1" ref="EK322" ca="1">IFERROR(MAX(ABS(ROW(INDIRECT($J322))-ROW(INDIRECT(DH322))),ABS(COLUMN(INDIRECT($J322))-COLUMN(INDIRECT(DH322)))),1000)</f>
        <v>5</v>
      </c>
      <c r="EL322" s="23" cm="1">
        <f t="array" aca="1" ref="EL322" ca="1">IFERROR(MAX(ABS(ROW(INDIRECT($J322))-ROW(INDIRECT(DI322))),ABS(COLUMN(INDIRECT($J322))-COLUMN(INDIRECT(DI322)))),1000)</f>
        <v>12</v>
      </c>
      <c r="EM322" s="23" cm="1">
        <f t="array" aca="1" ref="EM322" ca="1">IFERROR(MAX(ABS(ROW(INDIRECT($J322))-ROW(INDIRECT(DJ322))),ABS(COLUMN(INDIRECT($J322))-COLUMN(INDIRECT(DJ322)))),1000)</f>
        <v>13</v>
      </c>
      <c r="EN322" s="23" cm="1">
        <f t="array" aca="1" ref="EN322" ca="1">IFERROR(MAX(ABS(ROW(INDIRECT($J322))-ROW(INDIRECT(DK322))),ABS(COLUMN(INDIRECT($J322))-COLUMN(INDIRECT(DK322)))),1000)</f>
        <v>11</v>
      </c>
      <c r="EP322" s="23">
        <f t="shared" ca="1" si="62"/>
        <v>2</v>
      </c>
      <c r="EQ322" s="23">
        <f t="shared" ca="1" si="63"/>
        <v>1</v>
      </c>
      <c r="ER322" s="23">
        <f t="shared" ca="1" si="64"/>
        <v>13</v>
      </c>
      <c r="ES322" s="23" t="str" cm="1">
        <f t="array" aca="1" ref="ES322" ca="1">INDEX(CR322:DK322,1,ER322)</f>
        <v>D16</v>
      </c>
    </row>
    <row r="323" spans="2:149" ht="22.5" customHeight="1">
      <c r="B323" s="32">
        <f t="shared" si="65"/>
        <v>136</v>
      </c>
      <c r="C323" s="32">
        <v>7</v>
      </c>
      <c r="D323" s="30">
        <v>12</v>
      </c>
      <c r="E323" s="34" t="str">
        <f ca="1"/>
        <v>U10</v>
      </c>
      <c r="F323" s="103"/>
      <c r="G323" s="33">
        <v>27</v>
      </c>
      <c r="H323" s="33" t="s">
        <v>303</v>
      </c>
      <c r="I323" s="33">
        <v>30</v>
      </c>
      <c r="J323" s="33" t="s">
        <v>304</v>
      </c>
      <c r="K323" s="33" t="s">
        <v>59</v>
      </c>
      <c r="L323" s="33" t="s">
        <v>90</v>
      </c>
      <c r="M323" s="33" t="s">
        <v>66</v>
      </c>
      <c r="N323" s="33" t="s">
        <v>62</v>
      </c>
      <c r="O323" s="33" t="s">
        <v>83</v>
      </c>
      <c r="P323" s="33" t="s">
        <v>115</v>
      </c>
      <c r="Q323" s="33" t="s">
        <v>53</v>
      </c>
      <c r="R323" s="33" t="s">
        <v>58</v>
      </c>
      <c r="S323" s="33" t="s">
        <v>53</v>
      </c>
      <c r="T323" s="33" t="s">
        <v>93</v>
      </c>
      <c r="U323" s="33" t="s">
        <v>84</v>
      </c>
      <c r="V323" s="33" t="s">
        <v>84</v>
      </c>
      <c r="W323" s="33" t="s">
        <v>62</v>
      </c>
      <c r="X323" s="33" t="s">
        <v>51</v>
      </c>
      <c r="Y323" s="33" t="s">
        <v>91</v>
      </c>
      <c r="Z323" s="33" t="s">
        <v>155</v>
      </c>
      <c r="AA323" s="33" t="s">
        <v>93</v>
      </c>
      <c r="AB323" s="33" t="s">
        <v>114</v>
      </c>
      <c r="AC323" s="33" t="s">
        <v>53</v>
      </c>
      <c r="AD323" s="33" t="s">
        <v>84</v>
      </c>
      <c r="AF323" s="31" t="str" cm="1">
        <f t="array" aca="1" ref="AF323" ca="1">_xlfn.LET(
_xlpm.x, IF(K$303&gt;$G323,"x",IFERROR(SUBSTITUTE(CELL("adres",OFFSET(INDIRECT(K323),,IF(LEFT(K323)="V",-1,1)*($G323-K$303),1,1)),"$",""),"x")),
_xlpm.y, IFERROR(IF(OR(COLUMN(INDIRECT(_xlpm.x))&gt;21, COLUMN(INDIRECT(_xlpm.x)) &lt;2), "x",_xlpm.x),"x"),
_xlpm.y)</f>
        <v>x</v>
      </c>
      <c r="AG323" s="31" t="str" cm="1">
        <f t="array" aca="1" ref="AG323" ca="1">_xlfn.LET(
_xlpm.x, IF(L$303&gt;$G323,"x",IFERROR(SUBSTITUTE(CELL("adres",OFFSET(INDIRECT(L323),,IF(LEFT(L323)="V",-1,1)*($G323-L$303),1,1)),"$",""),"x")),
_xlpm.y, IFERROR(IF(OR(COLUMN(INDIRECT(_xlpm.x))&gt;21, COLUMN(INDIRECT(_xlpm.x)) &lt;2), "x",_xlpm.x),"x"),
_xlpm.y)</f>
        <v>x</v>
      </c>
      <c r="AH323" s="31" t="str" cm="1">
        <f t="array" aca="1" ref="AH323" ca="1">_xlfn.LET(
_xlpm.x, IF(M$303&gt;$G323,"x",IFERROR(SUBSTITUTE(CELL("adres",OFFSET(INDIRECT(M323),,IF(LEFT(M323)="V",-1,1)*($G323-M$303),1,1)),"$",""),"x")),
_xlpm.y, IFERROR(IF(OR(COLUMN(INDIRECT(_xlpm.x))&gt;21, COLUMN(INDIRECT(_xlpm.x)) &lt;2), "x",_xlpm.x),"x"),
_xlpm.y)</f>
        <v>x</v>
      </c>
      <c r="AI323" s="31" t="str" cm="1">
        <f t="array" aca="1" ref="AI323" ca="1">_xlfn.LET(
_xlpm.x, IF(N$303&gt;$G323,"x",IFERROR(SUBSTITUTE(CELL("adres",OFFSET(INDIRECT(N323),,IF(LEFT(N323)="V",-1,1)*($G323-N$303),1,1)),"$",""),"x")),
_xlpm.y, IFERROR(IF(OR(COLUMN(INDIRECT(_xlpm.x))&gt;21, COLUMN(INDIRECT(_xlpm.x)) &lt;2), "x",_xlpm.x),"x"),
_xlpm.y)</f>
        <v>x</v>
      </c>
      <c r="AJ323" s="31" t="str" cm="1">
        <f t="array" aca="1" ref="AJ323" ca="1">_xlfn.LET(
_xlpm.x, IF(O$303&gt;$G323,"x",IFERROR(SUBSTITUTE(CELL("adres",OFFSET(INDIRECT(O323),,IF(LEFT(O323)="V",-1,1)*($G323-O$303),1,1)),"$",""),"x")),
_xlpm.y, IFERROR(IF(OR(COLUMN(INDIRECT(_xlpm.x))&gt;21, COLUMN(INDIRECT(_xlpm.x)) &lt;2), "x",_xlpm.x),"x"),
_xlpm.y)</f>
        <v>x</v>
      </c>
      <c r="AK323" s="31" t="str" cm="1">
        <f t="array" aca="1" ref="AK323" ca="1">_xlfn.LET(
_xlpm.x, IF(P$303&gt;$G323,"x",IFERROR(SUBSTITUTE(CELL("adres",OFFSET(INDIRECT(P323),,IF(LEFT(P323)="V",-1,1)*($G323-P$303),1,1)),"$",""),"x")),
_xlpm.y, IFERROR(IF(OR(COLUMN(INDIRECT(_xlpm.x))&gt;21, COLUMN(INDIRECT(_xlpm.x)) &lt;2), "x",_xlpm.x),"x"),
_xlpm.y)</f>
        <v>x</v>
      </c>
      <c r="AL323" s="31" t="str" cm="1">
        <f t="array" aca="1" ref="AL323" ca="1">_xlfn.LET(
_xlpm.x, IF(Q$303&gt;$G323,"x",IFERROR(SUBSTITUTE(CELL("adres",OFFSET(INDIRECT(Q323),,IF(LEFT(Q323)="V",-1,1)*($G323-Q$303),1,1)),"$",""),"x")),
_xlpm.y, IFERROR(IF(OR(COLUMN(INDIRECT(_xlpm.x))&gt;21, COLUMN(INDIRECT(_xlpm.x)) &lt;2), "x",_xlpm.x),"x"),
_xlpm.y)</f>
        <v>x</v>
      </c>
      <c r="AM323" s="31" t="str" cm="1">
        <f t="array" aca="1" ref="AM323" ca="1">_xlfn.LET(
_xlpm.x, IF(R$303&gt;$G323,"x",IFERROR(SUBSTITUTE(CELL("adres",OFFSET(INDIRECT(R323),,IF(LEFT(R323)="V",-1,1)*($G323-R$303),1,1)),"$",""),"x")),
_xlpm.y, IFERROR(IF(OR(COLUMN(INDIRECT(_xlpm.x))&gt;21, COLUMN(INDIRECT(_xlpm.x)) &lt;2), "x",_xlpm.x),"x"),
_xlpm.y)</f>
        <v>U16</v>
      </c>
      <c r="AN323" s="31" t="str" cm="1">
        <f t="array" aca="1" ref="AN323" ca="1">_xlfn.LET(
_xlpm.x, IF(S$303&gt;$G323,"x",IFERROR(SUBSTITUTE(CELL("adres",OFFSET(INDIRECT(S323),,IF(LEFT(S323)="V",-1,1)*($G323-S$303),1,1)),"$",""),"x")),
_xlpm.y, IFERROR(IF(OR(COLUMN(INDIRECT(_xlpm.x))&gt;21, COLUMN(INDIRECT(_xlpm.x)) &lt;2), "x",_xlpm.x),"x"),
_xlpm.y)</f>
        <v>T4</v>
      </c>
      <c r="AO323" s="31" t="str" cm="1">
        <f t="array" aca="1" ref="AO323" ca="1">_xlfn.LET(
_xlpm.x, IF(T$303&gt;$G323,"x",IFERROR(SUBSTITUTE(CELL("adres",OFFSET(INDIRECT(T323),,IF(LEFT(T323)="V",-1,1)*($G323-T$303),1,1)),"$",""),"x")),
_xlpm.y, IFERROR(IF(OR(COLUMN(INDIRECT(_xlpm.x))&gt;21, COLUMN(INDIRECT(_xlpm.x)) &lt;2), "x",_xlpm.x),"x"),
_xlpm.y)</f>
        <v>D10</v>
      </c>
      <c r="AP323" s="31" t="str" cm="1">
        <f t="array" aca="1" ref="AP323" ca="1">_xlfn.LET(
_xlpm.x, IF(U$303&gt;$G323,"x",IFERROR(SUBSTITUTE(CELL("adres",OFFSET(INDIRECT(U323),,IF(LEFT(U323)="V",-1,1)*($G323-U$303),1,1)),"$",""),"x")),
_xlpm.y, IFERROR(IF(OR(COLUMN(INDIRECT(_xlpm.x))&gt;21, COLUMN(INDIRECT(_xlpm.x)) &lt;2), "x",_xlpm.x),"x"),
_xlpm.y)</f>
        <v>E26</v>
      </c>
      <c r="AQ323" s="31" t="str" cm="1">
        <f t="array" aca="1" ref="AQ323" ca="1">_xlfn.LET(
_xlpm.x, IF(V$303&gt;$G323,"x",IFERROR(SUBSTITUTE(CELL("adres",OFFSET(INDIRECT(V323),,IF(LEFT(V323)="V",-1,1)*($G323-V$303),1,1)),"$",""),"x")),
_xlpm.y, IFERROR(IF(OR(COLUMN(INDIRECT(_xlpm.x))&gt;21, COLUMN(INDIRECT(_xlpm.x)) &lt;2), "x",_xlpm.x),"x"),
_xlpm.y)</f>
        <v>F26</v>
      </c>
      <c r="AR323" s="31" t="str" cm="1">
        <f t="array" aca="1" ref="AR323" ca="1">_xlfn.LET(
_xlpm.x, IF(W$303&gt;$G323,"x",IFERROR(SUBSTITUTE(CELL("adres",OFFSET(INDIRECT(W323),,IF(LEFT(W323)="V",-1,1)*($G323-W$303),1,1)),"$",""),"x")),
_xlpm.y, IFERROR(IF(OR(COLUMN(INDIRECT(_xlpm.x))&gt;21, COLUMN(INDIRECT(_xlpm.x)) &lt;2), "x",_xlpm.x),"x"),
_xlpm.y)</f>
        <v>P6</v>
      </c>
      <c r="AS323" s="31" t="str" cm="1">
        <f t="array" aca="1" ref="AS323" ca="1">_xlfn.LET(
_xlpm.x, IF(X$303&gt;$G323,"x",IFERROR(SUBSTITUTE(CELL("adres",OFFSET(INDIRECT(X323),,IF(LEFT(X323)="V",-1,1)*($G323-X$303),1,1)),"$",""),"x")),
_xlpm.y, IFERROR(IF(OR(COLUMN(INDIRECT(_xlpm.x))&gt;21, COLUMN(INDIRECT(_xlpm.x)) &lt;2), "x",_xlpm.x),"x"),
_xlpm.y)</f>
        <v>O10</v>
      </c>
      <c r="AT323" s="31" t="str" cm="1">
        <f t="array" aca="1" ref="AT323" ca="1">_xlfn.LET(
_xlpm.x, IF(Y$303&gt;$G323,"x",IFERROR(SUBSTITUTE(CELL("adres",OFFSET(INDIRECT(Y323),,IF(LEFT(Y323)="V",-1,1)*($G323-Y$303),1,1)),"$",""),"x")),
_xlpm.y, IFERROR(IF(OR(COLUMN(INDIRECT(_xlpm.x))&gt;21, COLUMN(INDIRECT(_xlpm.x)) &lt;2), "x",_xlpm.x),"x"),
_xlpm.y)</f>
        <v>I3</v>
      </c>
      <c r="AU323" s="31" t="str" cm="1">
        <f t="array" aca="1" ref="AU323" ca="1">_xlfn.LET(
_xlpm.x, IF(Z$303&gt;$G323,"x",IFERROR(SUBSTITUTE(CELL("adres",OFFSET(INDIRECT(Z323),,IF(LEFT(Z323)="V",-1,1)*($G323-Z$303),1,1)),"$",""),"x")),
_xlpm.y, IFERROR(IF(OR(COLUMN(INDIRECT(_xlpm.x))&gt;21, COLUMN(INDIRECT(_xlpm.x)) &lt;2), "x",_xlpm.x),"x"),
_xlpm.y)</f>
        <v>J20</v>
      </c>
      <c r="AV323" s="31" t="str" cm="1">
        <f t="array" aca="1" ref="AV323" ca="1">_xlfn.LET(
_xlpm.x, IF(AA$303&gt;$G323,"x",IFERROR(SUBSTITUTE(CELL("adres",OFFSET(INDIRECT(AA323),,IF(LEFT(AA323)="V",-1,1)*($G323-AA$303),1,1)),"$",""),"x")),
_xlpm.y, IFERROR(IF(OR(COLUMN(INDIRECT(_xlpm.x))&gt;21, COLUMN(INDIRECT(_xlpm.x)) &lt;2), "x",_xlpm.x),"x"),
_xlpm.y)</f>
        <v>K10</v>
      </c>
      <c r="AW323" s="31" t="str" cm="1">
        <f t="array" aca="1" ref="AW323" ca="1">_xlfn.LET(
_xlpm.x, IF(AB$303&gt;$G323,"x",IFERROR(SUBSTITUTE(CELL("adres",OFFSET(INDIRECT(AB323),,IF(LEFT(AB323)="V",-1,1)*($G323-AB$303),1,1)),"$",""),"x")),
_xlpm.y, IFERROR(IF(OR(COLUMN(INDIRECT(_xlpm.x))&gt;21, COLUMN(INDIRECT(_xlpm.x)) &lt;2), "x",_xlpm.x),"x"),
_xlpm.y)</f>
        <v>L13</v>
      </c>
      <c r="AX323" s="31" t="str" cm="1">
        <f t="array" aca="1" ref="AX323" ca="1">_xlfn.LET(
_xlpm.x, IF(AC$303&gt;$G323,"x",IFERROR(SUBSTITUTE(CELL("adres",OFFSET(INDIRECT(AC323),,IF(LEFT(AC323)="V",-1,1)*($G323-AC$303),1,1)),"$",""),"x")),
_xlpm.y, IFERROR(IF(OR(COLUMN(INDIRECT(_xlpm.x))&gt;21, COLUMN(INDIRECT(_xlpm.x)) &lt;2), "x",_xlpm.x),"x"),
_xlpm.y)</f>
        <v>J4</v>
      </c>
      <c r="AY323" s="31" t="str" cm="1">
        <f t="array" aca="1" ref="AY323" ca="1">_xlfn.LET(
_xlpm.x, IF(AD$303&gt;$G323,"x",IFERROR(SUBSTITUTE(CELL("adres",OFFSET(INDIRECT(AD323),,IF(LEFT(AD323)="V",-1,1)*($G323-AD$303),1,1)),"$",""),"x")),
_xlpm.y, IFERROR(IF(OR(COLUMN(INDIRECT(_xlpm.x))&gt;21, COLUMN(INDIRECT(_xlpm.x)) &lt;2), "x",_xlpm.x),"x"),
_xlpm.y)</f>
        <v>N26</v>
      </c>
      <c r="BB323" s="23" t="str" cm="1">
        <f t="array" aca="1" ref="BB323" ca="1">IFERROR(COLUMN(INDIRECT(AF323)),"x")</f>
        <v>x</v>
      </c>
      <c r="BC323" s="23" t="str" cm="1">
        <f t="array" aca="1" ref="BC323" ca="1">IFERROR(COLUMN(INDIRECT(AG323)),"x")</f>
        <v>x</v>
      </c>
      <c r="BD323" s="23" t="str" cm="1">
        <f t="array" aca="1" ref="BD323" ca="1">IFERROR(COLUMN(INDIRECT(AH323)),"x")</f>
        <v>x</v>
      </c>
      <c r="BE323" s="23" t="str" cm="1">
        <f t="array" aca="1" ref="BE323" ca="1">IFERROR(COLUMN(INDIRECT(AI323)),"x")</f>
        <v>x</v>
      </c>
      <c r="BF323" s="23" t="str" cm="1">
        <f t="array" aca="1" ref="BF323" ca="1">IFERROR(COLUMN(INDIRECT(AJ323)),"x")</f>
        <v>x</v>
      </c>
      <c r="BG323" s="23" t="str" cm="1">
        <f t="array" aca="1" ref="BG323" ca="1">IFERROR(COLUMN(INDIRECT(AK323)),"x")</f>
        <v>x</v>
      </c>
      <c r="BH323" s="23" t="str" cm="1">
        <f t="array" aca="1" ref="BH323" ca="1">IFERROR(COLUMN(INDIRECT(AL323)),"x")</f>
        <v>x</v>
      </c>
      <c r="BI323" s="23" cm="1">
        <f t="array" aca="1" ref="BI323" ca="1">IFERROR(COLUMN(INDIRECT(AM323)),"x")</f>
        <v>21</v>
      </c>
      <c r="BJ323" s="23" cm="1">
        <f t="array" aca="1" ref="BJ323" ca="1">IFERROR(COLUMN(INDIRECT(AN323)),"x")</f>
        <v>20</v>
      </c>
      <c r="BK323" s="23" cm="1">
        <f t="array" aca="1" ref="BK323" ca="1">IFERROR(COLUMN(INDIRECT(AO323)),"x")</f>
        <v>4</v>
      </c>
      <c r="BL323" s="23" cm="1">
        <f t="array" aca="1" ref="BL323" ca="1">IFERROR(COLUMN(INDIRECT(AP323)),"x")</f>
        <v>5</v>
      </c>
      <c r="BM323" s="23" cm="1">
        <f t="array" aca="1" ref="BM323" ca="1">IFERROR(COLUMN(INDIRECT(AQ323)),"x")</f>
        <v>6</v>
      </c>
      <c r="BN323" s="23" cm="1">
        <f t="array" aca="1" ref="BN323" ca="1">IFERROR(COLUMN(INDIRECT(AR323)),"x")</f>
        <v>16</v>
      </c>
      <c r="BO323" s="23" cm="1">
        <f t="array" aca="1" ref="BO323" ca="1">IFERROR(COLUMN(INDIRECT(AS323)),"x")</f>
        <v>15</v>
      </c>
      <c r="BP323" s="23" cm="1">
        <f t="array" aca="1" ref="BP323" ca="1">IFERROR(COLUMN(INDIRECT(AT323)),"x")</f>
        <v>9</v>
      </c>
      <c r="BQ323" s="23" cm="1">
        <f t="array" aca="1" ref="BQ323" ca="1">IFERROR(COLUMN(INDIRECT(AU323)),"x")</f>
        <v>10</v>
      </c>
      <c r="BR323" s="23" cm="1">
        <f t="array" aca="1" ref="BR323" ca="1">IFERROR(COLUMN(INDIRECT(AV323)),"x")</f>
        <v>11</v>
      </c>
      <c r="BS323" s="23" cm="1">
        <f t="array" aca="1" ref="BS323" ca="1">IFERROR(COLUMN(INDIRECT(AW323)),"x")</f>
        <v>12</v>
      </c>
      <c r="BT323" s="23" cm="1">
        <f t="array" aca="1" ref="BT323" ca="1">IFERROR(COLUMN(INDIRECT(AX323)),"x")</f>
        <v>10</v>
      </c>
      <c r="BU323" s="23" cm="1">
        <f t="array" aca="1" ref="BU323" ca="1">IFERROR(COLUMN(INDIRECT(AY323)),"x")</f>
        <v>14</v>
      </c>
      <c r="BW323" s="23" t="str">
        <f t="shared" ca="1" si="40"/>
        <v>x</v>
      </c>
      <c r="BX323" s="23" t="str">
        <f t="shared" ca="1" si="41"/>
        <v>x</v>
      </c>
      <c r="BY323" s="23" t="str">
        <f t="shared" ca="1" si="42"/>
        <v>x</v>
      </c>
      <c r="BZ323" s="23" t="str">
        <f t="shared" ca="1" si="43"/>
        <v>x</v>
      </c>
      <c r="CA323" s="23" t="str">
        <f t="shared" ca="1" si="44"/>
        <v>x</v>
      </c>
      <c r="CB323" s="23" t="str">
        <f t="shared" ca="1" si="45"/>
        <v>x</v>
      </c>
      <c r="CC323" s="23" t="str">
        <f t="shared" ca="1" si="46"/>
        <v>x</v>
      </c>
      <c r="CD323" s="23">
        <f t="shared" ca="1" si="47"/>
        <v>1</v>
      </c>
      <c r="CE323" s="23">
        <f t="shared" ca="1" si="48"/>
        <v>1</v>
      </c>
      <c r="CF323" s="23">
        <f t="shared" ca="1" si="49"/>
        <v>-1</v>
      </c>
      <c r="CG323" s="23">
        <f t="shared" ca="1" si="50"/>
        <v>-1</v>
      </c>
      <c r="CH323" s="23">
        <f t="shared" ca="1" si="51"/>
        <v>-1</v>
      </c>
      <c r="CI323" s="23">
        <f t="shared" ca="1" si="52"/>
        <v>1</v>
      </c>
      <c r="CJ323" s="23">
        <f t="shared" ca="1" si="53"/>
        <v>1</v>
      </c>
      <c r="CK323" s="23">
        <f t="shared" ca="1" si="54"/>
        <v>-1</v>
      </c>
      <c r="CL323" s="23">
        <f t="shared" ca="1" si="55"/>
        <v>-1</v>
      </c>
      <c r="CM323" s="23">
        <f t="shared" ca="1" si="56"/>
        <v>-1</v>
      </c>
      <c r="CN323" s="23">
        <f t="shared" ca="1" si="57"/>
        <v>1</v>
      </c>
      <c r="CO323" s="23">
        <f t="shared" ca="1" si="58"/>
        <v>-1</v>
      </c>
      <c r="CP323" s="23">
        <f t="shared" ca="1" si="59"/>
        <v>1</v>
      </c>
      <c r="CQ323" s="75"/>
      <c r="CR323" s="23" t="str" cm="1">
        <f t="array" aca="1" ref="CR323" ca="1">_xlfn.LET(
_xlpm.x, IFERROR(SUBSTITUTE(CELL("adres",OFFSET(INDIRECT(AF323),,BW323*($I323-$G323)*2,1,1)),"$",""),"x"),
_xlpm.y, IFERROR(IF(OR(COLUMN(INDIRECT(_xlpm.x))&gt;21, COLUMN(INDIRECT(_xlpm.x))&lt;2),"x",_xlpm.x), "x"),
_xlpm.y)</f>
        <v>x</v>
      </c>
      <c r="CS323" s="23" t="str" cm="1">
        <f t="array" aca="1" ref="CS323" ca="1">_xlfn.LET(
_xlpm.x, IFERROR(SUBSTITUTE(CELL("adres",OFFSET(INDIRECT(AG323),,BX323*($I323-$G323)*2,1,1)),"$",""),"x"),
_xlpm.y, IFERROR(IF(OR(COLUMN(INDIRECT(_xlpm.x))&gt;21, COLUMN(INDIRECT(_xlpm.x))&lt;2),"x",_xlpm.x), "x"),
_xlpm.y)</f>
        <v>x</v>
      </c>
      <c r="CT323" s="23" t="str" cm="1">
        <f t="array" aca="1" ref="CT323" ca="1">_xlfn.LET(
_xlpm.x, IFERROR(SUBSTITUTE(CELL("adres",OFFSET(INDIRECT(AH323),,BY323*($I323-$G323)*2,1,1)),"$",""),"x"),
_xlpm.y, IFERROR(IF(OR(COLUMN(INDIRECT(_xlpm.x))&gt;21, COLUMN(INDIRECT(_xlpm.x))&lt;2),"x",_xlpm.x), "x"),
_xlpm.y)</f>
        <v>x</v>
      </c>
      <c r="CU323" s="23" t="str" cm="1">
        <f t="array" aca="1" ref="CU323" ca="1">_xlfn.LET(
_xlpm.x, IFERROR(SUBSTITUTE(CELL("adres",OFFSET(INDIRECT(AI323),,BZ323*($I323-$G323)*2,1,1)),"$",""),"x"),
_xlpm.y, IFERROR(IF(OR(COLUMN(INDIRECT(_xlpm.x))&gt;21, COLUMN(INDIRECT(_xlpm.x))&lt;2),"x",_xlpm.x), "x"),
_xlpm.y)</f>
        <v>x</v>
      </c>
      <c r="CV323" s="23" t="str" cm="1">
        <f t="array" aca="1" ref="CV323" ca="1">_xlfn.LET(
_xlpm.x, IFERROR(SUBSTITUTE(CELL("adres",OFFSET(INDIRECT(AJ323),,CA323*($I323-$G323)*2,1,1)),"$",""),"x"),
_xlpm.y, IFERROR(IF(OR(COLUMN(INDIRECT(_xlpm.x))&gt;21, COLUMN(INDIRECT(_xlpm.x))&lt;2),"x",_xlpm.x), "x"),
_xlpm.y)</f>
        <v>x</v>
      </c>
      <c r="CW323" s="23" t="str" cm="1">
        <f t="array" aca="1" ref="CW323" ca="1">_xlfn.LET(
_xlpm.x, IFERROR(SUBSTITUTE(CELL("adres",OFFSET(INDIRECT(AK323),,CB323*($I323-$G323)*2,1,1)),"$",""),"x"),
_xlpm.y, IFERROR(IF(OR(COLUMN(INDIRECT(_xlpm.x))&gt;21, COLUMN(INDIRECT(_xlpm.x))&lt;2),"x",_xlpm.x), "x"),
_xlpm.y)</f>
        <v>x</v>
      </c>
      <c r="CX323" s="23" t="str" cm="1">
        <f t="array" aca="1" ref="CX323" ca="1">_xlfn.LET(
_xlpm.x, IFERROR(SUBSTITUTE(CELL("adres",OFFSET(INDIRECT(AL323),,CC323*($I323-$G323)*2,1,1)),"$",""),"x"),
_xlpm.y, IFERROR(IF(OR(COLUMN(INDIRECT(_xlpm.x))&gt;21, COLUMN(INDIRECT(_xlpm.x))&lt;2),"x",_xlpm.x), "x"),
_xlpm.y)</f>
        <v>x</v>
      </c>
      <c r="CY323" s="23" t="str" cm="1">
        <f t="array" aca="1" ref="CY323" ca="1">_xlfn.LET(
_xlpm.x, IFERROR(SUBSTITUTE(CELL("adres",OFFSET(INDIRECT(AM323),,CD323*($I323-$G323)*2,1,1)),"$",""),"x"),
_xlpm.y, IFERROR(IF(OR(COLUMN(INDIRECT(_xlpm.x))&gt;21, COLUMN(INDIRECT(_xlpm.x))&lt;2),"x",_xlpm.x), "x"),
_xlpm.y)</f>
        <v>x</v>
      </c>
      <c r="CZ323" s="23" t="str" cm="1">
        <f t="array" aca="1" ref="CZ323" ca="1">_xlfn.LET(
_xlpm.x, IFERROR(SUBSTITUTE(CELL("adres",OFFSET(INDIRECT(AN323),,CE323*($I323-$G323)*2,1,1)),"$",""),"x"),
_xlpm.y, IFERROR(IF(OR(COLUMN(INDIRECT(_xlpm.x))&gt;21, COLUMN(INDIRECT(_xlpm.x))&lt;2),"x",_xlpm.x), "x"),
_xlpm.y)</f>
        <v>x</v>
      </c>
      <c r="DA323" s="23" t="str" cm="1">
        <f t="array" aca="1" ref="DA323" ca="1">_xlfn.LET(
_xlpm.x, IFERROR(SUBSTITUTE(CELL("adres",OFFSET(INDIRECT(AO323),,CF323*($I323-$G323)*2,1,1)),"$",""),"x"),
_xlpm.y, IFERROR(IF(OR(COLUMN(INDIRECT(_xlpm.x))&gt;21, COLUMN(INDIRECT(_xlpm.x))&lt;2),"x",_xlpm.x), "x"),
_xlpm.y)</f>
        <v>x</v>
      </c>
      <c r="DB323" s="23" t="str" cm="1">
        <f t="array" aca="1" ref="DB323" ca="1">_xlfn.LET(
_xlpm.x, IFERROR(SUBSTITUTE(CELL("adres",OFFSET(INDIRECT(AP323),,CG323*($I323-$G323)*2,1,1)),"$",""),"x"),
_xlpm.y, IFERROR(IF(OR(COLUMN(INDIRECT(_xlpm.x))&gt;21, COLUMN(INDIRECT(_xlpm.x))&lt;2),"x",_xlpm.x), "x"),
_xlpm.y)</f>
        <v>x</v>
      </c>
      <c r="DC323" s="23" t="str" cm="1">
        <f t="array" aca="1" ref="DC323" ca="1">_xlfn.LET(
_xlpm.x, IFERROR(SUBSTITUTE(CELL("adres",OFFSET(INDIRECT(AQ323),,CH323*($I323-$G323)*2,1,1)),"$",""),"x"),
_xlpm.y, IFERROR(IF(OR(COLUMN(INDIRECT(_xlpm.x))&gt;21, COLUMN(INDIRECT(_xlpm.x))&lt;2),"x",_xlpm.x), "x"),
_xlpm.y)</f>
        <v>x</v>
      </c>
      <c r="DD323" s="23" t="str" cm="1">
        <f t="array" aca="1" ref="DD323" ca="1">_xlfn.LET(
_xlpm.x, IFERROR(SUBSTITUTE(CELL("adres",OFFSET(INDIRECT(AR323),,CI323*($I323-$G323)*2,1,1)),"$",""),"x"),
_xlpm.y, IFERROR(IF(OR(COLUMN(INDIRECT(_xlpm.x))&gt;21, COLUMN(INDIRECT(_xlpm.x))&lt;2),"x",_xlpm.x), "x"),
_xlpm.y)</f>
        <v>x</v>
      </c>
      <c r="DE323" s="23" t="str" cm="1">
        <f t="array" aca="1" ref="DE323" ca="1">_xlfn.LET(
_xlpm.x, IFERROR(SUBSTITUTE(CELL("adres",OFFSET(INDIRECT(AS323),,CJ323*($I323-$G323)*2,1,1)),"$",""),"x"),
_xlpm.y, IFERROR(IF(OR(COLUMN(INDIRECT(_xlpm.x))&gt;21, COLUMN(INDIRECT(_xlpm.x))&lt;2),"x",_xlpm.x), "x"),
_xlpm.y)</f>
        <v>U10</v>
      </c>
      <c r="DF323" s="23" t="str" cm="1">
        <f t="array" aca="1" ref="DF323" ca="1">_xlfn.LET(
_xlpm.x, IFERROR(SUBSTITUTE(CELL("adres",OFFSET(INDIRECT(AT323),,CK323*($I323-$G323)*2,1,1)),"$",""),"x"),
_xlpm.y, IFERROR(IF(OR(COLUMN(INDIRECT(_xlpm.x))&gt;21, COLUMN(INDIRECT(_xlpm.x))&lt;2),"x",_xlpm.x), "x"),
_xlpm.y)</f>
        <v>C3</v>
      </c>
      <c r="DG323" s="23" t="str" cm="1">
        <f t="array" aca="1" ref="DG323" ca="1">_xlfn.LET(
_xlpm.x, IFERROR(SUBSTITUTE(CELL("adres",OFFSET(INDIRECT(AU323),,CL323*($I323-$G323)*2,1,1)),"$",""),"x"),
_xlpm.y, IFERROR(IF(OR(COLUMN(INDIRECT(_xlpm.x))&gt;21, COLUMN(INDIRECT(_xlpm.x))&lt;2),"x",_xlpm.x), "x"),
_xlpm.y)</f>
        <v>D20</v>
      </c>
      <c r="DH323" s="23" t="str" cm="1">
        <f t="array" aca="1" ref="DH323" ca="1">_xlfn.LET(
_xlpm.x, IFERROR(SUBSTITUTE(CELL("adres",OFFSET(INDIRECT(AV323),,CM323*($I323-$G323)*2,1,1)),"$",""),"x"),
_xlpm.y, IFERROR(IF(OR(COLUMN(INDIRECT(_xlpm.x))&gt;21, COLUMN(INDIRECT(_xlpm.x))&lt;2),"x",_xlpm.x), "x"),
_xlpm.y)</f>
        <v>E10</v>
      </c>
      <c r="DI323" s="23" t="str" cm="1">
        <f t="array" aca="1" ref="DI323" ca="1">_xlfn.LET(
_xlpm.x, IFERROR(SUBSTITUTE(CELL("adres",OFFSET(INDIRECT(AW323),,CN323*($I323-$G323)*2,1,1)),"$",""),"x"),
_xlpm.y, IFERROR(IF(OR(COLUMN(INDIRECT(_xlpm.x))&gt;21, COLUMN(INDIRECT(_xlpm.x))&lt;2),"x",_xlpm.x), "x"),
_xlpm.y)</f>
        <v>R13</v>
      </c>
      <c r="DJ323" s="23" t="str" cm="1">
        <f t="array" aca="1" ref="DJ323" ca="1">_xlfn.LET(
_xlpm.x, IFERROR(SUBSTITUTE(CELL("adres",OFFSET(INDIRECT(AX323),,CO323*($I323-$G323)*2,1,1)),"$",""),"x"),
_xlpm.y, IFERROR(IF(OR(COLUMN(INDIRECT(_xlpm.x))&gt;21, COLUMN(INDIRECT(_xlpm.x))&lt;2),"x",_xlpm.x), "x"),
_xlpm.y)</f>
        <v>D4</v>
      </c>
      <c r="DK323" s="23" t="str" cm="1">
        <f t="array" aca="1" ref="DK323" ca="1">_xlfn.LET(
_xlpm.x, IFERROR(SUBSTITUTE(CELL("adres",OFFSET(INDIRECT(AY323),,CP323*($I323-$G323)*2,1,1)),"$",""),"x"),
_xlpm.y, IFERROR(IF(OR(COLUMN(INDIRECT(_xlpm.x))&gt;21, COLUMN(INDIRECT(_xlpm.x))&lt;2),"x",_xlpm.x), "x"),
_xlpm.y)</f>
        <v>T26</v>
      </c>
      <c r="DM323" s="23" t="e" cm="1">
        <f t="array" aca="1" ref="DM323" ca="1">ROW(INDIRECT(CR323))</f>
        <v>#REF!</v>
      </c>
      <c r="DN323" s="23" cm="1">
        <f t="array" aca="1" ref="DN323" ca="1">ROW(INDIRECT(J323))</f>
        <v>9</v>
      </c>
      <c r="DO323" s="23" t="e">
        <f t="shared" ca="1" si="60"/>
        <v>#REF!</v>
      </c>
      <c r="DP323" s="23" t="e" cm="1">
        <f t="array" aca="1" ref="DP323" ca="1">COLUMN(INDIRECT(CR323))</f>
        <v>#REF!</v>
      </c>
      <c r="DQ323" s="23" cm="1">
        <f t="array" aca="1" ref="DQ323" ca="1">COLUMN(INDIRECT(J323))</f>
        <v>20</v>
      </c>
      <c r="DR323" s="23" t="e">
        <f t="shared" ca="1" si="61"/>
        <v>#REF!</v>
      </c>
      <c r="DS323" s="23">
        <f t="shared" ca="1" si="39"/>
        <v>1000</v>
      </c>
      <c r="DU323" s="23" cm="1">
        <f t="array" aca="1" ref="DU323" ca="1">IFERROR(MAX(ABS(ROW(INDIRECT($J323))-ROW(INDIRECT(CR323))),ABS(COLUMN(INDIRECT($J323))-COLUMN(INDIRECT(CR323)))),1000)</f>
        <v>1000</v>
      </c>
      <c r="DV323" s="23" cm="1">
        <f t="array" aca="1" ref="DV323" ca="1">IFERROR(MAX(ABS(ROW(INDIRECT($J323))-ROW(INDIRECT(CS323))),ABS(COLUMN(INDIRECT($J323))-COLUMN(INDIRECT(CS323)))),1000)</f>
        <v>1000</v>
      </c>
      <c r="DW323" s="23" cm="1">
        <f t="array" aca="1" ref="DW323" ca="1">IFERROR(MAX(ABS(ROW(INDIRECT($J323))-ROW(INDIRECT(CT323))),ABS(COLUMN(INDIRECT($J323))-COLUMN(INDIRECT(CT323)))),1000)</f>
        <v>1000</v>
      </c>
      <c r="DX323" s="23" cm="1">
        <f t="array" aca="1" ref="DX323" ca="1">IFERROR(MAX(ABS(ROW(INDIRECT($J323))-ROW(INDIRECT(CU323))),ABS(COLUMN(INDIRECT($J323))-COLUMN(INDIRECT(CU323)))),1000)</f>
        <v>1000</v>
      </c>
      <c r="DY323" s="23" cm="1">
        <f t="array" aca="1" ref="DY323" ca="1">IFERROR(MAX(ABS(ROW(INDIRECT($J323))-ROW(INDIRECT(CV323))),ABS(COLUMN(INDIRECT($J323))-COLUMN(INDIRECT(CV323)))),1000)</f>
        <v>1000</v>
      </c>
      <c r="DZ323" s="23" cm="1">
        <f t="array" aca="1" ref="DZ323" ca="1">IFERROR(MAX(ABS(ROW(INDIRECT($J323))-ROW(INDIRECT(CW323))),ABS(COLUMN(INDIRECT($J323))-COLUMN(INDIRECT(CW323)))),1000)</f>
        <v>1000</v>
      </c>
      <c r="EA323" s="23" cm="1">
        <f t="array" aca="1" ref="EA323" ca="1">IFERROR(MAX(ABS(ROW(INDIRECT($J323))-ROW(INDIRECT(CX323))),ABS(COLUMN(INDIRECT($J323))-COLUMN(INDIRECT(CX323)))),1000)</f>
        <v>1000</v>
      </c>
      <c r="EB323" s="23" cm="1">
        <f t="array" aca="1" ref="EB323" ca="1">IFERROR(MAX(ABS(ROW(INDIRECT($J323))-ROW(INDIRECT(CY323))),ABS(COLUMN(INDIRECT($J323))-COLUMN(INDIRECT(CY323)))),1000)</f>
        <v>1000</v>
      </c>
      <c r="EC323" s="23" cm="1">
        <f t="array" aca="1" ref="EC323" ca="1">IFERROR(MAX(ABS(ROW(INDIRECT($J323))-ROW(INDIRECT(CZ323))),ABS(COLUMN(INDIRECT($J323))-COLUMN(INDIRECT(CZ323)))),1000)</f>
        <v>1000</v>
      </c>
      <c r="ED323" s="23" cm="1">
        <f t="array" aca="1" ref="ED323" ca="1">IFERROR(MAX(ABS(ROW(INDIRECT($J323))-ROW(INDIRECT(DA323))),ABS(COLUMN(INDIRECT($J323))-COLUMN(INDIRECT(DA323)))),1000)</f>
        <v>1000</v>
      </c>
      <c r="EE323" s="23" cm="1">
        <f t="array" aca="1" ref="EE323" ca="1">IFERROR(MAX(ABS(ROW(INDIRECT($J323))-ROW(INDIRECT(DB323))),ABS(COLUMN(INDIRECT($J323))-COLUMN(INDIRECT(DB323)))),1000)</f>
        <v>1000</v>
      </c>
      <c r="EF323" s="23" cm="1">
        <f t="array" aca="1" ref="EF323" ca="1">IFERROR(MAX(ABS(ROW(INDIRECT($J323))-ROW(INDIRECT(DC323))),ABS(COLUMN(INDIRECT($J323))-COLUMN(INDIRECT(DC323)))),1000)</f>
        <v>1000</v>
      </c>
      <c r="EG323" s="23" cm="1">
        <f t="array" aca="1" ref="EG323" ca="1">IFERROR(MAX(ABS(ROW(INDIRECT($J323))-ROW(INDIRECT(DD323))),ABS(COLUMN(INDIRECT($J323))-COLUMN(INDIRECT(DD323)))),1000)</f>
        <v>1000</v>
      </c>
      <c r="EH323" s="23" cm="1">
        <f t="array" aca="1" ref="EH323" ca="1">IFERROR(MAX(ABS(ROW(INDIRECT($J323))-ROW(INDIRECT(DE323))),ABS(COLUMN(INDIRECT($J323))-COLUMN(INDIRECT(DE323)))),1000)</f>
        <v>1</v>
      </c>
      <c r="EI323" s="23" cm="1">
        <f t="array" aca="1" ref="EI323" ca="1">IFERROR(MAX(ABS(ROW(INDIRECT($J323))-ROW(INDIRECT(DF323))),ABS(COLUMN(INDIRECT($J323))-COLUMN(INDIRECT(DF323)))),1000)</f>
        <v>17</v>
      </c>
      <c r="EJ323" s="23" cm="1">
        <f t="array" aca="1" ref="EJ323" ca="1">IFERROR(MAX(ABS(ROW(INDIRECT($J323))-ROW(INDIRECT(DG323))),ABS(COLUMN(INDIRECT($J323))-COLUMN(INDIRECT(DG323)))),1000)</f>
        <v>16</v>
      </c>
      <c r="EK323" s="23" cm="1">
        <f t="array" aca="1" ref="EK323" ca="1">IFERROR(MAX(ABS(ROW(INDIRECT($J323))-ROW(INDIRECT(DH323))),ABS(COLUMN(INDIRECT($J323))-COLUMN(INDIRECT(DH323)))),1000)</f>
        <v>15</v>
      </c>
      <c r="EL323" s="23" cm="1">
        <f t="array" aca="1" ref="EL323" ca="1">IFERROR(MAX(ABS(ROW(INDIRECT($J323))-ROW(INDIRECT(DI323))),ABS(COLUMN(INDIRECT($J323))-COLUMN(INDIRECT(DI323)))),1000)</f>
        <v>4</v>
      </c>
      <c r="EM323" s="23" cm="1">
        <f t="array" aca="1" ref="EM323" ca="1">IFERROR(MAX(ABS(ROW(INDIRECT($J323))-ROW(INDIRECT(DJ323))),ABS(COLUMN(INDIRECT($J323))-COLUMN(INDIRECT(DJ323)))),1000)</f>
        <v>16</v>
      </c>
      <c r="EN323" s="23" cm="1">
        <f t="array" aca="1" ref="EN323" ca="1">IFERROR(MAX(ABS(ROW(INDIRECT($J323))-ROW(INDIRECT(DK323))),ABS(COLUMN(INDIRECT($J323))-COLUMN(INDIRECT(DK323)))),1000)</f>
        <v>17</v>
      </c>
      <c r="EP323" s="23">
        <f t="shared" ca="1" si="62"/>
        <v>1</v>
      </c>
      <c r="EQ323" s="23">
        <f t="shared" ca="1" si="63"/>
        <v>1</v>
      </c>
      <c r="ER323" s="23">
        <f t="shared" ca="1" si="64"/>
        <v>14</v>
      </c>
      <c r="ES323" s="23" t="str" cm="1">
        <f t="array" aca="1" ref="ES323" ca="1">INDEX(CR323:DK323,1,ER323)</f>
        <v>U10</v>
      </c>
    </row>
    <row r="324" spans="2:149" ht="22.5" customHeight="1">
      <c r="B324" s="32">
        <f t="shared" si="65"/>
        <v>137</v>
      </c>
      <c r="C324" s="32">
        <v>7</v>
      </c>
      <c r="D324" s="30">
        <v>12</v>
      </c>
      <c r="E324" s="34" t="str">
        <f ca="1"/>
        <v>P16</v>
      </c>
      <c r="F324" s="103"/>
      <c r="G324" s="33">
        <v>14</v>
      </c>
      <c r="H324" s="33" t="s">
        <v>305</v>
      </c>
      <c r="I324" s="33">
        <v>16</v>
      </c>
      <c r="J324" s="33" t="s">
        <v>247</v>
      </c>
      <c r="K324" s="33" t="s">
        <v>109</v>
      </c>
      <c r="L324" s="33" t="s">
        <v>83</v>
      </c>
      <c r="M324" s="33" t="s">
        <v>155</v>
      </c>
      <c r="N324" s="33" t="s">
        <v>112</v>
      </c>
      <c r="O324" s="33" t="s">
        <v>82</v>
      </c>
      <c r="P324" s="33" t="s">
        <v>184</v>
      </c>
      <c r="Q324" s="33" t="s">
        <v>56</v>
      </c>
      <c r="R324" s="33" t="s">
        <v>80</v>
      </c>
      <c r="S324" s="33" t="s">
        <v>186</v>
      </c>
      <c r="T324" s="33" t="s">
        <v>186</v>
      </c>
      <c r="U324" s="33" t="s">
        <v>60</v>
      </c>
      <c r="V324" s="33" t="s">
        <v>62</v>
      </c>
      <c r="W324" s="33" t="s">
        <v>84</v>
      </c>
      <c r="X324" s="33" t="s">
        <v>88</v>
      </c>
      <c r="Y324" s="33" t="s">
        <v>59</v>
      </c>
      <c r="Z324" s="33" t="s">
        <v>190</v>
      </c>
      <c r="AA324" s="33" t="s">
        <v>89</v>
      </c>
      <c r="AB324" s="33" t="s">
        <v>114</v>
      </c>
      <c r="AC324" s="33" t="s">
        <v>178</v>
      </c>
      <c r="AD324" s="33" t="s">
        <v>85</v>
      </c>
      <c r="AF324" s="31" t="str" cm="1">
        <f t="array" aca="1" ref="AF324" ca="1">_xlfn.LET(
_xlpm.x, IF(K$303&gt;$G324,"x",IFERROR(SUBSTITUTE(CELL("adres",OFFSET(INDIRECT(K324),,IF(LEFT(K324)="V",-1,1)*($G324-K$303),1,1)),"$",""),"x")),
_xlpm.y, IFERROR(IF(OR(COLUMN(INDIRECT(_xlpm.x))&gt;21, COLUMN(INDIRECT(_xlpm.x)) &lt;2), "x",_xlpm.x),"x"),
_xlpm.y)</f>
        <v>O5</v>
      </c>
      <c r="AG324" s="31" t="str" cm="1">
        <f t="array" aca="1" ref="AG324" ca="1">_xlfn.LET(
_xlpm.x, IF(L$303&gt;$G324,"x",IFERROR(SUBSTITUTE(CELL("adres",OFFSET(INDIRECT(L324),,IF(LEFT(L324)="V",-1,1)*($G324-L$303),1,1)),"$",""),"x")),
_xlpm.y, IFERROR(IF(OR(COLUMN(INDIRECT(_xlpm.x))&gt;21, COLUMN(INDIRECT(_xlpm.x)) &lt;2), "x",_xlpm.x),"x"),
_xlpm.y)</f>
        <v>I21</v>
      </c>
      <c r="AH324" s="31" t="str" cm="1">
        <f t="array" aca="1" ref="AH324" ca="1">_xlfn.LET(
_xlpm.x, IF(M$303&gt;$G324,"x",IFERROR(SUBSTITUTE(CELL("adres",OFFSET(INDIRECT(M324),,IF(LEFT(M324)="V",-1,1)*($G324-M$303),1,1)),"$",""),"x")),
_xlpm.y, IFERROR(IF(OR(COLUMN(INDIRECT(_xlpm.x))&gt;21, COLUMN(INDIRECT(_xlpm.x)) &lt;2), "x",_xlpm.x),"x"),
_xlpm.y)</f>
        <v>J20</v>
      </c>
      <c r="AI324" s="31" t="str" cm="1">
        <f t="array" aca="1" ref="AI324" ca="1">_xlfn.LET(
_xlpm.x, IF(N$303&gt;$G324,"x",IFERROR(SUBSTITUTE(CELL("adres",OFFSET(INDIRECT(N324),,IF(LEFT(N324)="V",-1,1)*($G324-N$303),1,1)),"$",""),"x")),
_xlpm.y, IFERROR(IF(OR(COLUMN(INDIRECT(_xlpm.x))&gt;21, COLUMN(INDIRECT(_xlpm.x)) &lt;2), "x",_xlpm.x),"x"),
_xlpm.y)</f>
        <v>K2</v>
      </c>
      <c r="AJ324" s="31" t="str" cm="1">
        <f t="array" aca="1" ref="AJ324" ca="1">_xlfn.LET(
_xlpm.x, IF(O$303&gt;$G324,"x",IFERROR(SUBSTITUTE(CELL("adres",OFFSET(INDIRECT(O324),,IF(LEFT(O324)="V",-1,1)*($G324-O$303),1,1)),"$",""),"x")),
_xlpm.y, IFERROR(IF(OR(COLUMN(INDIRECT(_xlpm.x))&gt;21, COLUMN(INDIRECT(_xlpm.x)) &lt;2), "x",_xlpm.x),"x"),
_xlpm.y)</f>
        <v>L16</v>
      </c>
      <c r="AK324" s="31" t="str" cm="1">
        <f t="array" aca="1" ref="AK324" ca="1">_xlfn.LET(
_xlpm.x, IF(P$303&gt;$G324,"x",IFERROR(SUBSTITUTE(CELL("adres",OFFSET(INDIRECT(P324),,IF(LEFT(P324)="V",-1,1)*($G324-P$303),1,1)),"$",""),"x")),
_xlpm.y, IFERROR(IF(OR(COLUMN(INDIRECT(_xlpm.x))&gt;21, COLUMN(INDIRECT(_xlpm.x)) &lt;2), "x",_xlpm.x),"x"),
_xlpm.y)</f>
        <v>M19</v>
      </c>
      <c r="AL324" s="31" t="str" cm="1">
        <f t="array" aca="1" ref="AL324" ca="1">_xlfn.LET(
_xlpm.x, IF(Q$303&gt;$G324,"x",IFERROR(SUBSTITUTE(CELL("adres",OFFSET(INDIRECT(Q324),,IF(LEFT(Q324)="V",-1,1)*($G324-Q$303),1,1)),"$",""),"x")),
_xlpm.y, IFERROR(IF(OR(COLUMN(INDIRECT(_xlpm.x))&gt;21, COLUMN(INDIRECT(_xlpm.x)) &lt;2), "x",_xlpm.x),"x"),
_xlpm.y)</f>
        <v>I3</v>
      </c>
      <c r="AM324" s="31" t="str" cm="1">
        <f t="array" aca="1" ref="AM324" ca="1">_xlfn.LET(
_xlpm.x, IF(R$303&gt;$G324,"x",IFERROR(SUBSTITUTE(CELL("adres",OFFSET(INDIRECT(R324),,IF(LEFT(R324)="V",-1,1)*($G324-R$303),1,1)),"$",""),"x")),
_xlpm.y, IFERROR(IF(OR(COLUMN(INDIRECT(_xlpm.x))&gt;21, COLUMN(INDIRECT(_xlpm.x)) &lt;2), "x",_xlpm.x),"x"),
_xlpm.y)</f>
        <v>O6</v>
      </c>
      <c r="AN324" s="31" t="str" cm="1">
        <f t="array" aca="1" ref="AN324" ca="1">_xlfn.LET(
_xlpm.x, IF(S$303&gt;$G324,"x",IFERROR(SUBSTITUTE(CELL("adres",OFFSET(INDIRECT(S324),,IF(LEFT(S324)="V",-1,1)*($G324-S$303),1,1)),"$",""),"x")),
_xlpm.y, IFERROR(IF(OR(COLUMN(INDIRECT(_xlpm.x))&gt;21, COLUMN(INDIRECT(_xlpm.x)) &lt;2), "x",_xlpm.x),"x"),
_xlpm.y)</f>
        <v>P15</v>
      </c>
      <c r="AO324" s="31" t="str" cm="1">
        <f t="array" aca="1" ref="AO324" ca="1">_xlfn.LET(
_xlpm.x, IF(T$303&gt;$G324,"x",IFERROR(SUBSTITUTE(CELL("adres",OFFSET(INDIRECT(T324),,IF(LEFT(T324)="V",-1,1)*($G324-T$303),1,1)),"$",""),"x")),
_xlpm.y, IFERROR(IF(OR(COLUMN(INDIRECT(_xlpm.x))&gt;21, COLUMN(INDIRECT(_xlpm.x)) &lt;2), "x",_xlpm.x),"x"),
_xlpm.y)</f>
        <v>Q15</v>
      </c>
      <c r="AP324" s="31" t="str" cm="1">
        <f t="array" aca="1" ref="AP324" ca="1">_xlfn.LET(
_xlpm.x, IF(U$303&gt;$G324,"x",IFERROR(SUBSTITUTE(CELL("adres",OFFSET(INDIRECT(U324),,IF(LEFT(U324)="V",-1,1)*($G324-U$303),1,1)),"$",""),"x")),
_xlpm.y, IFERROR(IF(OR(COLUMN(INDIRECT(_xlpm.x))&gt;21, COLUMN(INDIRECT(_xlpm.x)) &lt;2), "x",_xlpm.x),"x"),
_xlpm.y)</f>
        <v>E21</v>
      </c>
      <c r="AQ324" s="31" t="str" cm="1">
        <f t="array" aca="1" ref="AQ324" ca="1">_xlfn.LET(
_xlpm.x, IF(V$303&gt;$G324,"x",IFERROR(SUBSTITUTE(CELL("adres",OFFSET(INDIRECT(V324),,IF(LEFT(V324)="V",-1,1)*($G324-V$303),1,1)),"$",""),"x")),
_xlpm.y, IFERROR(IF(OR(COLUMN(INDIRECT(_xlpm.x))&gt;21, COLUMN(INDIRECT(_xlpm.x)) &lt;2), "x",_xlpm.x),"x"),
_xlpm.y)</f>
        <v>D6</v>
      </c>
      <c r="AR324" s="31" t="str" cm="1">
        <f t="array" aca="1" ref="AR324" ca="1">_xlfn.LET(
_xlpm.x, IF(W$303&gt;$G324,"x",IFERROR(SUBSTITUTE(CELL("adres",OFFSET(INDIRECT(W324),,IF(LEFT(W324)="V",-1,1)*($G324-W$303),1,1)),"$",""),"x")),
_xlpm.y, IFERROR(IF(OR(COLUMN(INDIRECT(_xlpm.x))&gt;21, COLUMN(INDIRECT(_xlpm.x)) &lt;2), "x",_xlpm.x),"x"),
_xlpm.y)</f>
        <v>T26</v>
      </c>
      <c r="AS324" s="31" t="str" cm="1">
        <f t="array" aca="1" ref="AS324" ca="1">_xlfn.LET(
_xlpm.x, IF(X$303&gt;$G324,"x",IFERROR(SUBSTITUTE(CELL("adres",OFFSET(INDIRECT(X324),,IF(LEFT(X324)="V",-1,1)*($G324-X$303),1,1)),"$",""),"x")),
_xlpm.y, IFERROR(IF(OR(COLUMN(INDIRECT(_xlpm.x))&gt;21, COLUMN(INDIRECT(_xlpm.x)) &lt;2), "x",_xlpm.x),"x"),
_xlpm.y)</f>
        <v>U9</v>
      </c>
      <c r="AT324" s="31" t="str" cm="1">
        <f t="array" aca="1" ref="AT324" ca="1">_xlfn.LET(
_xlpm.x, IF(Y$303&gt;$G324,"x",IFERROR(SUBSTITUTE(CELL("adres",OFFSET(INDIRECT(Y324),,IF(LEFT(Y324)="V",-1,1)*($G324-Y$303),1,1)),"$",""),"x")),
_xlpm.y, IFERROR(IF(OR(COLUMN(INDIRECT(_xlpm.x))&gt;21, COLUMN(INDIRECT(_xlpm.x)) &lt;2), "x",_xlpm.x),"x"),
_xlpm.y)</f>
        <v>x</v>
      </c>
      <c r="AU324" s="31" t="str" cm="1">
        <f t="array" aca="1" ref="AU324" ca="1">_xlfn.LET(
_xlpm.x, IF(Z$303&gt;$G324,"x",IFERROR(SUBSTITUTE(CELL("adres",OFFSET(INDIRECT(Z324),,IF(LEFT(Z324)="V",-1,1)*($G324-Z$303),1,1)),"$",""),"x")),
_xlpm.y, IFERROR(IF(OR(COLUMN(INDIRECT(_xlpm.x))&gt;21, COLUMN(INDIRECT(_xlpm.x)) &lt;2), "x",_xlpm.x),"x"),
_xlpm.y)</f>
        <v>x</v>
      </c>
      <c r="AV324" s="31" t="str" cm="1">
        <f t="array" aca="1" ref="AV324" ca="1">_xlfn.LET(
_xlpm.x, IF(AA$303&gt;$G324,"x",IFERROR(SUBSTITUTE(CELL("adres",OFFSET(INDIRECT(AA324),,IF(LEFT(AA324)="V",-1,1)*($G324-AA$303),1,1)),"$",""),"x")),
_xlpm.y, IFERROR(IF(OR(COLUMN(INDIRECT(_xlpm.x))&gt;21, COLUMN(INDIRECT(_xlpm.x)) &lt;2), "x",_xlpm.x),"x"),
_xlpm.y)</f>
        <v>x</v>
      </c>
      <c r="AW324" s="31" t="str" cm="1">
        <f t="array" aca="1" ref="AW324" ca="1">_xlfn.LET(
_xlpm.x, IF(AB$303&gt;$G324,"x",IFERROR(SUBSTITUTE(CELL("adres",OFFSET(INDIRECT(AB324),,IF(LEFT(AB324)="V",-1,1)*($G324-AB$303),1,1)),"$",""),"x")),
_xlpm.y, IFERROR(IF(OR(COLUMN(INDIRECT(_xlpm.x))&gt;21, COLUMN(INDIRECT(_xlpm.x)) &lt;2), "x",_xlpm.x),"x"),
_xlpm.y)</f>
        <v>x</v>
      </c>
      <c r="AX324" s="31" t="str" cm="1">
        <f t="array" aca="1" ref="AX324" ca="1">_xlfn.LET(
_xlpm.x, IF(AC$303&gt;$G324,"x",IFERROR(SUBSTITUTE(CELL("adres",OFFSET(INDIRECT(AC324),,IF(LEFT(AC324)="V",-1,1)*($G324-AC$303),1,1)),"$",""),"x")),
_xlpm.y, IFERROR(IF(OR(COLUMN(INDIRECT(_xlpm.x))&gt;21, COLUMN(INDIRECT(_xlpm.x)) &lt;2), "x",_xlpm.x),"x"),
_xlpm.y)</f>
        <v>x</v>
      </c>
      <c r="AY324" s="31" t="str" cm="1">
        <f t="array" aca="1" ref="AY324" ca="1">_xlfn.LET(
_xlpm.x, IF(AD$303&gt;$G324,"x",IFERROR(SUBSTITUTE(CELL("adres",OFFSET(INDIRECT(AD324),,IF(LEFT(AD324)="V",-1,1)*($G324-AD$303),1,1)),"$",""),"x")),
_xlpm.y, IFERROR(IF(OR(COLUMN(INDIRECT(_xlpm.x))&gt;21, COLUMN(INDIRECT(_xlpm.x)) &lt;2), "x",_xlpm.x),"x"),
_xlpm.y)</f>
        <v>x</v>
      </c>
      <c r="BB324" s="23" cm="1">
        <f t="array" aca="1" ref="BB324" ca="1">IFERROR(COLUMN(INDIRECT(AF324)),"x")</f>
        <v>15</v>
      </c>
      <c r="BC324" s="23" cm="1">
        <f t="array" aca="1" ref="BC324" ca="1">IFERROR(COLUMN(INDIRECT(AG324)),"x")</f>
        <v>9</v>
      </c>
      <c r="BD324" s="23" cm="1">
        <f t="array" aca="1" ref="BD324" ca="1">IFERROR(COLUMN(INDIRECT(AH324)),"x")</f>
        <v>10</v>
      </c>
      <c r="BE324" s="23" cm="1">
        <f t="array" aca="1" ref="BE324" ca="1">IFERROR(COLUMN(INDIRECT(AI324)),"x")</f>
        <v>11</v>
      </c>
      <c r="BF324" s="23" cm="1">
        <f t="array" aca="1" ref="BF324" ca="1">IFERROR(COLUMN(INDIRECT(AJ324)),"x")</f>
        <v>12</v>
      </c>
      <c r="BG324" s="23" cm="1">
        <f t="array" aca="1" ref="BG324" ca="1">IFERROR(COLUMN(INDIRECT(AK324)),"x")</f>
        <v>13</v>
      </c>
      <c r="BH324" s="23" cm="1">
        <f t="array" aca="1" ref="BH324" ca="1">IFERROR(COLUMN(INDIRECT(AL324)),"x")</f>
        <v>9</v>
      </c>
      <c r="BI324" s="23" cm="1">
        <f t="array" aca="1" ref="BI324" ca="1">IFERROR(COLUMN(INDIRECT(AM324)),"x")</f>
        <v>15</v>
      </c>
      <c r="BJ324" s="23" cm="1">
        <f t="array" aca="1" ref="BJ324" ca="1">IFERROR(COLUMN(INDIRECT(AN324)),"x")</f>
        <v>16</v>
      </c>
      <c r="BK324" s="23" cm="1">
        <f t="array" aca="1" ref="BK324" ca="1">IFERROR(COLUMN(INDIRECT(AO324)),"x")</f>
        <v>17</v>
      </c>
      <c r="BL324" s="23" cm="1">
        <f t="array" aca="1" ref="BL324" ca="1">IFERROR(COLUMN(INDIRECT(AP324)),"x")</f>
        <v>5</v>
      </c>
      <c r="BM324" s="23" cm="1">
        <f t="array" aca="1" ref="BM324" ca="1">IFERROR(COLUMN(INDIRECT(AQ324)),"x")</f>
        <v>4</v>
      </c>
      <c r="BN324" s="23" cm="1">
        <f t="array" aca="1" ref="BN324" ca="1">IFERROR(COLUMN(INDIRECT(AR324)),"x")</f>
        <v>20</v>
      </c>
      <c r="BO324" s="23" cm="1">
        <f t="array" aca="1" ref="BO324" ca="1">IFERROR(COLUMN(INDIRECT(AS324)),"x")</f>
        <v>21</v>
      </c>
      <c r="BP324" s="23" t="str" cm="1">
        <f t="array" aca="1" ref="BP324" ca="1">IFERROR(COLUMN(INDIRECT(AT324)),"x")</f>
        <v>x</v>
      </c>
      <c r="BQ324" s="23" t="str" cm="1">
        <f t="array" aca="1" ref="BQ324" ca="1">IFERROR(COLUMN(INDIRECT(AU324)),"x")</f>
        <v>x</v>
      </c>
      <c r="BR324" s="23" t="str" cm="1">
        <f t="array" aca="1" ref="BR324" ca="1">IFERROR(COLUMN(INDIRECT(AV324)),"x")</f>
        <v>x</v>
      </c>
      <c r="BS324" s="23" t="str" cm="1">
        <f t="array" aca="1" ref="BS324" ca="1">IFERROR(COLUMN(INDIRECT(AW324)),"x")</f>
        <v>x</v>
      </c>
      <c r="BT324" s="23" t="str" cm="1">
        <f t="array" aca="1" ref="BT324" ca="1">IFERROR(COLUMN(INDIRECT(AX324)),"x")</f>
        <v>x</v>
      </c>
      <c r="BU324" s="23" t="str" cm="1">
        <f t="array" aca="1" ref="BU324" ca="1">IFERROR(COLUMN(INDIRECT(AY324)),"x")</f>
        <v>x</v>
      </c>
      <c r="BW324" s="23">
        <f t="shared" ca="1" si="40"/>
        <v>1</v>
      </c>
      <c r="BX324" s="23">
        <f t="shared" ca="1" si="41"/>
        <v>-1</v>
      </c>
      <c r="BY324" s="23">
        <f t="shared" ca="1" si="42"/>
        <v>-1</v>
      </c>
      <c r="BZ324" s="23">
        <f t="shared" ca="1" si="43"/>
        <v>-1</v>
      </c>
      <c r="CA324" s="23">
        <f t="shared" ca="1" si="44"/>
        <v>1</v>
      </c>
      <c r="CB324" s="23">
        <f t="shared" ca="1" si="45"/>
        <v>1</v>
      </c>
      <c r="CC324" s="23">
        <f t="shared" ca="1" si="46"/>
        <v>-1</v>
      </c>
      <c r="CD324" s="23">
        <f t="shared" ca="1" si="47"/>
        <v>1</v>
      </c>
      <c r="CE324" s="23">
        <f t="shared" ca="1" si="48"/>
        <v>1</v>
      </c>
      <c r="CF324" s="23">
        <f t="shared" ca="1" si="49"/>
        <v>1</v>
      </c>
      <c r="CG324" s="23">
        <f t="shared" ca="1" si="50"/>
        <v>-1</v>
      </c>
      <c r="CH324" s="23">
        <f t="shared" ca="1" si="51"/>
        <v>-1</v>
      </c>
      <c r="CI324" s="23">
        <f t="shared" ca="1" si="52"/>
        <v>1</v>
      </c>
      <c r="CJ324" s="23">
        <f t="shared" ca="1" si="53"/>
        <v>1</v>
      </c>
      <c r="CK324" s="23" t="str">
        <f t="shared" ca="1" si="54"/>
        <v>x</v>
      </c>
      <c r="CL324" s="23" t="str">
        <f t="shared" ca="1" si="55"/>
        <v>x</v>
      </c>
      <c r="CM324" s="23" t="str">
        <f t="shared" ca="1" si="56"/>
        <v>x</v>
      </c>
      <c r="CN324" s="23" t="str">
        <f t="shared" ca="1" si="57"/>
        <v>x</v>
      </c>
      <c r="CO324" s="23" t="str">
        <f t="shared" ca="1" si="58"/>
        <v>x</v>
      </c>
      <c r="CP324" s="23" t="str">
        <f t="shared" ca="1" si="59"/>
        <v>x</v>
      </c>
      <c r="CQ324" s="75"/>
      <c r="CR324" s="23" t="str" cm="1">
        <f t="array" aca="1" ref="CR324" ca="1">_xlfn.LET(
_xlpm.x, IFERROR(SUBSTITUTE(CELL("adres",OFFSET(INDIRECT(AF324),,BW324*($I324-$G324)*2,1,1)),"$",""),"x"),
_xlpm.y, IFERROR(IF(OR(COLUMN(INDIRECT(_xlpm.x))&gt;21, COLUMN(INDIRECT(_xlpm.x))&lt;2),"x",_xlpm.x), "x"),
_xlpm.y)</f>
        <v>S5</v>
      </c>
      <c r="CS324" s="23" t="str" cm="1">
        <f t="array" aca="1" ref="CS324" ca="1">_xlfn.LET(
_xlpm.x, IFERROR(SUBSTITUTE(CELL("adres",OFFSET(INDIRECT(AG324),,BX324*($I324-$G324)*2,1,1)),"$",""),"x"),
_xlpm.y, IFERROR(IF(OR(COLUMN(INDIRECT(_xlpm.x))&gt;21, COLUMN(INDIRECT(_xlpm.x))&lt;2),"x",_xlpm.x), "x"),
_xlpm.y)</f>
        <v>E21</v>
      </c>
      <c r="CT324" s="23" t="str" cm="1">
        <f t="array" aca="1" ref="CT324" ca="1">_xlfn.LET(
_xlpm.x, IFERROR(SUBSTITUTE(CELL("adres",OFFSET(INDIRECT(AH324),,BY324*($I324-$G324)*2,1,1)),"$",""),"x"),
_xlpm.y, IFERROR(IF(OR(COLUMN(INDIRECT(_xlpm.x))&gt;21, COLUMN(INDIRECT(_xlpm.x))&lt;2),"x",_xlpm.x), "x"),
_xlpm.y)</f>
        <v>F20</v>
      </c>
      <c r="CU324" s="23" t="str" cm="1">
        <f t="array" aca="1" ref="CU324" ca="1">_xlfn.LET(
_xlpm.x, IFERROR(SUBSTITUTE(CELL("adres",OFFSET(INDIRECT(AI324),,BZ324*($I324-$G324)*2,1,1)),"$",""),"x"),
_xlpm.y, IFERROR(IF(OR(COLUMN(INDIRECT(_xlpm.x))&gt;21, COLUMN(INDIRECT(_xlpm.x))&lt;2),"x",_xlpm.x), "x"),
_xlpm.y)</f>
        <v>G2</v>
      </c>
      <c r="CV324" s="23" t="str" cm="1">
        <f t="array" aca="1" ref="CV324" ca="1">_xlfn.LET(
_xlpm.x, IFERROR(SUBSTITUTE(CELL("adres",OFFSET(INDIRECT(AJ324),,CA324*($I324-$G324)*2,1,1)),"$",""),"x"),
_xlpm.y, IFERROR(IF(OR(COLUMN(INDIRECT(_xlpm.x))&gt;21, COLUMN(INDIRECT(_xlpm.x))&lt;2),"x",_xlpm.x), "x"),
_xlpm.y)</f>
        <v>P16</v>
      </c>
      <c r="CW324" s="23" t="str" cm="1">
        <f t="array" aca="1" ref="CW324" ca="1">_xlfn.LET(
_xlpm.x, IFERROR(SUBSTITUTE(CELL("adres",OFFSET(INDIRECT(AK324),,CB324*($I324-$G324)*2,1,1)),"$",""),"x"),
_xlpm.y, IFERROR(IF(OR(COLUMN(INDIRECT(_xlpm.x))&gt;21, COLUMN(INDIRECT(_xlpm.x))&lt;2),"x",_xlpm.x), "x"),
_xlpm.y)</f>
        <v>Q19</v>
      </c>
      <c r="CX324" s="23" t="str" cm="1">
        <f t="array" aca="1" ref="CX324" ca="1">_xlfn.LET(
_xlpm.x, IFERROR(SUBSTITUTE(CELL("adres",OFFSET(INDIRECT(AL324),,CC324*($I324-$G324)*2,1,1)),"$",""),"x"),
_xlpm.y, IFERROR(IF(OR(COLUMN(INDIRECT(_xlpm.x))&gt;21, COLUMN(INDIRECT(_xlpm.x))&lt;2),"x",_xlpm.x), "x"),
_xlpm.y)</f>
        <v>E3</v>
      </c>
      <c r="CY324" s="23" t="str" cm="1">
        <f t="array" aca="1" ref="CY324" ca="1">_xlfn.LET(
_xlpm.x, IFERROR(SUBSTITUTE(CELL("adres",OFFSET(INDIRECT(AM324),,CD324*($I324-$G324)*2,1,1)),"$",""),"x"),
_xlpm.y, IFERROR(IF(OR(COLUMN(INDIRECT(_xlpm.x))&gt;21, COLUMN(INDIRECT(_xlpm.x))&lt;2),"x",_xlpm.x), "x"),
_xlpm.y)</f>
        <v>S6</v>
      </c>
      <c r="CZ324" s="23" t="str" cm="1">
        <f t="array" aca="1" ref="CZ324" ca="1">_xlfn.LET(
_xlpm.x, IFERROR(SUBSTITUTE(CELL("adres",OFFSET(INDIRECT(AN324),,CE324*($I324-$G324)*2,1,1)),"$",""),"x"),
_xlpm.y, IFERROR(IF(OR(COLUMN(INDIRECT(_xlpm.x))&gt;21, COLUMN(INDIRECT(_xlpm.x))&lt;2),"x",_xlpm.x), "x"),
_xlpm.y)</f>
        <v>T15</v>
      </c>
      <c r="DA324" s="23" t="str" cm="1">
        <f t="array" aca="1" ref="DA324" ca="1">_xlfn.LET(
_xlpm.x, IFERROR(SUBSTITUTE(CELL("adres",OFFSET(INDIRECT(AO324),,CF324*($I324-$G324)*2,1,1)),"$",""),"x"),
_xlpm.y, IFERROR(IF(OR(COLUMN(INDIRECT(_xlpm.x))&gt;21, COLUMN(INDIRECT(_xlpm.x))&lt;2),"x",_xlpm.x), "x"),
_xlpm.y)</f>
        <v>U15</v>
      </c>
      <c r="DB324" s="23" t="str" cm="1">
        <f t="array" aca="1" ref="DB324" ca="1">_xlfn.LET(
_xlpm.x, IFERROR(SUBSTITUTE(CELL("adres",OFFSET(INDIRECT(AP324),,CG324*($I324-$G324)*2,1,1)),"$",""),"x"),
_xlpm.y, IFERROR(IF(OR(COLUMN(INDIRECT(_xlpm.x))&gt;21, COLUMN(INDIRECT(_xlpm.x))&lt;2),"x",_xlpm.x), "x"),
_xlpm.y)</f>
        <v>x</v>
      </c>
      <c r="DC324" s="23" t="str" cm="1">
        <f t="array" aca="1" ref="DC324" ca="1">_xlfn.LET(
_xlpm.x, IFERROR(SUBSTITUTE(CELL("adres",OFFSET(INDIRECT(AQ324),,CH324*($I324-$G324)*2,1,1)),"$",""),"x"),
_xlpm.y, IFERROR(IF(OR(COLUMN(INDIRECT(_xlpm.x))&gt;21, COLUMN(INDIRECT(_xlpm.x))&lt;2),"x",_xlpm.x), "x"),
_xlpm.y)</f>
        <v>x</v>
      </c>
      <c r="DD324" s="23" t="str" cm="1">
        <f t="array" aca="1" ref="DD324" ca="1">_xlfn.LET(
_xlpm.x, IFERROR(SUBSTITUTE(CELL("adres",OFFSET(INDIRECT(AR324),,CI324*($I324-$G324)*2,1,1)),"$",""),"x"),
_xlpm.y, IFERROR(IF(OR(COLUMN(INDIRECT(_xlpm.x))&gt;21, COLUMN(INDIRECT(_xlpm.x))&lt;2),"x",_xlpm.x), "x"),
_xlpm.y)</f>
        <v>x</v>
      </c>
      <c r="DE324" s="23" t="str" cm="1">
        <f t="array" aca="1" ref="DE324" ca="1">_xlfn.LET(
_xlpm.x, IFERROR(SUBSTITUTE(CELL("adres",OFFSET(INDIRECT(AS324),,CJ324*($I324-$G324)*2,1,1)),"$",""),"x"),
_xlpm.y, IFERROR(IF(OR(COLUMN(INDIRECT(_xlpm.x))&gt;21, COLUMN(INDIRECT(_xlpm.x))&lt;2),"x",_xlpm.x), "x"),
_xlpm.y)</f>
        <v>x</v>
      </c>
      <c r="DF324" s="23" t="str" cm="1">
        <f t="array" aca="1" ref="DF324" ca="1">_xlfn.LET(
_xlpm.x, IFERROR(SUBSTITUTE(CELL("adres",OFFSET(INDIRECT(AT324),,CK324*($I324-$G324)*2,1,1)),"$",""),"x"),
_xlpm.y, IFERROR(IF(OR(COLUMN(INDIRECT(_xlpm.x))&gt;21, COLUMN(INDIRECT(_xlpm.x))&lt;2),"x",_xlpm.x), "x"),
_xlpm.y)</f>
        <v>x</v>
      </c>
      <c r="DG324" s="23" t="str" cm="1">
        <f t="array" aca="1" ref="DG324" ca="1">_xlfn.LET(
_xlpm.x, IFERROR(SUBSTITUTE(CELL("adres",OFFSET(INDIRECT(AU324),,CL324*($I324-$G324)*2,1,1)),"$",""),"x"),
_xlpm.y, IFERROR(IF(OR(COLUMN(INDIRECT(_xlpm.x))&gt;21, COLUMN(INDIRECT(_xlpm.x))&lt;2),"x",_xlpm.x), "x"),
_xlpm.y)</f>
        <v>x</v>
      </c>
      <c r="DH324" s="23" t="str" cm="1">
        <f t="array" aca="1" ref="DH324" ca="1">_xlfn.LET(
_xlpm.x, IFERROR(SUBSTITUTE(CELL("adres",OFFSET(INDIRECT(AV324),,CM324*($I324-$G324)*2,1,1)),"$",""),"x"),
_xlpm.y, IFERROR(IF(OR(COLUMN(INDIRECT(_xlpm.x))&gt;21, COLUMN(INDIRECT(_xlpm.x))&lt;2),"x",_xlpm.x), "x"),
_xlpm.y)</f>
        <v>x</v>
      </c>
      <c r="DI324" s="23" t="str" cm="1">
        <f t="array" aca="1" ref="DI324" ca="1">_xlfn.LET(
_xlpm.x, IFERROR(SUBSTITUTE(CELL("adres",OFFSET(INDIRECT(AW324),,CN324*($I324-$G324)*2,1,1)),"$",""),"x"),
_xlpm.y, IFERROR(IF(OR(COLUMN(INDIRECT(_xlpm.x))&gt;21, COLUMN(INDIRECT(_xlpm.x))&lt;2),"x",_xlpm.x), "x"),
_xlpm.y)</f>
        <v>x</v>
      </c>
      <c r="DJ324" s="23" t="str" cm="1">
        <f t="array" aca="1" ref="DJ324" ca="1">_xlfn.LET(
_xlpm.x, IFERROR(SUBSTITUTE(CELL("adres",OFFSET(INDIRECT(AX324),,CO324*($I324-$G324)*2,1,1)),"$",""),"x"),
_xlpm.y, IFERROR(IF(OR(COLUMN(INDIRECT(_xlpm.x))&gt;21, COLUMN(INDIRECT(_xlpm.x))&lt;2),"x",_xlpm.x), "x"),
_xlpm.y)</f>
        <v>x</v>
      </c>
      <c r="DK324" s="23" t="str" cm="1">
        <f t="array" aca="1" ref="DK324" ca="1">_xlfn.LET(
_xlpm.x, IFERROR(SUBSTITUTE(CELL("adres",OFFSET(INDIRECT(AY324),,CP324*($I324-$G324)*2,1,1)),"$",""),"x"),
_xlpm.y, IFERROR(IF(OR(COLUMN(INDIRECT(_xlpm.x))&gt;21, COLUMN(INDIRECT(_xlpm.x))&lt;2),"x",_xlpm.x), "x"),
_xlpm.y)</f>
        <v>x</v>
      </c>
      <c r="DM324" s="23" cm="1">
        <f t="array" aca="1" ref="DM324" ca="1">ROW(INDIRECT(CR324))</f>
        <v>5</v>
      </c>
      <c r="DN324" s="23" cm="1">
        <f t="array" aca="1" ref="DN324" ca="1">ROW(INDIRECT(J324))</f>
        <v>13</v>
      </c>
      <c r="DO324" s="23">
        <f t="shared" ca="1" si="60"/>
        <v>8</v>
      </c>
      <c r="DP324" s="23" cm="1">
        <f t="array" aca="1" ref="DP324" ca="1">COLUMN(INDIRECT(CR324))</f>
        <v>19</v>
      </c>
      <c r="DQ324" s="23" cm="1">
        <f t="array" aca="1" ref="DQ324" ca="1">COLUMN(INDIRECT(J324))</f>
        <v>13</v>
      </c>
      <c r="DR324" s="23">
        <f t="shared" ca="1" si="61"/>
        <v>6</v>
      </c>
      <c r="DS324" s="23">
        <f t="shared" ca="1" si="39"/>
        <v>8</v>
      </c>
      <c r="DU324" s="23" cm="1">
        <f t="array" aca="1" ref="DU324" ca="1">IFERROR(MAX(ABS(ROW(INDIRECT($J324))-ROW(INDIRECT(CR324))),ABS(COLUMN(INDIRECT($J324))-COLUMN(INDIRECT(CR324)))),1000)</f>
        <v>8</v>
      </c>
      <c r="DV324" s="23" cm="1">
        <f t="array" aca="1" ref="DV324" ca="1">IFERROR(MAX(ABS(ROW(INDIRECT($J324))-ROW(INDIRECT(CS324))),ABS(COLUMN(INDIRECT($J324))-COLUMN(INDIRECT(CS324)))),1000)</f>
        <v>8</v>
      </c>
      <c r="DW324" s="23" cm="1">
        <f t="array" aca="1" ref="DW324" ca="1">IFERROR(MAX(ABS(ROW(INDIRECT($J324))-ROW(INDIRECT(CT324))),ABS(COLUMN(INDIRECT($J324))-COLUMN(INDIRECT(CT324)))),1000)</f>
        <v>7</v>
      </c>
      <c r="DX324" s="23" cm="1">
        <f t="array" aca="1" ref="DX324" ca="1">IFERROR(MAX(ABS(ROW(INDIRECT($J324))-ROW(INDIRECT(CU324))),ABS(COLUMN(INDIRECT($J324))-COLUMN(INDIRECT(CU324)))),1000)</f>
        <v>11</v>
      </c>
      <c r="DY324" s="23" cm="1">
        <f t="array" aca="1" ref="DY324" ca="1">IFERROR(MAX(ABS(ROW(INDIRECT($J324))-ROW(INDIRECT(CV324))),ABS(COLUMN(INDIRECT($J324))-COLUMN(INDIRECT(CV324)))),1000)</f>
        <v>3</v>
      </c>
      <c r="DZ324" s="23" cm="1">
        <f t="array" aca="1" ref="DZ324" ca="1">IFERROR(MAX(ABS(ROW(INDIRECT($J324))-ROW(INDIRECT(CW324))),ABS(COLUMN(INDIRECT($J324))-COLUMN(INDIRECT(CW324)))),1000)</f>
        <v>6</v>
      </c>
      <c r="EA324" s="23" cm="1">
        <f t="array" aca="1" ref="EA324" ca="1">IFERROR(MAX(ABS(ROW(INDIRECT($J324))-ROW(INDIRECT(CX324))),ABS(COLUMN(INDIRECT($J324))-COLUMN(INDIRECT(CX324)))),1000)</f>
        <v>10</v>
      </c>
      <c r="EB324" s="23" cm="1">
        <f t="array" aca="1" ref="EB324" ca="1">IFERROR(MAX(ABS(ROW(INDIRECT($J324))-ROW(INDIRECT(CY324))),ABS(COLUMN(INDIRECT($J324))-COLUMN(INDIRECT(CY324)))),1000)</f>
        <v>7</v>
      </c>
      <c r="EC324" s="23" cm="1">
        <f t="array" aca="1" ref="EC324" ca="1">IFERROR(MAX(ABS(ROW(INDIRECT($J324))-ROW(INDIRECT(CZ324))),ABS(COLUMN(INDIRECT($J324))-COLUMN(INDIRECT(CZ324)))),1000)</f>
        <v>7</v>
      </c>
      <c r="ED324" s="23" cm="1">
        <f t="array" aca="1" ref="ED324" ca="1">IFERROR(MAX(ABS(ROW(INDIRECT($J324))-ROW(INDIRECT(DA324))),ABS(COLUMN(INDIRECT($J324))-COLUMN(INDIRECT(DA324)))),1000)</f>
        <v>8</v>
      </c>
      <c r="EE324" s="23" cm="1">
        <f t="array" aca="1" ref="EE324" ca="1">IFERROR(MAX(ABS(ROW(INDIRECT($J324))-ROW(INDIRECT(DB324))),ABS(COLUMN(INDIRECT($J324))-COLUMN(INDIRECT(DB324)))),1000)</f>
        <v>1000</v>
      </c>
      <c r="EF324" s="23" cm="1">
        <f t="array" aca="1" ref="EF324" ca="1">IFERROR(MAX(ABS(ROW(INDIRECT($J324))-ROW(INDIRECT(DC324))),ABS(COLUMN(INDIRECT($J324))-COLUMN(INDIRECT(DC324)))),1000)</f>
        <v>1000</v>
      </c>
      <c r="EG324" s="23" cm="1">
        <f t="array" aca="1" ref="EG324" ca="1">IFERROR(MAX(ABS(ROW(INDIRECT($J324))-ROW(INDIRECT(DD324))),ABS(COLUMN(INDIRECT($J324))-COLUMN(INDIRECT(DD324)))),1000)</f>
        <v>1000</v>
      </c>
      <c r="EH324" s="23" cm="1">
        <f t="array" aca="1" ref="EH324" ca="1">IFERROR(MAX(ABS(ROW(INDIRECT($J324))-ROW(INDIRECT(DE324))),ABS(COLUMN(INDIRECT($J324))-COLUMN(INDIRECT(DE324)))),1000)</f>
        <v>1000</v>
      </c>
      <c r="EI324" s="23" cm="1">
        <f t="array" aca="1" ref="EI324" ca="1">IFERROR(MAX(ABS(ROW(INDIRECT($J324))-ROW(INDIRECT(DF324))),ABS(COLUMN(INDIRECT($J324))-COLUMN(INDIRECT(DF324)))),1000)</f>
        <v>1000</v>
      </c>
      <c r="EJ324" s="23" cm="1">
        <f t="array" aca="1" ref="EJ324" ca="1">IFERROR(MAX(ABS(ROW(INDIRECT($J324))-ROW(INDIRECT(DG324))),ABS(COLUMN(INDIRECT($J324))-COLUMN(INDIRECT(DG324)))),1000)</f>
        <v>1000</v>
      </c>
      <c r="EK324" s="23" cm="1">
        <f t="array" aca="1" ref="EK324" ca="1">IFERROR(MAX(ABS(ROW(INDIRECT($J324))-ROW(INDIRECT(DH324))),ABS(COLUMN(INDIRECT($J324))-COLUMN(INDIRECT(DH324)))),1000)</f>
        <v>1000</v>
      </c>
      <c r="EL324" s="23" cm="1">
        <f t="array" aca="1" ref="EL324" ca="1">IFERROR(MAX(ABS(ROW(INDIRECT($J324))-ROW(INDIRECT(DI324))),ABS(COLUMN(INDIRECT($J324))-COLUMN(INDIRECT(DI324)))),1000)</f>
        <v>1000</v>
      </c>
      <c r="EM324" s="23" cm="1">
        <f t="array" aca="1" ref="EM324" ca="1">IFERROR(MAX(ABS(ROW(INDIRECT($J324))-ROW(INDIRECT(DJ324))),ABS(COLUMN(INDIRECT($J324))-COLUMN(INDIRECT(DJ324)))),1000)</f>
        <v>1000</v>
      </c>
      <c r="EN324" s="23" cm="1">
        <f t="array" aca="1" ref="EN324" ca="1">IFERROR(MAX(ABS(ROW(INDIRECT($J324))-ROW(INDIRECT(DK324))),ABS(COLUMN(INDIRECT($J324))-COLUMN(INDIRECT(DK324)))),1000)</f>
        <v>1000</v>
      </c>
      <c r="EP324" s="23">
        <f t="shared" ca="1" si="62"/>
        <v>3</v>
      </c>
      <c r="EQ324" s="23">
        <f t="shared" ca="1" si="63"/>
        <v>1</v>
      </c>
      <c r="ER324" s="23">
        <f t="shared" ca="1" si="64"/>
        <v>5</v>
      </c>
      <c r="ES324" s="23" t="str" cm="1">
        <f t="array" aca="1" ref="ES324" ca="1">INDEX(CR324:DK324,1,ER324)</f>
        <v>P16</v>
      </c>
    </row>
    <row r="325" spans="2:149" ht="22.5" customHeight="1">
      <c r="B325" s="32">
        <f t="shared" si="65"/>
        <v>138</v>
      </c>
      <c r="C325" s="32">
        <v>7</v>
      </c>
      <c r="D325" s="30">
        <v>12</v>
      </c>
      <c r="E325" s="34" t="str">
        <f ca="1"/>
        <v>B26</v>
      </c>
      <c r="F325" s="103"/>
      <c r="G325" s="33">
        <v>25</v>
      </c>
      <c r="H325" s="33" t="s">
        <v>149</v>
      </c>
      <c r="I325" s="33">
        <v>26</v>
      </c>
      <c r="J325" s="33" t="s">
        <v>306</v>
      </c>
      <c r="K325" s="33" t="s">
        <v>57</v>
      </c>
      <c r="L325" s="33" t="s">
        <v>109</v>
      </c>
      <c r="M325" s="33" t="s">
        <v>89</v>
      </c>
      <c r="N325" s="33" t="s">
        <v>137</v>
      </c>
      <c r="O325" s="33" t="s">
        <v>192</v>
      </c>
      <c r="P325" s="33" t="s">
        <v>155</v>
      </c>
      <c r="Q325" s="33" t="s">
        <v>181</v>
      </c>
      <c r="R325" s="33" t="s">
        <v>84</v>
      </c>
      <c r="S325" s="33" t="s">
        <v>184</v>
      </c>
      <c r="T325" s="33" t="s">
        <v>192</v>
      </c>
      <c r="U325" s="33" t="s">
        <v>80</v>
      </c>
      <c r="V325" s="33" t="s">
        <v>80</v>
      </c>
      <c r="W325" s="33" t="s">
        <v>56</v>
      </c>
      <c r="X325" s="33" t="s">
        <v>60</v>
      </c>
      <c r="Y325" s="33" t="s">
        <v>109</v>
      </c>
      <c r="Z325" s="33" t="s">
        <v>144</v>
      </c>
      <c r="AA325" s="33" t="s">
        <v>65</v>
      </c>
      <c r="AB325" s="33" t="s">
        <v>113</v>
      </c>
      <c r="AC325" s="33" t="s">
        <v>110</v>
      </c>
      <c r="AD325" s="33" t="s">
        <v>61</v>
      </c>
      <c r="AF325" s="31" t="str" cm="1">
        <f t="array" aca="1" ref="AF325" ca="1">_xlfn.LET(
_xlpm.x, IF(K$303&gt;$G325,"x",IFERROR(SUBSTITUTE(CELL("adres",OFFSET(INDIRECT(K325),,IF(LEFT(K325)="V",-1,1)*($G325-K$303),1,1)),"$",""),"x")),
_xlpm.y, IFERROR(IF(OR(COLUMN(INDIRECT(_xlpm.x))&gt;21, COLUMN(INDIRECT(_xlpm.x)) &lt;2), "x",_xlpm.x),"x"),
_xlpm.y)</f>
        <v>x</v>
      </c>
      <c r="AG325" s="31" t="str" cm="1">
        <f t="array" aca="1" ref="AG325" ca="1">_xlfn.LET(
_xlpm.x, IF(L$303&gt;$G325,"x",IFERROR(SUBSTITUTE(CELL("adres",OFFSET(INDIRECT(L325),,IF(LEFT(L325)="V",-1,1)*($G325-L$303),1,1)),"$",""),"x")),
_xlpm.y, IFERROR(IF(OR(COLUMN(INDIRECT(_xlpm.x))&gt;21, COLUMN(INDIRECT(_xlpm.x)) &lt;2), "x",_xlpm.x),"x"),
_xlpm.y)</f>
        <v>x</v>
      </c>
      <c r="AH325" s="31" t="str" cm="1">
        <f t="array" aca="1" ref="AH325" ca="1">_xlfn.LET(
_xlpm.x, IF(M$303&gt;$G325,"x",IFERROR(SUBSTITUTE(CELL("adres",OFFSET(INDIRECT(M325),,IF(LEFT(M325)="V",-1,1)*($G325-M$303),1,1)),"$",""),"x")),
_xlpm.y, IFERROR(IF(OR(COLUMN(INDIRECT(_xlpm.x))&gt;21, COLUMN(INDIRECT(_xlpm.x)) &lt;2), "x",_xlpm.x),"x"),
_xlpm.y)</f>
        <v>x</v>
      </c>
      <c r="AI325" s="31" t="str" cm="1">
        <f t="array" aca="1" ref="AI325" ca="1">_xlfn.LET(
_xlpm.x, IF(N$303&gt;$G325,"x",IFERROR(SUBSTITUTE(CELL("adres",OFFSET(INDIRECT(N325),,IF(LEFT(N325)="V",-1,1)*($G325-N$303),1,1)),"$",""),"x")),
_xlpm.y, IFERROR(IF(OR(COLUMN(INDIRECT(_xlpm.x))&gt;21, COLUMN(INDIRECT(_xlpm.x)) &lt;2), "x",_xlpm.x),"x"),
_xlpm.y)</f>
        <v>x</v>
      </c>
      <c r="AJ325" s="31" t="str" cm="1">
        <f t="array" aca="1" ref="AJ325" ca="1">_xlfn.LET(
_xlpm.x, IF(O$303&gt;$G325,"x",IFERROR(SUBSTITUTE(CELL("adres",OFFSET(INDIRECT(O325),,IF(LEFT(O325)="V",-1,1)*($G325-O$303),1,1)),"$",""),"x")),
_xlpm.y, IFERROR(IF(OR(COLUMN(INDIRECT(_xlpm.x))&gt;21, COLUMN(INDIRECT(_xlpm.x)) &lt;2), "x",_xlpm.x),"x"),
_xlpm.y)</f>
        <v>x</v>
      </c>
      <c r="AK325" s="31" t="str" cm="1">
        <f t="array" aca="1" ref="AK325" ca="1">_xlfn.LET(
_xlpm.x, IF(P$303&gt;$G325,"x",IFERROR(SUBSTITUTE(CELL("adres",OFFSET(INDIRECT(P325),,IF(LEFT(P325)="V",-1,1)*($G325-P$303),1,1)),"$",""),"x")),
_xlpm.y, IFERROR(IF(OR(COLUMN(INDIRECT(_xlpm.x))&gt;21, COLUMN(INDIRECT(_xlpm.x)) &lt;2), "x",_xlpm.x),"x"),
_xlpm.y)</f>
        <v>B20</v>
      </c>
      <c r="AL325" s="31" t="str" cm="1">
        <f t="array" aca="1" ref="AL325" ca="1">_xlfn.LET(
_xlpm.x, IF(Q$303&gt;$G325,"x",IFERROR(SUBSTITUTE(CELL("adres",OFFSET(INDIRECT(Q325),,IF(LEFT(Q325)="V",-1,1)*($G325-Q$303),1,1)),"$",""),"x")),
_xlpm.y, IFERROR(IF(OR(COLUMN(INDIRECT(_xlpm.x))&gt;21, COLUMN(INDIRECT(_xlpm.x)) &lt;2), "x",_xlpm.x),"x"),
_xlpm.y)</f>
        <v>C14</v>
      </c>
      <c r="AM325" s="31" t="str" cm="1">
        <f t="array" aca="1" ref="AM325" ca="1">_xlfn.LET(
_xlpm.x, IF(R$303&gt;$G325,"x",IFERROR(SUBSTITUTE(CELL("adres",OFFSET(INDIRECT(R325),,IF(LEFT(R325)="V",-1,1)*($G325-R$303),1,1)),"$",""),"x")),
_xlpm.y, IFERROR(IF(OR(COLUMN(INDIRECT(_xlpm.x))&gt;21, COLUMN(INDIRECT(_xlpm.x)) &lt;2), "x",_xlpm.x),"x"),
_xlpm.y)</f>
        <v>D26</v>
      </c>
      <c r="AN325" s="31" t="str" cm="1">
        <f t="array" aca="1" ref="AN325" ca="1">_xlfn.LET(
_xlpm.x, IF(S$303&gt;$G325,"x",IFERROR(SUBSTITUTE(CELL("adres",OFFSET(INDIRECT(S325),,IF(LEFT(S325)="V",-1,1)*($G325-S$303),1,1)),"$",""),"x")),
_xlpm.y, IFERROR(IF(OR(COLUMN(INDIRECT(_xlpm.x))&gt;21, COLUMN(INDIRECT(_xlpm.x)) &lt;2), "x",_xlpm.x),"x"),
_xlpm.y)</f>
        <v>E19</v>
      </c>
      <c r="AO325" s="31" t="str" cm="1">
        <f t="array" aca="1" ref="AO325" ca="1">_xlfn.LET(
_xlpm.x, IF(T$303&gt;$G325,"x",IFERROR(SUBSTITUTE(CELL("adres",OFFSET(INDIRECT(T325),,IF(LEFT(T325)="V",-1,1)*($G325-T$303),1,1)),"$",""),"x")),
_xlpm.y, IFERROR(IF(OR(COLUMN(INDIRECT(_xlpm.x))&gt;21, COLUMN(INDIRECT(_xlpm.x)) &lt;2), "x",_xlpm.x),"x"),
_xlpm.y)</f>
        <v>Q23</v>
      </c>
      <c r="AP325" s="31" t="str" cm="1">
        <f t="array" aca="1" ref="AP325" ca="1">_xlfn.LET(
_xlpm.x, IF(U$303&gt;$G325,"x",IFERROR(SUBSTITUTE(CELL("adres",OFFSET(INDIRECT(U325),,IF(LEFT(U325)="V",-1,1)*($G325-U$303),1,1)),"$",""),"x")),
_xlpm.y, IFERROR(IF(OR(COLUMN(INDIRECT(_xlpm.x))&gt;21, COLUMN(INDIRECT(_xlpm.x)) &lt;2), "x",_xlpm.x),"x"),
_xlpm.y)</f>
        <v>G6</v>
      </c>
      <c r="AQ325" s="31" t="str" cm="1">
        <f t="array" aca="1" ref="AQ325" ca="1">_xlfn.LET(
_xlpm.x, IF(V$303&gt;$G325,"x",IFERROR(SUBSTITUTE(CELL("adres",OFFSET(INDIRECT(V325),,IF(LEFT(V325)="V",-1,1)*($G325-V$303),1,1)),"$",""),"x")),
_xlpm.y, IFERROR(IF(OR(COLUMN(INDIRECT(_xlpm.x))&gt;21, COLUMN(INDIRECT(_xlpm.x)) &lt;2), "x",_xlpm.x),"x"),
_xlpm.y)</f>
        <v>H6</v>
      </c>
      <c r="AR325" s="31" t="str" cm="1">
        <f t="array" aca="1" ref="AR325" ca="1">_xlfn.LET(
_xlpm.x, IF(W$303&gt;$G325,"x",IFERROR(SUBSTITUTE(CELL("adres",OFFSET(INDIRECT(W325),,IF(LEFT(W325)="V",-1,1)*($G325-W$303),1,1)),"$",""),"x")),
_xlpm.y, IFERROR(IF(OR(COLUMN(INDIRECT(_xlpm.x))&gt;21, COLUMN(INDIRECT(_xlpm.x)) &lt;2), "x",_xlpm.x),"x"),
_xlpm.y)</f>
        <v>N3</v>
      </c>
      <c r="AS325" s="31" t="str" cm="1">
        <f t="array" aca="1" ref="AS325" ca="1">_xlfn.LET(
_xlpm.x, IF(X$303&gt;$G325,"x",IFERROR(SUBSTITUTE(CELL("adres",OFFSET(INDIRECT(X325),,IF(LEFT(X325)="V",-1,1)*($G325-X$303),1,1)),"$",""),"x")),
_xlpm.y, IFERROR(IF(OR(COLUMN(INDIRECT(_xlpm.x))&gt;21, COLUMN(INDIRECT(_xlpm.x)) &lt;2), "x",_xlpm.x),"x"),
_xlpm.y)</f>
        <v>M21</v>
      </c>
      <c r="AT325" s="31" t="str" cm="1">
        <f t="array" aca="1" ref="AT325" ca="1">_xlfn.LET(
_xlpm.x, IF(Y$303&gt;$G325,"x",IFERROR(SUBSTITUTE(CELL("adres",OFFSET(INDIRECT(Y325),,IF(LEFT(Y325)="V",-1,1)*($G325-Y$303),1,1)),"$",""),"x")),
_xlpm.y, IFERROR(IF(OR(COLUMN(INDIRECT(_xlpm.x))&gt;21, COLUMN(INDIRECT(_xlpm.x)) &lt;2), "x",_xlpm.x),"x"),
_xlpm.y)</f>
        <v>L5</v>
      </c>
      <c r="AU325" s="31" t="str" cm="1">
        <f t="array" aca="1" ref="AU325" ca="1">_xlfn.LET(
_xlpm.x, IF(Z$303&gt;$G325,"x",IFERROR(SUBSTITUTE(CELL("adres",OFFSET(INDIRECT(Z325),,IF(LEFT(Z325)="V",-1,1)*($G325-Z$303),1,1)),"$",""),"x")),
_xlpm.y, IFERROR(IF(OR(COLUMN(INDIRECT(_xlpm.x))&gt;21, COLUMN(INDIRECT(_xlpm.x)) &lt;2), "x",_xlpm.x),"x"),
_xlpm.y)</f>
        <v>L11</v>
      </c>
      <c r="AV325" s="31" t="str" cm="1">
        <f t="array" aca="1" ref="AV325" ca="1">_xlfn.LET(
_xlpm.x, IF(AA$303&gt;$G325,"x",IFERROR(SUBSTITUTE(CELL("adres",OFFSET(INDIRECT(AA325),,IF(LEFT(AA325)="V",-1,1)*($G325-AA$303),1,1)),"$",""),"x")),
_xlpm.y, IFERROR(IF(OR(COLUMN(INDIRECT(_xlpm.x))&gt;21, COLUMN(INDIRECT(_xlpm.x)) &lt;2), "x",_xlpm.x),"x"),
_xlpm.y)</f>
        <v>J12</v>
      </c>
      <c r="AW325" s="31" t="str" cm="1">
        <f t="array" aca="1" ref="AW325" ca="1">_xlfn.LET(
_xlpm.x, IF(AB$303&gt;$G325,"x",IFERROR(SUBSTITUTE(CELL("adres",OFFSET(INDIRECT(AB325),,IF(LEFT(AB325)="V",-1,1)*($G325-AB$303),1,1)),"$",""),"x")),
_xlpm.y, IFERROR(IF(OR(COLUMN(INDIRECT(_xlpm.x))&gt;21, COLUMN(INDIRECT(_xlpm.x)) &lt;2), "x",_xlpm.x),"x"),
_xlpm.y)</f>
        <v>I14</v>
      </c>
      <c r="AX325" s="31" t="str" cm="1">
        <f t="array" aca="1" ref="AX325" ca="1">_xlfn.LET(
_xlpm.x, IF(AC$303&gt;$G325,"x",IFERROR(SUBSTITUTE(CELL("adres",OFFSET(INDIRECT(AC325),,IF(LEFT(AC325)="V",-1,1)*($G325-AC$303),1,1)),"$",""),"x")),
_xlpm.y, IFERROR(IF(OR(COLUMN(INDIRECT(_xlpm.x))&gt;21, COLUMN(INDIRECT(_xlpm.x)) &lt;2), "x",_xlpm.x),"x"),
_xlpm.y)</f>
        <v>H11</v>
      </c>
      <c r="AY325" s="31" t="str" cm="1">
        <f t="array" aca="1" ref="AY325" ca="1">_xlfn.LET(
_xlpm.x, IF(AD$303&gt;$G325,"x",IFERROR(SUBSTITUTE(CELL("adres",OFFSET(INDIRECT(AD325),,IF(LEFT(AD325)="V",-1,1)*($G325-AD$303),1,1)),"$",""),"x")),
_xlpm.y, IFERROR(IF(OR(COLUMN(INDIRECT(_xlpm.x))&gt;21, COLUMN(INDIRECT(_xlpm.x)) &lt;2), "x",_xlpm.x),"x"),
_xlpm.y)</f>
        <v>G8</v>
      </c>
      <c r="BB325" s="23" t="str" cm="1">
        <f t="array" aca="1" ref="BB325" ca="1">IFERROR(COLUMN(INDIRECT(AF325)),"x")</f>
        <v>x</v>
      </c>
      <c r="BC325" s="23" t="str" cm="1">
        <f t="array" aca="1" ref="BC325" ca="1">IFERROR(COLUMN(INDIRECT(AG325)),"x")</f>
        <v>x</v>
      </c>
      <c r="BD325" s="23" t="str" cm="1">
        <f t="array" aca="1" ref="BD325" ca="1">IFERROR(COLUMN(INDIRECT(AH325)),"x")</f>
        <v>x</v>
      </c>
      <c r="BE325" s="23" t="str" cm="1">
        <f t="array" aca="1" ref="BE325" ca="1">IFERROR(COLUMN(INDIRECT(AI325)),"x")</f>
        <v>x</v>
      </c>
      <c r="BF325" s="23" t="str" cm="1">
        <f t="array" aca="1" ref="BF325" ca="1">IFERROR(COLUMN(INDIRECT(AJ325)),"x")</f>
        <v>x</v>
      </c>
      <c r="BG325" s="23" cm="1">
        <f t="array" aca="1" ref="BG325" ca="1">IFERROR(COLUMN(INDIRECT(AK325)),"x")</f>
        <v>2</v>
      </c>
      <c r="BH325" s="23" cm="1">
        <f t="array" aca="1" ref="BH325" ca="1">IFERROR(COLUMN(INDIRECT(AL325)),"x")</f>
        <v>3</v>
      </c>
      <c r="BI325" s="23" cm="1">
        <f t="array" aca="1" ref="BI325" ca="1">IFERROR(COLUMN(INDIRECT(AM325)),"x")</f>
        <v>4</v>
      </c>
      <c r="BJ325" s="23" cm="1">
        <f t="array" aca="1" ref="BJ325" ca="1">IFERROR(COLUMN(INDIRECT(AN325)),"x")</f>
        <v>5</v>
      </c>
      <c r="BK325" s="23" cm="1">
        <f t="array" aca="1" ref="BK325" ca="1">IFERROR(COLUMN(INDIRECT(AO325)),"x")</f>
        <v>17</v>
      </c>
      <c r="BL325" s="23" cm="1">
        <f t="array" aca="1" ref="BL325" ca="1">IFERROR(COLUMN(INDIRECT(AP325)),"x")</f>
        <v>7</v>
      </c>
      <c r="BM325" s="23" cm="1">
        <f t="array" aca="1" ref="BM325" ca="1">IFERROR(COLUMN(INDIRECT(AQ325)),"x")</f>
        <v>8</v>
      </c>
      <c r="BN325" s="23" cm="1">
        <f t="array" aca="1" ref="BN325" ca="1">IFERROR(COLUMN(INDIRECT(AR325)),"x")</f>
        <v>14</v>
      </c>
      <c r="BO325" s="23" cm="1">
        <f t="array" aca="1" ref="BO325" ca="1">IFERROR(COLUMN(INDIRECT(AS325)),"x")</f>
        <v>13</v>
      </c>
      <c r="BP325" s="23" cm="1">
        <f t="array" aca="1" ref="BP325" ca="1">IFERROR(COLUMN(INDIRECT(AT325)),"x")</f>
        <v>12</v>
      </c>
      <c r="BQ325" s="23" cm="1">
        <f t="array" aca="1" ref="BQ325" ca="1">IFERROR(COLUMN(INDIRECT(AU325)),"x")</f>
        <v>12</v>
      </c>
      <c r="BR325" s="23" cm="1">
        <f t="array" aca="1" ref="BR325" ca="1">IFERROR(COLUMN(INDIRECT(AV325)),"x")</f>
        <v>10</v>
      </c>
      <c r="BS325" s="23" cm="1">
        <f t="array" aca="1" ref="BS325" ca="1">IFERROR(COLUMN(INDIRECT(AW325)),"x")</f>
        <v>9</v>
      </c>
      <c r="BT325" s="23" cm="1">
        <f t="array" aca="1" ref="BT325" ca="1">IFERROR(COLUMN(INDIRECT(AX325)),"x")</f>
        <v>8</v>
      </c>
      <c r="BU325" s="23" cm="1">
        <f t="array" aca="1" ref="BU325" ca="1">IFERROR(COLUMN(INDIRECT(AY325)),"x")</f>
        <v>7</v>
      </c>
      <c r="BW325" s="23" t="str">
        <f t="shared" ca="1" si="40"/>
        <v>x</v>
      </c>
      <c r="BX325" s="23" t="str">
        <f t="shared" ca="1" si="41"/>
        <v>x</v>
      </c>
      <c r="BY325" s="23" t="str">
        <f t="shared" ca="1" si="42"/>
        <v>x</v>
      </c>
      <c r="BZ325" s="23" t="str">
        <f t="shared" ca="1" si="43"/>
        <v>x</v>
      </c>
      <c r="CA325" s="23" t="str">
        <f t="shared" ca="1" si="44"/>
        <v>x</v>
      </c>
      <c r="CB325" s="23">
        <f t="shared" ca="1" si="45"/>
        <v>-1</v>
      </c>
      <c r="CC325" s="23">
        <f t="shared" ca="1" si="46"/>
        <v>-1</v>
      </c>
      <c r="CD325" s="23">
        <f t="shared" ca="1" si="47"/>
        <v>-1</v>
      </c>
      <c r="CE325" s="23">
        <f t="shared" ca="1" si="48"/>
        <v>-1</v>
      </c>
      <c r="CF325" s="23">
        <f t="shared" ca="1" si="49"/>
        <v>1</v>
      </c>
      <c r="CG325" s="23">
        <f t="shared" ca="1" si="50"/>
        <v>-1</v>
      </c>
      <c r="CH325" s="23">
        <f t="shared" ca="1" si="51"/>
        <v>-1</v>
      </c>
      <c r="CI325" s="23">
        <f t="shared" ca="1" si="52"/>
        <v>1</v>
      </c>
      <c r="CJ325" s="23">
        <f t="shared" ca="1" si="53"/>
        <v>1</v>
      </c>
      <c r="CK325" s="23">
        <f t="shared" ca="1" si="54"/>
        <v>1</v>
      </c>
      <c r="CL325" s="23">
        <f t="shared" ca="1" si="55"/>
        <v>1</v>
      </c>
      <c r="CM325" s="23">
        <f t="shared" ca="1" si="56"/>
        <v>-1</v>
      </c>
      <c r="CN325" s="23">
        <f t="shared" ca="1" si="57"/>
        <v>-1</v>
      </c>
      <c r="CO325" s="23">
        <f t="shared" ca="1" si="58"/>
        <v>-1</v>
      </c>
      <c r="CP325" s="23">
        <f t="shared" ca="1" si="59"/>
        <v>-1</v>
      </c>
      <c r="CQ325" s="75"/>
      <c r="CR325" s="23" t="str" cm="1">
        <f t="array" aca="1" ref="CR325" ca="1">_xlfn.LET(
_xlpm.x, IFERROR(SUBSTITUTE(CELL("adres",OFFSET(INDIRECT(AF325),,BW325*($I325-$G325)*2,1,1)),"$",""),"x"),
_xlpm.y, IFERROR(IF(OR(COLUMN(INDIRECT(_xlpm.x))&gt;21, COLUMN(INDIRECT(_xlpm.x))&lt;2),"x",_xlpm.x), "x"),
_xlpm.y)</f>
        <v>x</v>
      </c>
      <c r="CS325" s="23" t="str" cm="1">
        <f t="array" aca="1" ref="CS325" ca="1">_xlfn.LET(
_xlpm.x, IFERROR(SUBSTITUTE(CELL("adres",OFFSET(INDIRECT(AG325),,BX325*($I325-$G325)*2,1,1)),"$",""),"x"),
_xlpm.y, IFERROR(IF(OR(COLUMN(INDIRECT(_xlpm.x))&gt;21, COLUMN(INDIRECT(_xlpm.x))&lt;2),"x",_xlpm.x), "x"),
_xlpm.y)</f>
        <v>x</v>
      </c>
      <c r="CT325" s="23" t="str" cm="1">
        <f t="array" aca="1" ref="CT325" ca="1">_xlfn.LET(
_xlpm.x, IFERROR(SUBSTITUTE(CELL("adres",OFFSET(INDIRECT(AH325),,BY325*($I325-$G325)*2,1,1)),"$",""),"x"),
_xlpm.y, IFERROR(IF(OR(COLUMN(INDIRECT(_xlpm.x))&gt;21, COLUMN(INDIRECT(_xlpm.x))&lt;2),"x",_xlpm.x), "x"),
_xlpm.y)</f>
        <v>x</v>
      </c>
      <c r="CU325" s="23" t="str" cm="1">
        <f t="array" aca="1" ref="CU325" ca="1">_xlfn.LET(
_xlpm.x, IFERROR(SUBSTITUTE(CELL("adres",OFFSET(INDIRECT(AI325),,BZ325*($I325-$G325)*2,1,1)),"$",""),"x"),
_xlpm.y, IFERROR(IF(OR(COLUMN(INDIRECT(_xlpm.x))&gt;21, COLUMN(INDIRECT(_xlpm.x))&lt;2),"x",_xlpm.x), "x"),
_xlpm.y)</f>
        <v>x</v>
      </c>
      <c r="CV325" s="23" t="str" cm="1">
        <f t="array" aca="1" ref="CV325" ca="1">_xlfn.LET(
_xlpm.x, IFERROR(SUBSTITUTE(CELL("adres",OFFSET(INDIRECT(AJ325),,CA325*($I325-$G325)*2,1,1)),"$",""),"x"),
_xlpm.y, IFERROR(IF(OR(COLUMN(INDIRECT(_xlpm.x))&gt;21, COLUMN(INDIRECT(_xlpm.x))&lt;2),"x",_xlpm.x), "x"),
_xlpm.y)</f>
        <v>x</v>
      </c>
      <c r="CW325" s="23" t="str" cm="1">
        <f t="array" aca="1" ref="CW325" ca="1">_xlfn.LET(
_xlpm.x, IFERROR(SUBSTITUTE(CELL("adres",OFFSET(INDIRECT(AK325),,CB325*($I325-$G325)*2,1,1)),"$",""),"x"),
_xlpm.y, IFERROR(IF(OR(COLUMN(INDIRECT(_xlpm.x))&gt;21, COLUMN(INDIRECT(_xlpm.x))&lt;2),"x",_xlpm.x), "x"),
_xlpm.y)</f>
        <v>x</v>
      </c>
      <c r="CX325" s="23" t="str" cm="1">
        <f t="array" aca="1" ref="CX325" ca="1">_xlfn.LET(
_xlpm.x, IFERROR(SUBSTITUTE(CELL("adres",OFFSET(INDIRECT(AL325),,CC325*($I325-$G325)*2,1,1)),"$",""),"x"),
_xlpm.y, IFERROR(IF(OR(COLUMN(INDIRECT(_xlpm.x))&gt;21, COLUMN(INDIRECT(_xlpm.x))&lt;2),"x",_xlpm.x), "x"),
_xlpm.y)</f>
        <v>x</v>
      </c>
      <c r="CY325" s="23" t="str" cm="1">
        <f t="array" aca="1" ref="CY325" ca="1">_xlfn.LET(
_xlpm.x, IFERROR(SUBSTITUTE(CELL("adres",OFFSET(INDIRECT(AM325),,CD325*($I325-$G325)*2,1,1)),"$",""),"x"),
_xlpm.y, IFERROR(IF(OR(COLUMN(INDIRECT(_xlpm.x))&gt;21, COLUMN(INDIRECT(_xlpm.x))&lt;2),"x",_xlpm.x), "x"),
_xlpm.y)</f>
        <v>B26</v>
      </c>
      <c r="CZ325" s="23" t="str" cm="1">
        <f t="array" aca="1" ref="CZ325" ca="1">_xlfn.LET(
_xlpm.x, IFERROR(SUBSTITUTE(CELL("adres",OFFSET(INDIRECT(AN325),,CE325*($I325-$G325)*2,1,1)),"$",""),"x"),
_xlpm.y, IFERROR(IF(OR(COLUMN(INDIRECT(_xlpm.x))&gt;21, COLUMN(INDIRECT(_xlpm.x))&lt;2),"x",_xlpm.x), "x"),
_xlpm.y)</f>
        <v>C19</v>
      </c>
      <c r="DA325" s="23" t="str" cm="1">
        <f t="array" aca="1" ref="DA325" ca="1">_xlfn.LET(
_xlpm.x, IFERROR(SUBSTITUTE(CELL("adres",OFFSET(INDIRECT(AO325),,CF325*($I325-$G325)*2,1,1)),"$",""),"x"),
_xlpm.y, IFERROR(IF(OR(COLUMN(INDIRECT(_xlpm.x))&gt;21, COLUMN(INDIRECT(_xlpm.x))&lt;2),"x",_xlpm.x), "x"),
_xlpm.y)</f>
        <v>S23</v>
      </c>
      <c r="DB325" s="23" t="str" cm="1">
        <f t="array" aca="1" ref="DB325" ca="1">_xlfn.LET(
_xlpm.x, IFERROR(SUBSTITUTE(CELL("adres",OFFSET(INDIRECT(AP325),,CG325*($I325-$G325)*2,1,1)),"$",""),"x"),
_xlpm.y, IFERROR(IF(OR(COLUMN(INDIRECT(_xlpm.x))&gt;21, COLUMN(INDIRECT(_xlpm.x))&lt;2),"x",_xlpm.x), "x"),
_xlpm.y)</f>
        <v>E6</v>
      </c>
      <c r="DC325" s="23" t="str" cm="1">
        <f t="array" aca="1" ref="DC325" ca="1">_xlfn.LET(
_xlpm.x, IFERROR(SUBSTITUTE(CELL("adres",OFFSET(INDIRECT(AQ325),,CH325*($I325-$G325)*2,1,1)),"$",""),"x"),
_xlpm.y, IFERROR(IF(OR(COLUMN(INDIRECT(_xlpm.x))&gt;21, COLUMN(INDIRECT(_xlpm.x))&lt;2),"x",_xlpm.x), "x"),
_xlpm.y)</f>
        <v>F6</v>
      </c>
      <c r="DD325" s="23" t="str" cm="1">
        <f t="array" aca="1" ref="DD325" ca="1">_xlfn.LET(
_xlpm.x, IFERROR(SUBSTITUTE(CELL("adres",OFFSET(INDIRECT(AR325),,CI325*($I325-$G325)*2,1,1)),"$",""),"x"),
_xlpm.y, IFERROR(IF(OR(COLUMN(INDIRECT(_xlpm.x))&gt;21, COLUMN(INDIRECT(_xlpm.x))&lt;2),"x",_xlpm.x), "x"),
_xlpm.y)</f>
        <v>P3</v>
      </c>
      <c r="DE325" s="23" t="str" cm="1">
        <f t="array" aca="1" ref="DE325" ca="1">_xlfn.LET(
_xlpm.x, IFERROR(SUBSTITUTE(CELL("adres",OFFSET(INDIRECT(AS325),,CJ325*($I325-$G325)*2,1,1)),"$",""),"x"),
_xlpm.y, IFERROR(IF(OR(COLUMN(INDIRECT(_xlpm.x))&gt;21, COLUMN(INDIRECT(_xlpm.x))&lt;2),"x",_xlpm.x), "x"),
_xlpm.y)</f>
        <v>O21</v>
      </c>
      <c r="DF325" s="23" t="str" cm="1">
        <f t="array" aca="1" ref="DF325" ca="1">_xlfn.LET(
_xlpm.x, IFERROR(SUBSTITUTE(CELL("adres",OFFSET(INDIRECT(AT325),,CK325*($I325-$G325)*2,1,1)),"$",""),"x"),
_xlpm.y, IFERROR(IF(OR(COLUMN(INDIRECT(_xlpm.x))&gt;21, COLUMN(INDIRECT(_xlpm.x))&lt;2),"x",_xlpm.x), "x"),
_xlpm.y)</f>
        <v>N5</v>
      </c>
      <c r="DG325" s="23" t="str" cm="1">
        <f t="array" aca="1" ref="DG325" ca="1">_xlfn.LET(
_xlpm.x, IFERROR(SUBSTITUTE(CELL("adres",OFFSET(INDIRECT(AU325),,CL325*($I325-$G325)*2,1,1)),"$",""),"x"),
_xlpm.y, IFERROR(IF(OR(COLUMN(INDIRECT(_xlpm.x))&gt;21, COLUMN(INDIRECT(_xlpm.x))&lt;2),"x",_xlpm.x), "x"),
_xlpm.y)</f>
        <v>N11</v>
      </c>
      <c r="DH325" s="23" t="str" cm="1">
        <f t="array" aca="1" ref="DH325" ca="1">_xlfn.LET(
_xlpm.x, IFERROR(SUBSTITUTE(CELL("adres",OFFSET(INDIRECT(AV325),,CM325*($I325-$G325)*2,1,1)),"$",""),"x"),
_xlpm.y, IFERROR(IF(OR(COLUMN(INDIRECT(_xlpm.x))&gt;21, COLUMN(INDIRECT(_xlpm.x))&lt;2),"x",_xlpm.x), "x"),
_xlpm.y)</f>
        <v>H12</v>
      </c>
      <c r="DI325" s="23" t="str" cm="1">
        <f t="array" aca="1" ref="DI325" ca="1">_xlfn.LET(
_xlpm.x, IFERROR(SUBSTITUTE(CELL("adres",OFFSET(INDIRECT(AW325),,CN325*($I325-$G325)*2,1,1)),"$",""),"x"),
_xlpm.y, IFERROR(IF(OR(COLUMN(INDIRECT(_xlpm.x))&gt;21, COLUMN(INDIRECT(_xlpm.x))&lt;2),"x",_xlpm.x), "x"),
_xlpm.y)</f>
        <v>G14</v>
      </c>
      <c r="DJ325" s="23" t="str" cm="1">
        <f t="array" aca="1" ref="DJ325" ca="1">_xlfn.LET(
_xlpm.x, IFERROR(SUBSTITUTE(CELL("adres",OFFSET(INDIRECT(AX325),,CO325*($I325-$G325)*2,1,1)),"$",""),"x"),
_xlpm.y, IFERROR(IF(OR(COLUMN(INDIRECT(_xlpm.x))&gt;21, COLUMN(INDIRECT(_xlpm.x))&lt;2),"x",_xlpm.x), "x"),
_xlpm.y)</f>
        <v>F11</v>
      </c>
      <c r="DK325" s="23" t="str" cm="1">
        <f t="array" aca="1" ref="DK325" ca="1">_xlfn.LET(
_xlpm.x, IFERROR(SUBSTITUTE(CELL("adres",OFFSET(INDIRECT(AY325),,CP325*($I325-$G325)*2,1,1)),"$",""),"x"),
_xlpm.y, IFERROR(IF(OR(COLUMN(INDIRECT(_xlpm.x))&gt;21, COLUMN(INDIRECT(_xlpm.x))&lt;2),"x",_xlpm.x), "x"),
_xlpm.y)</f>
        <v>E8</v>
      </c>
      <c r="DM325" s="23" t="e" cm="1">
        <f t="array" aca="1" ref="DM325" ca="1">ROW(INDIRECT(CR325))</f>
        <v>#REF!</v>
      </c>
      <c r="DN325" s="23" cm="1">
        <f t="array" aca="1" ref="DN325" ca="1">ROW(INDIRECT(J325))</f>
        <v>25</v>
      </c>
      <c r="DO325" s="23" t="e">
        <f t="shared" ca="1" si="60"/>
        <v>#REF!</v>
      </c>
      <c r="DP325" s="23" t="e" cm="1">
        <f t="array" aca="1" ref="DP325" ca="1">COLUMN(INDIRECT(CR325))</f>
        <v>#REF!</v>
      </c>
      <c r="DQ325" s="23" cm="1">
        <f t="array" aca="1" ref="DQ325" ca="1">COLUMN(INDIRECT(J325))</f>
        <v>6</v>
      </c>
      <c r="DR325" s="23" t="e">
        <f t="shared" ca="1" si="61"/>
        <v>#REF!</v>
      </c>
      <c r="DS325" s="23">
        <f t="shared" ca="1" si="39"/>
        <v>1000</v>
      </c>
      <c r="DU325" s="23" cm="1">
        <f t="array" aca="1" ref="DU325" ca="1">IFERROR(MAX(ABS(ROW(INDIRECT($J325))-ROW(INDIRECT(CR325))),ABS(COLUMN(INDIRECT($J325))-COLUMN(INDIRECT(CR325)))),1000)</f>
        <v>1000</v>
      </c>
      <c r="DV325" s="23" cm="1">
        <f t="array" aca="1" ref="DV325" ca="1">IFERROR(MAX(ABS(ROW(INDIRECT($J325))-ROW(INDIRECT(CS325))),ABS(COLUMN(INDIRECT($J325))-COLUMN(INDIRECT(CS325)))),1000)</f>
        <v>1000</v>
      </c>
      <c r="DW325" s="23" cm="1">
        <f t="array" aca="1" ref="DW325" ca="1">IFERROR(MAX(ABS(ROW(INDIRECT($J325))-ROW(INDIRECT(CT325))),ABS(COLUMN(INDIRECT($J325))-COLUMN(INDIRECT(CT325)))),1000)</f>
        <v>1000</v>
      </c>
      <c r="DX325" s="23" cm="1">
        <f t="array" aca="1" ref="DX325" ca="1">IFERROR(MAX(ABS(ROW(INDIRECT($J325))-ROW(INDIRECT(CU325))),ABS(COLUMN(INDIRECT($J325))-COLUMN(INDIRECT(CU325)))),1000)</f>
        <v>1000</v>
      </c>
      <c r="DY325" s="23" cm="1">
        <f t="array" aca="1" ref="DY325" ca="1">IFERROR(MAX(ABS(ROW(INDIRECT($J325))-ROW(INDIRECT(CV325))),ABS(COLUMN(INDIRECT($J325))-COLUMN(INDIRECT(CV325)))),1000)</f>
        <v>1000</v>
      </c>
      <c r="DZ325" s="23" cm="1">
        <f t="array" aca="1" ref="DZ325" ca="1">IFERROR(MAX(ABS(ROW(INDIRECT($J325))-ROW(INDIRECT(CW325))),ABS(COLUMN(INDIRECT($J325))-COLUMN(INDIRECT(CW325)))),1000)</f>
        <v>1000</v>
      </c>
      <c r="EA325" s="23" cm="1">
        <f t="array" aca="1" ref="EA325" ca="1">IFERROR(MAX(ABS(ROW(INDIRECT($J325))-ROW(INDIRECT(CX325))),ABS(COLUMN(INDIRECT($J325))-COLUMN(INDIRECT(CX325)))),1000)</f>
        <v>1000</v>
      </c>
      <c r="EB325" s="23" cm="1">
        <f t="array" aca="1" ref="EB325" ca="1">IFERROR(MAX(ABS(ROW(INDIRECT($J325))-ROW(INDIRECT(CY325))),ABS(COLUMN(INDIRECT($J325))-COLUMN(INDIRECT(CY325)))),1000)</f>
        <v>4</v>
      </c>
      <c r="EC325" s="23" cm="1">
        <f t="array" aca="1" ref="EC325" ca="1">IFERROR(MAX(ABS(ROW(INDIRECT($J325))-ROW(INDIRECT(CZ325))),ABS(COLUMN(INDIRECT($J325))-COLUMN(INDIRECT(CZ325)))),1000)</f>
        <v>6</v>
      </c>
      <c r="ED325" s="23" cm="1">
        <f t="array" aca="1" ref="ED325" ca="1">IFERROR(MAX(ABS(ROW(INDIRECT($J325))-ROW(INDIRECT(DA325))),ABS(COLUMN(INDIRECT($J325))-COLUMN(INDIRECT(DA325)))),1000)</f>
        <v>13</v>
      </c>
      <c r="EE325" s="23" cm="1">
        <f t="array" aca="1" ref="EE325" ca="1">IFERROR(MAX(ABS(ROW(INDIRECT($J325))-ROW(INDIRECT(DB325))),ABS(COLUMN(INDIRECT($J325))-COLUMN(INDIRECT(DB325)))),1000)</f>
        <v>19</v>
      </c>
      <c r="EF325" s="23" cm="1">
        <f t="array" aca="1" ref="EF325" ca="1">IFERROR(MAX(ABS(ROW(INDIRECT($J325))-ROW(INDIRECT(DC325))),ABS(COLUMN(INDIRECT($J325))-COLUMN(INDIRECT(DC325)))),1000)</f>
        <v>19</v>
      </c>
      <c r="EG325" s="23" cm="1">
        <f t="array" aca="1" ref="EG325" ca="1">IFERROR(MAX(ABS(ROW(INDIRECT($J325))-ROW(INDIRECT(DD325))),ABS(COLUMN(INDIRECT($J325))-COLUMN(INDIRECT(DD325)))),1000)</f>
        <v>22</v>
      </c>
      <c r="EH325" s="23" cm="1">
        <f t="array" aca="1" ref="EH325" ca="1">IFERROR(MAX(ABS(ROW(INDIRECT($J325))-ROW(INDIRECT(DE325))),ABS(COLUMN(INDIRECT($J325))-COLUMN(INDIRECT(DE325)))),1000)</f>
        <v>9</v>
      </c>
      <c r="EI325" s="23" cm="1">
        <f t="array" aca="1" ref="EI325" ca="1">IFERROR(MAX(ABS(ROW(INDIRECT($J325))-ROW(INDIRECT(DF325))),ABS(COLUMN(INDIRECT($J325))-COLUMN(INDIRECT(DF325)))),1000)</f>
        <v>20</v>
      </c>
      <c r="EJ325" s="23" cm="1">
        <f t="array" aca="1" ref="EJ325" ca="1">IFERROR(MAX(ABS(ROW(INDIRECT($J325))-ROW(INDIRECT(DG325))),ABS(COLUMN(INDIRECT($J325))-COLUMN(INDIRECT(DG325)))),1000)</f>
        <v>14</v>
      </c>
      <c r="EK325" s="23" cm="1">
        <f t="array" aca="1" ref="EK325" ca="1">IFERROR(MAX(ABS(ROW(INDIRECT($J325))-ROW(INDIRECT(DH325))),ABS(COLUMN(INDIRECT($J325))-COLUMN(INDIRECT(DH325)))),1000)</f>
        <v>13</v>
      </c>
      <c r="EL325" s="23" cm="1">
        <f t="array" aca="1" ref="EL325" ca="1">IFERROR(MAX(ABS(ROW(INDIRECT($J325))-ROW(INDIRECT(DI325))),ABS(COLUMN(INDIRECT($J325))-COLUMN(INDIRECT(DI325)))),1000)</f>
        <v>11</v>
      </c>
      <c r="EM325" s="23" cm="1">
        <f t="array" aca="1" ref="EM325" ca="1">IFERROR(MAX(ABS(ROW(INDIRECT($J325))-ROW(INDIRECT(DJ325))),ABS(COLUMN(INDIRECT($J325))-COLUMN(INDIRECT(DJ325)))),1000)</f>
        <v>14</v>
      </c>
      <c r="EN325" s="23" cm="1">
        <f t="array" aca="1" ref="EN325" ca="1">IFERROR(MAX(ABS(ROW(INDIRECT($J325))-ROW(INDIRECT(DK325))),ABS(COLUMN(INDIRECT($J325))-COLUMN(INDIRECT(DK325)))),1000)</f>
        <v>17</v>
      </c>
      <c r="EP325" s="23">
        <f t="shared" ca="1" si="62"/>
        <v>4</v>
      </c>
      <c r="EQ325" s="23">
        <f t="shared" ca="1" si="63"/>
        <v>1</v>
      </c>
      <c r="ER325" s="23">
        <f t="shared" ca="1" si="64"/>
        <v>8</v>
      </c>
      <c r="ES325" s="23" t="str" cm="1">
        <f t="array" aca="1" ref="ES325" ca="1">INDEX(CR325:DK325,1,ER325)</f>
        <v>B26</v>
      </c>
    </row>
    <row r="326" spans="2:149" ht="22.5" customHeight="1">
      <c r="B326" s="32">
        <f t="shared" si="65"/>
        <v>139</v>
      </c>
      <c r="C326" s="32">
        <v>7</v>
      </c>
      <c r="D326" s="30">
        <v>12</v>
      </c>
      <c r="E326" s="34" t="str">
        <f ca="1"/>
        <v>C13</v>
      </c>
      <c r="F326" s="103"/>
      <c r="G326" s="33">
        <v>14</v>
      </c>
      <c r="H326" s="33" t="s">
        <v>307</v>
      </c>
      <c r="I326" s="33">
        <v>17</v>
      </c>
      <c r="J326" s="33" t="s">
        <v>308</v>
      </c>
      <c r="K326" s="33" t="s">
        <v>111</v>
      </c>
      <c r="L326" s="33" t="s">
        <v>179</v>
      </c>
      <c r="M326" s="33" t="s">
        <v>61</v>
      </c>
      <c r="N326" s="33" t="s">
        <v>178</v>
      </c>
      <c r="O326" s="33" t="s">
        <v>52</v>
      </c>
      <c r="P326" s="33" t="s">
        <v>113</v>
      </c>
      <c r="Q326" s="33" t="s">
        <v>50</v>
      </c>
      <c r="R326" s="33" t="s">
        <v>80</v>
      </c>
      <c r="S326" s="33" t="s">
        <v>89</v>
      </c>
      <c r="T326" s="33" t="s">
        <v>114</v>
      </c>
      <c r="U326" s="33" t="s">
        <v>52</v>
      </c>
      <c r="V326" s="33" t="s">
        <v>64</v>
      </c>
      <c r="W326" s="33" t="s">
        <v>52</v>
      </c>
      <c r="X326" s="33" t="s">
        <v>111</v>
      </c>
      <c r="Y326" s="33" t="s">
        <v>191</v>
      </c>
      <c r="Z326" s="33" t="s">
        <v>50</v>
      </c>
      <c r="AA326" s="33" t="s">
        <v>50</v>
      </c>
      <c r="AB326" s="33" t="s">
        <v>80</v>
      </c>
      <c r="AC326" s="33" t="s">
        <v>60</v>
      </c>
      <c r="AD326" s="33" t="s">
        <v>54</v>
      </c>
      <c r="AF326" s="31" t="str" cm="1">
        <f t="array" aca="1" ref="AF326" ca="1">_xlfn.LET(
_xlpm.x, IF(K$303&gt;$G326,"x",IFERROR(SUBSTITUTE(CELL("adres",OFFSET(INDIRECT(K326),,IF(LEFT(K326)="V",-1,1)*($G326-K$303),1,1)),"$",""),"x")),
_xlpm.y, IFERROR(IF(OR(COLUMN(INDIRECT(_xlpm.x))&gt;21, COLUMN(INDIRECT(_xlpm.x)) &lt;2), "x",_xlpm.x),"x"),
_xlpm.y)</f>
        <v>H18</v>
      </c>
      <c r="AG326" s="31" t="str" cm="1">
        <f t="array" aca="1" ref="AG326" ca="1">_xlfn.LET(
_xlpm.x, IF(L$303&gt;$G326,"x",IFERROR(SUBSTITUTE(CELL("adres",OFFSET(INDIRECT(L326),,IF(LEFT(L326)="V",-1,1)*($G326-L$303),1,1)),"$",""),"x")),
_xlpm.y, IFERROR(IF(OR(COLUMN(INDIRECT(_xlpm.x))&gt;21, COLUMN(INDIRECT(_xlpm.x)) &lt;2), "x",_xlpm.x),"x"),
_xlpm.y)</f>
        <v>I23</v>
      </c>
      <c r="AH326" s="31" t="str" cm="1">
        <f t="array" aca="1" ref="AH326" ca="1">_xlfn.LET(
_xlpm.x, IF(M$303&gt;$G326,"x",IFERROR(SUBSTITUTE(CELL("adres",OFFSET(INDIRECT(M326),,IF(LEFT(M326)="V",-1,1)*($G326-M$303),1,1)),"$",""),"x")),
_xlpm.y, IFERROR(IF(OR(COLUMN(INDIRECT(_xlpm.x))&gt;21, COLUMN(INDIRECT(_xlpm.x)) &lt;2), "x",_xlpm.x),"x"),
_xlpm.y)</f>
        <v>M8</v>
      </c>
      <c r="AI326" s="31" t="str" cm="1">
        <f t="array" aca="1" ref="AI326" ca="1">_xlfn.LET(
_xlpm.x, IF(N$303&gt;$G326,"x",IFERROR(SUBSTITUTE(CELL("adres",OFFSET(INDIRECT(N326),,IF(LEFT(N326)="V",-1,1)*($G326-N$303),1,1)),"$",""),"x")),
_xlpm.y, IFERROR(IF(OR(COLUMN(INDIRECT(_xlpm.x))&gt;21, COLUMN(INDIRECT(_xlpm.x)) &lt;2), "x",_xlpm.x),"x"),
_xlpm.y)</f>
        <v>L15</v>
      </c>
      <c r="AJ326" s="31" t="str" cm="1">
        <f t="array" aca="1" ref="AJ326" ca="1">_xlfn.LET(
_xlpm.x, IF(O$303&gt;$G326,"x",IFERROR(SUBSTITUTE(CELL("adres",OFFSET(INDIRECT(O326),,IF(LEFT(O326)="V",-1,1)*($G326-O$303),1,1)),"$",""),"x")),
_xlpm.y, IFERROR(IF(OR(COLUMN(INDIRECT(_xlpm.x))&gt;21, COLUMN(INDIRECT(_xlpm.x)) &lt;2), "x",_xlpm.x),"x"),
_xlpm.y)</f>
        <v>K25</v>
      </c>
      <c r="AK326" s="31" t="str" cm="1">
        <f t="array" aca="1" ref="AK326" ca="1">_xlfn.LET(
_xlpm.x, IF(P$303&gt;$G326,"x",IFERROR(SUBSTITUTE(CELL("adres",OFFSET(INDIRECT(P326),,IF(LEFT(P326)="V",-1,1)*($G326-P$303),1,1)),"$",""),"x")),
_xlpm.y, IFERROR(IF(OR(COLUMN(INDIRECT(_xlpm.x))&gt;21, COLUMN(INDIRECT(_xlpm.x)) &lt;2), "x",_xlpm.x),"x"),
_xlpm.y)</f>
        <v>J14</v>
      </c>
      <c r="AL326" s="31" t="str" cm="1">
        <f t="array" aca="1" ref="AL326" ca="1">_xlfn.LET(
_xlpm.x, IF(Q$303&gt;$G326,"x",IFERROR(SUBSTITUTE(CELL("adres",OFFSET(INDIRECT(Q326),,IF(LEFT(Q326)="V",-1,1)*($G326-Q$303),1,1)),"$",""),"x")),
_xlpm.y, IFERROR(IF(OR(COLUMN(INDIRECT(_xlpm.x))&gt;21, COLUMN(INDIRECT(_xlpm.x)) &lt;2), "x",_xlpm.x),"x"),
_xlpm.y)</f>
        <v>I13</v>
      </c>
      <c r="AM326" s="31" t="str" cm="1">
        <f t="array" aca="1" ref="AM326" ca="1">_xlfn.LET(
_xlpm.x, IF(R$303&gt;$G326,"x",IFERROR(SUBSTITUTE(CELL("adres",OFFSET(INDIRECT(R326),,IF(LEFT(R326)="V",-1,1)*($G326-R$303),1,1)),"$",""),"x")),
_xlpm.y, IFERROR(IF(OR(COLUMN(INDIRECT(_xlpm.x))&gt;21, COLUMN(INDIRECT(_xlpm.x)) &lt;2), "x",_xlpm.x),"x"),
_xlpm.y)</f>
        <v>O6</v>
      </c>
      <c r="AN326" s="31" t="str" cm="1">
        <f t="array" aca="1" ref="AN326" ca="1">_xlfn.LET(
_xlpm.x, IF(S$303&gt;$G326,"x",IFERROR(SUBSTITUTE(CELL("adres",OFFSET(INDIRECT(S326),,IF(LEFT(S326)="V",-1,1)*($G326-S$303),1,1)),"$",""),"x")),
_xlpm.y, IFERROR(IF(OR(COLUMN(INDIRECT(_xlpm.x))&gt;21, COLUMN(INDIRECT(_xlpm.x)) &lt;2), "x",_xlpm.x),"x"),
_xlpm.y)</f>
        <v>P22</v>
      </c>
      <c r="AO326" s="31" t="str" cm="1">
        <f t="array" aca="1" ref="AO326" ca="1">_xlfn.LET(
_xlpm.x, IF(T$303&gt;$G326,"x",IFERROR(SUBSTITUTE(CELL("adres",OFFSET(INDIRECT(T326),,IF(LEFT(T326)="V",-1,1)*($G326-T$303),1,1)),"$",""),"x")),
_xlpm.y, IFERROR(IF(OR(COLUMN(INDIRECT(_xlpm.x))&gt;21, COLUMN(INDIRECT(_xlpm.x)) &lt;2), "x",_xlpm.x),"x"),
_xlpm.y)</f>
        <v>Q13</v>
      </c>
      <c r="AP326" s="31" t="str" cm="1">
        <f t="array" aca="1" ref="AP326" ca="1">_xlfn.LET(
_xlpm.x, IF(U$303&gt;$G326,"x",IFERROR(SUBSTITUTE(CELL("adres",OFFSET(INDIRECT(U326),,IF(LEFT(U326)="V",-1,1)*($G326-U$303),1,1)),"$",""),"x")),
_xlpm.y, IFERROR(IF(OR(COLUMN(INDIRECT(_xlpm.x))&gt;21, COLUMN(INDIRECT(_xlpm.x)) &lt;2), "x",_xlpm.x),"x"),
_xlpm.y)</f>
        <v>E25</v>
      </c>
      <c r="AQ326" s="31" t="str" cm="1">
        <f t="array" aca="1" ref="AQ326" ca="1">_xlfn.LET(
_xlpm.x, IF(V$303&gt;$G326,"x",IFERROR(SUBSTITUTE(CELL("adres",OFFSET(INDIRECT(V326),,IF(LEFT(V326)="V",-1,1)*($G326-V$303),1,1)),"$",""),"x")),
_xlpm.y, IFERROR(IF(OR(COLUMN(INDIRECT(_xlpm.x))&gt;21, COLUMN(INDIRECT(_xlpm.x)) &lt;2), "x",_xlpm.x),"x"),
_xlpm.y)</f>
        <v>D9</v>
      </c>
      <c r="AR326" s="31" t="str" cm="1">
        <f t="array" aca="1" ref="AR326" ca="1">_xlfn.LET(
_xlpm.x, IF(W$303&gt;$G326,"x",IFERROR(SUBSTITUTE(CELL("adres",OFFSET(INDIRECT(W326),,IF(LEFT(W326)="V",-1,1)*($G326-W$303),1,1)),"$",""),"x")),
_xlpm.y, IFERROR(IF(OR(COLUMN(INDIRECT(_xlpm.x))&gt;21, COLUMN(INDIRECT(_xlpm.x)) &lt;2), "x",_xlpm.x),"x"),
_xlpm.y)</f>
        <v>C25</v>
      </c>
      <c r="AS326" s="31" t="str" cm="1">
        <f t="array" aca="1" ref="AS326" ca="1">_xlfn.LET(
_xlpm.x, IF(X$303&gt;$G326,"x",IFERROR(SUBSTITUTE(CELL("adres",OFFSET(INDIRECT(X326),,IF(LEFT(X326)="V",-1,1)*($G326-X$303),1,1)),"$",""),"x")),
_xlpm.y, IFERROR(IF(OR(COLUMN(INDIRECT(_xlpm.x))&gt;21, COLUMN(INDIRECT(_xlpm.x)) &lt;2), "x",_xlpm.x),"x"),
_xlpm.y)</f>
        <v>U18</v>
      </c>
      <c r="AT326" s="31" t="str" cm="1">
        <f t="array" aca="1" ref="AT326" ca="1">_xlfn.LET(
_xlpm.x, IF(Y$303&gt;$G326,"x",IFERROR(SUBSTITUTE(CELL("adres",OFFSET(INDIRECT(Y326),,IF(LEFT(Y326)="V",-1,1)*($G326-Y$303),1,1)),"$",""),"x")),
_xlpm.y, IFERROR(IF(OR(COLUMN(INDIRECT(_xlpm.x))&gt;21, COLUMN(INDIRECT(_xlpm.x)) &lt;2), "x",_xlpm.x),"x"),
_xlpm.y)</f>
        <v>x</v>
      </c>
      <c r="AU326" s="31" t="str" cm="1">
        <f t="array" aca="1" ref="AU326" ca="1">_xlfn.LET(
_xlpm.x, IF(Z$303&gt;$G326,"x",IFERROR(SUBSTITUTE(CELL("adres",OFFSET(INDIRECT(Z326),,IF(LEFT(Z326)="V",-1,1)*($G326-Z$303),1,1)),"$",""),"x")),
_xlpm.y, IFERROR(IF(OR(COLUMN(INDIRECT(_xlpm.x))&gt;21, COLUMN(INDIRECT(_xlpm.x)) &lt;2), "x",_xlpm.x),"x"),
_xlpm.y)</f>
        <v>x</v>
      </c>
      <c r="AV326" s="31" t="str" cm="1">
        <f t="array" aca="1" ref="AV326" ca="1">_xlfn.LET(
_xlpm.x, IF(AA$303&gt;$G326,"x",IFERROR(SUBSTITUTE(CELL("adres",OFFSET(INDIRECT(AA326),,IF(LEFT(AA326)="V",-1,1)*($G326-AA$303),1,1)),"$",""),"x")),
_xlpm.y, IFERROR(IF(OR(COLUMN(INDIRECT(_xlpm.x))&gt;21, COLUMN(INDIRECT(_xlpm.x)) &lt;2), "x",_xlpm.x),"x"),
_xlpm.y)</f>
        <v>x</v>
      </c>
      <c r="AW326" s="31" t="str" cm="1">
        <f t="array" aca="1" ref="AW326" ca="1">_xlfn.LET(
_xlpm.x, IF(AB$303&gt;$G326,"x",IFERROR(SUBSTITUTE(CELL("adres",OFFSET(INDIRECT(AB326),,IF(LEFT(AB326)="V",-1,1)*($G326-AB$303),1,1)),"$",""),"x")),
_xlpm.y, IFERROR(IF(OR(COLUMN(INDIRECT(_xlpm.x))&gt;21, COLUMN(INDIRECT(_xlpm.x)) &lt;2), "x",_xlpm.x),"x"),
_xlpm.y)</f>
        <v>x</v>
      </c>
      <c r="AX326" s="31" t="str" cm="1">
        <f t="array" aca="1" ref="AX326" ca="1">_xlfn.LET(
_xlpm.x, IF(AC$303&gt;$G326,"x",IFERROR(SUBSTITUTE(CELL("adres",OFFSET(INDIRECT(AC326),,IF(LEFT(AC326)="V",-1,1)*($G326-AC$303),1,1)),"$",""),"x")),
_xlpm.y, IFERROR(IF(OR(COLUMN(INDIRECT(_xlpm.x))&gt;21, COLUMN(INDIRECT(_xlpm.x)) &lt;2), "x",_xlpm.x),"x"),
_xlpm.y)</f>
        <v>x</v>
      </c>
      <c r="AY326" s="31" t="str" cm="1">
        <f t="array" aca="1" ref="AY326" ca="1">_xlfn.LET(
_xlpm.x, IF(AD$303&gt;$G326,"x",IFERROR(SUBSTITUTE(CELL("adres",OFFSET(INDIRECT(AD326),,IF(LEFT(AD326)="V",-1,1)*($G326-AD$303),1,1)),"$",""),"x")),
_xlpm.y, IFERROR(IF(OR(COLUMN(INDIRECT(_xlpm.x))&gt;21, COLUMN(INDIRECT(_xlpm.x)) &lt;2), "x",_xlpm.x),"x"),
_xlpm.y)</f>
        <v>x</v>
      </c>
      <c r="BB326" s="23" cm="1">
        <f t="array" aca="1" ref="BB326" ca="1">IFERROR(COLUMN(INDIRECT(AF326)),"x")</f>
        <v>8</v>
      </c>
      <c r="BC326" s="23" cm="1">
        <f t="array" aca="1" ref="BC326" ca="1">IFERROR(COLUMN(INDIRECT(AG326)),"x")</f>
        <v>9</v>
      </c>
      <c r="BD326" s="23" cm="1">
        <f t="array" aca="1" ref="BD326" ca="1">IFERROR(COLUMN(INDIRECT(AH326)),"x")</f>
        <v>13</v>
      </c>
      <c r="BE326" s="23" cm="1">
        <f t="array" aca="1" ref="BE326" ca="1">IFERROR(COLUMN(INDIRECT(AI326)),"x")</f>
        <v>12</v>
      </c>
      <c r="BF326" s="23" cm="1">
        <f t="array" aca="1" ref="BF326" ca="1">IFERROR(COLUMN(INDIRECT(AJ326)),"x")</f>
        <v>11</v>
      </c>
      <c r="BG326" s="23" cm="1">
        <f t="array" aca="1" ref="BG326" ca="1">IFERROR(COLUMN(INDIRECT(AK326)),"x")</f>
        <v>10</v>
      </c>
      <c r="BH326" s="23" cm="1">
        <f t="array" aca="1" ref="BH326" ca="1">IFERROR(COLUMN(INDIRECT(AL326)),"x")</f>
        <v>9</v>
      </c>
      <c r="BI326" s="23" cm="1">
        <f t="array" aca="1" ref="BI326" ca="1">IFERROR(COLUMN(INDIRECT(AM326)),"x")</f>
        <v>15</v>
      </c>
      <c r="BJ326" s="23" cm="1">
        <f t="array" aca="1" ref="BJ326" ca="1">IFERROR(COLUMN(INDIRECT(AN326)),"x")</f>
        <v>16</v>
      </c>
      <c r="BK326" s="23" cm="1">
        <f t="array" aca="1" ref="BK326" ca="1">IFERROR(COLUMN(INDIRECT(AO326)),"x")</f>
        <v>17</v>
      </c>
      <c r="BL326" s="23" cm="1">
        <f t="array" aca="1" ref="BL326" ca="1">IFERROR(COLUMN(INDIRECT(AP326)),"x")</f>
        <v>5</v>
      </c>
      <c r="BM326" s="23" cm="1">
        <f t="array" aca="1" ref="BM326" ca="1">IFERROR(COLUMN(INDIRECT(AQ326)),"x")</f>
        <v>4</v>
      </c>
      <c r="BN326" s="23" cm="1">
        <f t="array" aca="1" ref="BN326" ca="1">IFERROR(COLUMN(INDIRECT(AR326)),"x")</f>
        <v>3</v>
      </c>
      <c r="BO326" s="23" cm="1">
        <f t="array" aca="1" ref="BO326" ca="1">IFERROR(COLUMN(INDIRECT(AS326)),"x")</f>
        <v>21</v>
      </c>
      <c r="BP326" s="23" t="str" cm="1">
        <f t="array" aca="1" ref="BP326" ca="1">IFERROR(COLUMN(INDIRECT(AT326)),"x")</f>
        <v>x</v>
      </c>
      <c r="BQ326" s="23" t="str" cm="1">
        <f t="array" aca="1" ref="BQ326" ca="1">IFERROR(COLUMN(INDIRECT(AU326)),"x")</f>
        <v>x</v>
      </c>
      <c r="BR326" s="23" t="str" cm="1">
        <f t="array" aca="1" ref="BR326" ca="1">IFERROR(COLUMN(INDIRECT(AV326)),"x")</f>
        <v>x</v>
      </c>
      <c r="BS326" s="23" t="str" cm="1">
        <f t="array" aca="1" ref="BS326" ca="1">IFERROR(COLUMN(INDIRECT(AW326)),"x")</f>
        <v>x</v>
      </c>
      <c r="BT326" s="23" t="str" cm="1">
        <f t="array" aca="1" ref="BT326" ca="1">IFERROR(COLUMN(INDIRECT(AX326)),"x")</f>
        <v>x</v>
      </c>
      <c r="BU326" s="23" t="str" cm="1">
        <f t="array" aca="1" ref="BU326" ca="1">IFERROR(COLUMN(INDIRECT(AY326)),"x")</f>
        <v>x</v>
      </c>
      <c r="BW326" s="23">
        <f t="shared" ca="1" si="40"/>
        <v>-1</v>
      </c>
      <c r="BX326" s="23">
        <f t="shared" ca="1" si="41"/>
        <v>-1</v>
      </c>
      <c r="BY326" s="23">
        <f t="shared" ca="1" si="42"/>
        <v>1</v>
      </c>
      <c r="BZ326" s="23">
        <f t="shared" ca="1" si="43"/>
        <v>1</v>
      </c>
      <c r="CA326" s="23">
        <f t="shared" ca="1" si="44"/>
        <v>-1</v>
      </c>
      <c r="CB326" s="23">
        <f t="shared" ca="1" si="45"/>
        <v>-1</v>
      </c>
      <c r="CC326" s="23">
        <f t="shared" ca="1" si="46"/>
        <v>-1</v>
      </c>
      <c r="CD326" s="23">
        <f t="shared" ca="1" si="47"/>
        <v>1</v>
      </c>
      <c r="CE326" s="23">
        <f t="shared" ca="1" si="48"/>
        <v>1</v>
      </c>
      <c r="CF326" s="23">
        <f t="shared" ca="1" si="49"/>
        <v>1</v>
      </c>
      <c r="CG326" s="23">
        <f t="shared" ca="1" si="50"/>
        <v>-1</v>
      </c>
      <c r="CH326" s="23">
        <f t="shared" ca="1" si="51"/>
        <v>-1</v>
      </c>
      <c r="CI326" s="23">
        <f t="shared" ca="1" si="52"/>
        <v>-1</v>
      </c>
      <c r="CJ326" s="23">
        <f t="shared" ca="1" si="53"/>
        <v>1</v>
      </c>
      <c r="CK326" s="23" t="str">
        <f t="shared" ca="1" si="54"/>
        <v>x</v>
      </c>
      <c r="CL326" s="23" t="str">
        <f t="shared" ca="1" si="55"/>
        <v>x</v>
      </c>
      <c r="CM326" s="23" t="str">
        <f t="shared" ca="1" si="56"/>
        <v>x</v>
      </c>
      <c r="CN326" s="23" t="str">
        <f t="shared" ca="1" si="57"/>
        <v>x</v>
      </c>
      <c r="CO326" s="23" t="str">
        <f t="shared" ca="1" si="58"/>
        <v>x</v>
      </c>
      <c r="CP326" s="23" t="str">
        <f t="shared" ca="1" si="59"/>
        <v>x</v>
      </c>
      <c r="CQ326" s="75"/>
      <c r="CR326" s="23" t="str" cm="1">
        <f t="array" aca="1" ref="CR326" ca="1">_xlfn.LET(
_xlpm.x, IFERROR(SUBSTITUTE(CELL("adres",OFFSET(INDIRECT(AF326),,BW326*($I326-$G326)*2,1,1)),"$",""),"x"),
_xlpm.y, IFERROR(IF(OR(COLUMN(INDIRECT(_xlpm.x))&gt;21, COLUMN(INDIRECT(_xlpm.x))&lt;2),"x",_xlpm.x), "x"),
_xlpm.y)</f>
        <v>B18</v>
      </c>
      <c r="CS326" s="23" t="str" cm="1">
        <f t="array" aca="1" ref="CS326" ca="1">_xlfn.LET(
_xlpm.x, IFERROR(SUBSTITUTE(CELL("adres",OFFSET(INDIRECT(AG326),,BX326*($I326-$G326)*2,1,1)),"$",""),"x"),
_xlpm.y, IFERROR(IF(OR(COLUMN(INDIRECT(_xlpm.x))&gt;21, COLUMN(INDIRECT(_xlpm.x))&lt;2),"x",_xlpm.x), "x"),
_xlpm.y)</f>
        <v>C23</v>
      </c>
      <c r="CT326" s="23" t="str" cm="1">
        <f t="array" aca="1" ref="CT326" ca="1">_xlfn.LET(
_xlpm.x, IFERROR(SUBSTITUTE(CELL("adres",OFFSET(INDIRECT(AH326),,BY326*($I326-$G326)*2,1,1)),"$",""),"x"),
_xlpm.y, IFERROR(IF(OR(COLUMN(INDIRECT(_xlpm.x))&gt;21, COLUMN(INDIRECT(_xlpm.x))&lt;2),"x",_xlpm.x), "x"),
_xlpm.y)</f>
        <v>S8</v>
      </c>
      <c r="CU326" s="23" t="str" cm="1">
        <f t="array" aca="1" ref="CU326" ca="1">_xlfn.LET(
_xlpm.x, IFERROR(SUBSTITUTE(CELL("adres",OFFSET(INDIRECT(AI326),,BZ326*($I326-$G326)*2,1,1)),"$",""),"x"),
_xlpm.y, IFERROR(IF(OR(COLUMN(INDIRECT(_xlpm.x))&gt;21, COLUMN(INDIRECT(_xlpm.x))&lt;2),"x",_xlpm.x), "x"),
_xlpm.y)</f>
        <v>R15</v>
      </c>
      <c r="CV326" s="23" t="str" cm="1">
        <f t="array" aca="1" ref="CV326" ca="1">_xlfn.LET(
_xlpm.x, IFERROR(SUBSTITUTE(CELL("adres",OFFSET(INDIRECT(AJ326),,CA326*($I326-$G326)*2,1,1)),"$",""),"x"),
_xlpm.y, IFERROR(IF(OR(COLUMN(INDIRECT(_xlpm.x))&gt;21, COLUMN(INDIRECT(_xlpm.x))&lt;2),"x",_xlpm.x), "x"),
_xlpm.y)</f>
        <v>E25</v>
      </c>
      <c r="CW326" s="23" t="str" cm="1">
        <f t="array" aca="1" ref="CW326" ca="1">_xlfn.LET(
_xlpm.x, IFERROR(SUBSTITUTE(CELL("adres",OFFSET(INDIRECT(AK326),,CB326*($I326-$G326)*2,1,1)),"$",""),"x"),
_xlpm.y, IFERROR(IF(OR(COLUMN(INDIRECT(_xlpm.x))&gt;21, COLUMN(INDIRECT(_xlpm.x))&lt;2),"x",_xlpm.x), "x"),
_xlpm.y)</f>
        <v>D14</v>
      </c>
      <c r="CX326" s="23" t="str" cm="1">
        <f t="array" aca="1" ref="CX326" ca="1">_xlfn.LET(
_xlpm.x, IFERROR(SUBSTITUTE(CELL("adres",OFFSET(INDIRECT(AL326),,CC326*($I326-$G326)*2,1,1)),"$",""),"x"),
_xlpm.y, IFERROR(IF(OR(COLUMN(INDIRECT(_xlpm.x))&gt;21, COLUMN(INDIRECT(_xlpm.x))&lt;2),"x",_xlpm.x), "x"),
_xlpm.y)</f>
        <v>C13</v>
      </c>
      <c r="CY326" s="23" t="str" cm="1">
        <f t="array" aca="1" ref="CY326" ca="1">_xlfn.LET(
_xlpm.x, IFERROR(SUBSTITUTE(CELL("adres",OFFSET(INDIRECT(AM326),,CD326*($I326-$G326)*2,1,1)),"$",""),"x"),
_xlpm.y, IFERROR(IF(OR(COLUMN(INDIRECT(_xlpm.x))&gt;21, COLUMN(INDIRECT(_xlpm.x))&lt;2),"x",_xlpm.x), "x"),
_xlpm.y)</f>
        <v>U6</v>
      </c>
      <c r="CZ326" s="23" t="str" cm="1">
        <f t="array" aca="1" ref="CZ326" ca="1">_xlfn.LET(
_xlpm.x, IFERROR(SUBSTITUTE(CELL("adres",OFFSET(INDIRECT(AN326),,CE326*($I326-$G326)*2,1,1)),"$",""),"x"),
_xlpm.y, IFERROR(IF(OR(COLUMN(INDIRECT(_xlpm.x))&gt;21, COLUMN(INDIRECT(_xlpm.x))&lt;2),"x",_xlpm.x), "x"),
_xlpm.y)</f>
        <v>x</v>
      </c>
      <c r="DA326" s="23" t="str" cm="1">
        <f t="array" aca="1" ref="DA326" ca="1">_xlfn.LET(
_xlpm.x, IFERROR(SUBSTITUTE(CELL("adres",OFFSET(INDIRECT(AO326),,CF326*($I326-$G326)*2,1,1)),"$",""),"x"),
_xlpm.y, IFERROR(IF(OR(COLUMN(INDIRECT(_xlpm.x))&gt;21, COLUMN(INDIRECT(_xlpm.x))&lt;2),"x",_xlpm.x), "x"),
_xlpm.y)</f>
        <v>x</v>
      </c>
      <c r="DB326" s="23" t="str" cm="1">
        <f t="array" aca="1" ref="DB326" ca="1">_xlfn.LET(
_xlpm.x, IFERROR(SUBSTITUTE(CELL("adres",OFFSET(INDIRECT(AP326),,CG326*($I326-$G326)*2,1,1)),"$",""),"x"),
_xlpm.y, IFERROR(IF(OR(COLUMN(INDIRECT(_xlpm.x))&gt;21, COLUMN(INDIRECT(_xlpm.x))&lt;2),"x",_xlpm.x), "x"),
_xlpm.y)</f>
        <v>x</v>
      </c>
      <c r="DC326" s="23" t="str" cm="1">
        <f t="array" aca="1" ref="DC326" ca="1">_xlfn.LET(
_xlpm.x, IFERROR(SUBSTITUTE(CELL("adres",OFFSET(INDIRECT(AQ326),,CH326*($I326-$G326)*2,1,1)),"$",""),"x"),
_xlpm.y, IFERROR(IF(OR(COLUMN(INDIRECT(_xlpm.x))&gt;21, COLUMN(INDIRECT(_xlpm.x))&lt;2),"x",_xlpm.x), "x"),
_xlpm.y)</f>
        <v>x</v>
      </c>
      <c r="DD326" s="23" t="str" cm="1">
        <f t="array" aca="1" ref="DD326" ca="1">_xlfn.LET(
_xlpm.x, IFERROR(SUBSTITUTE(CELL("adres",OFFSET(INDIRECT(AR326),,CI326*($I326-$G326)*2,1,1)),"$",""),"x"),
_xlpm.y, IFERROR(IF(OR(COLUMN(INDIRECT(_xlpm.x))&gt;21, COLUMN(INDIRECT(_xlpm.x))&lt;2),"x",_xlpm.x), "x"),
_xlpm.y)</f>
        <v>x</v>
      </c>
      <c r="DE326" s="23" t="str" cm="1">
        <f t="array" aca="1" ref="DE326" ca="1">_xlfn.LET(
_xlpm.x, IFERROR(SUBSTITUTE(CELL("adres",OFFSET(INDIRECT(AS326),,CJ326*($I326-$G326)*2,1,1)),"$",""),"x"),
_xlpm.y, IFERROR(IF(OR(COLUMN(INDIRECT(_xlpm.x))&gt;21, COLUMN(INDIRECT(_xlpm.x))&lt;2),"x",_xlpm.x), "x"),
_xlpm.y)</f>
        <v>x</v>
      </c>
      <c r="DF326" s="23" t="str" cm="1">
        <f t="array" aca="1" ref="DF326" ca="1">_xlfn.LET(
_xlpm.x, IFERROR(SUBSTITUTE(CELL("adres",OFFSET(INDIRECT(AT326),,CK326*($I326-$G326)*2,1,1)),"$",""),"x"),
_xlpm.y, IFERROR(IF(OR(COLUMN(INDIRECT(_xlpm.x))&gt;21, COLUMN(INDIRECT(_xlpm.x))&lt;2),"x",_xlpm.x), "x"),
_xlpm.y)</f>
        <v>x</v>
      </c>
      <c r="DG326" s="23" t="str" cm="1">
        <f t="array" aca="1" ref="DG326" ca="1">_xlfn.LET(
_xlpm.x, IFERROR(SUBSTITUTE(CELL("adres",OFFSET(INDIRECT(AU326),,CL326*($I326-$G326)*2,1,1)),"$",""),"x"),
_xlpm.y, IFERROR(IF(OR(COLUMN(INDIRECT(_xlpm.x))&gt;21, COLUMN(INDIRECT(_xlpm.x))&lt;2),"x",_xlpm.x), "x"),
_xlpm.y)</f>
        <v>x</v>
      </c>
      <c r="DH326" s="23" t="str" cm="1">
        <f t="array" aca="1" ref="DH326" ca="1">_xlfn.LET(
_xlpm.x, IFERROR(SUBSTITUTE(CELL("adres",OFFSET(INDIRECT(AV326),,CM326*($I326-$G326)*2,1,1)),"$",""),"x"),
_xlpm.y, IFERROR(IF(OR(COLUMN(INDIRECT(_xlpm.x))&gt;21, COLUMN(INDIRECT(_xlpm.x))&lt;2),"x",_xlpm.x), "x"),
_xlpm.y)</f>
        <v>x</v>
      </c>
      <c r="DI326" s="23" t="str" cm="1">
        <f t="array" aca="1" ref="DI326" ca="1">_xlfn.LET(
_xlpm.x, IFERROR(SUBSTITUTE(CELL("adres",OFFSET(INDIRECT(AW326),,CN326*($I326-$G326)*2,1,1)),"$",""),"x"),
_xlpm.y, IFERROR(IF(OR(COLUMN(INDIRECT(_xlpm.x))&gt;21, COLUMN(INDIRECT(_xlpm.x))&lt;2),"x",_xlpm.x), "x"),
_xlpm.y)</f>
        <v>x</v>
      </c>
      <c r="DJ326" s="23" t="str" cm="1">
        <f t="array" aca="1" ref="DJ326" ca="1">_xlfn.LET(
_xlpm.x, IFERROR(SUBSTITUTE(CELL("adres",OFFSET(INDIRECT(AX326),,CO326*($I326-$G326)*2,1,1)),"$",""),"x"),
_xlpm.y, IFERROR(IF(OR(COLUMN(INDIRECT(_xlpm.x))&gt;21, COLUMN(INDIRECT(_xlpm.x))&lt;2),"x",_xlpm.x), "x"),
_xlpm.y)</f>
        <v>x</v>
      </c>
      <c r="DK326" s="23" t="str" cm="1">
        <f t="array" aca="1" ref="DK326" ca="1">_xlfn.LET(
_xlpm.x, IFERROR(SUBSTITUTE(CELL("adres",OFFSET(INDIRECT(AY326),,CP326*($I326-$G326)*2,1,1)),"$",""),"x"),
_xlpm.y, IFERROR(IF(OR(COLUMN(INDIRECT(_xlpm.x))&gt;21, COLUMN(INDIRECT(_xlpm.x))&lt;2),"x",_xlpm.x), "x"),
_xlpm.y)</f>
        <v>x</v>
      </c>
      <c r="DM326" s="23" cm="1">
        <f t="array" aca="1" ref="DM326" ca="1">ROW(INDIRECT(CR326))</f>
        <v>18</v>
      </c>
      <c r="DN326" s="23" cm="1">
        <f t="array" aca="1" ref="DN326" ca="1">ROW(INDIRECT(J326))</f>
        <v>7</v>
      </c>
      <c r="DO326" s="23">
        <f t="shared" ca="1" si="60"/>
        <v>11</v>
      </c>
      <c r="DP326" s="23" cm="1">
        <f t="array" aca="1" ref="DP326" ca="1">COLUMN(INDIRECT(CR326))</f>
        <v>2</v>
      </c>
      <c r="DQ326" s="23" cm="1">
        <f t="array" aca="1" ref="DQ326" ca="1">COLUMN(INDIRECT(J326))</f>
        <v>4</v>
      </c>
      <c r="DR326" s="23">
        <f t="shared" ca="1" si="61"/>
        <v>2</v>
      </c>
      <c r="DS326" s="23">
        <f t="shared" ca="1" si="39"/>
        <v>11</v>
      </c>
      <c r="DU326" s="23" cm="1">
        <f t="array" aca="1" ref="DU326" ca="1">IFERROR(MAX(ABS(ROW(INDIRECT($J326))-ROW(INDIRECT(CR326))),ABS(COLUMN(INDIRECT($J326))-COLUMN(INDIRECT(CR326)))),1000)</f>
        <v>11</v>
      </c>
      <c r="DV326" s="23" cm="1">
        <f t="array" aca="1" ref="DV326" ca="1">IFERROR(MAX(ABS(ROW(INDIRECT($J326))-ROW(INDIRECT(CS326))),ABS(COLUMN(INDIRECT($J326))-COLUMN(INDIRECT(CS326)))),1000)</f>
        <v>16</v>
      </c>
      <c r="DW326" s="23" cm="1">
        <f t="array" aca="1" ref="DW326" ca="1">IFERROR(MAX(ABS(ROW(INDIRECT($J326))-ROW(INDIRECT(CT326))),ABS(COLUMN(INDIRECT($J326))-COLUMN(INDIRECT(CT326)))),1000)</f>
        <v>15</v>
      </c>
      <c r="DX326" s="23" cm="1">
        <f t="array" aca="1" ref="DX326" ca="1">IFERROR(MAX(ABS(ROW(INDIRECT($J326))-ROW(INDIRECT(CU326))),ABS(COLUMN(INDIRECT($J326))-COLUMN(INDIRECT(CU326)))),1000)</f>
        <v>14</v>
      </c>
      <c r="DY326" s="23" cm="1">
        <f t="array" aca="1" ref="DY326" ca="1">IFERROR(MAX(ABS(ROW(INDIRECT($J326))-ROW(INDIRECT(CV326))),ABS(COLUMN(INDIRECT($J326))-COLUMN(INDIRECT(CV326)))),1000)</f>
        <v>18</v>
      </c>
      <c r="DZ326" s="23" cm="1">
        <f t="array" aca="1" ref="DZ326" ca="1">IFERROR(MAX(ABS(ROW(INDIRECT($J326))-ROW(INDIRECT(CW326))),ABS(COLUMN(INDIRECT($J326))-COLUMN(INDIRECT(CW326)))),1000)</f>
        <v>7</v>
      </c>
      <c r="EA326" s="23" cm="1">
        <f t="array" aca="1" ref="EA326" ca="1">IFERROR(MAX(ABS(ROW(INDIRECT($J326))-ROW(INDIRECT(CX326))),ABS(COLUMN(INDIRECT($J326))-COLUMN(INDIRECT(CX326)))),1000)</f>
        <v>6</v>
      </c>
      <c r="EB326" s="23" cm="1">
        <f t="array" aca="1" ref="EB326" ca="1">IFERROR(MAX(ABS(ROW(INDIRECT($J326))-ROW(INDIRECT(CY326))),ABS(COLUMN(INDIRECT($J326))-COLUMN(INDIRECT(CY326)))),1000)</f>
        <v>17</v>
      </c>
      <c r="EC326" s="23" cm="1">
        <f t="array" aca="1" ref="EC326" ca="1">IFERROR(MAX(ABS(ROW(INDIRECT($J326))-ROW(INDIRECT(CZ326))),ABS(COLUMN(INDIRECT($J326))-COLUMN(INDIRECT(CZ326)))),1000)</f>
        <v>1000</v>
      </c>
      <c r="ED326" s="23" cm="1">
        <f t="array" aca="1" ref="ED326" ca="1">IFERROR(MAX(ABS(ROW(INDIRECT($J326))-ROW(INDIRECT(DA326))),ABS(COLUMN(INDIRECT($J326))-COLUMN(INDIRECT(DA326)))),1000)</f>
        <v>1000</v>
      </c>
      <c r="EE326" s="23" cm="1">
        <f t="array" aca="1" ref="EE326" ca="1">IFERROR(MAX(ABS(ROW(INDIRECT($J326))-ROW(INDIRECT(DB326))),ABS(COLUMN(INDIRECT($J326))-COLUMN(INDIRECT(DB326)))),1000)</f>
        <v>1000</v>
      </c>
      <c r="EF326" s="23" cm="1">
        <f t="array" aca="1" ref="EF326" ca="1">IFERROR(MAX(ABS(ROW(INDIRECT($J326))-ROW(INDIRECT(DC326))),ABS(COLUMN(INDIRECT($J326))-COLUMN(INDIRECT(DC326)))),1000)</f>
        <v>1000</v>
      </c>
      <c r="EG326" s="23" cm="1">
        <f t="array" aca="1" ref="EG326" ca="1">IFERROR(MAX(ABS(ROW(INDIRECT($J326))-ROW(INDIRECT(DD326))),ABS(COLUMN(INDIRECT($J326))-COLUMN(INDIRECT(DD326)))),1000)</f>
        <v>1000</v>
      </c>
      <c r="EH326" s="23" cm="1">
        <f t="array" aca="1" ref="EH326" ca="1">IFERROR(MAX(ABS(ROW(INDIRECT($J326))-ROW(INDIRECT(DE326))),ABS(COLUMN(INDIRECT($J326))-COLUMN(INDIRECT(DE326)))),1000)</f>
        <v>1000</v>
      </c>
      <c r="EI326" s="23" cm="1">
        <f t="array" aca="1" ref="EI326" ca="1">IFERROR(MAX(ABS(ROW(INDIRECT($J326))-ROW(INDIRECT(DF326))),ABS(COLUMN(INDIRECT($J326))-COLUMN(INDIRECT(DF326)))),1000)</f>
        <v>1000</v>
      </c>
      <c r="EJ326" s="23" cm="1">
        <f t="array" aca="1" ref="EJ326" ca="1">IFERROR(MAX(ABS(ROW(INDIRECT($J326))-ROW(INDIRECT(DG326))),ABS(COLUMN(INDIRECT($J326))-COLUMN(INDIRECT(DG326)))),1000)</f>
        <v>1000</v>
      </c>
      <c r="EK326" s="23" cm="1">
        <f t="array" aca="1" ref="EK326" ca="1">IFERROR(MAX(ABS(ROW(INDIRECT($J326))-ROW(INDIRECT(DH326))),ABS(COLUMN(INDIRECT($J326))-COLUMN(INDIRECT(DH326)))),1000)</f>
        <v>1000</v>
      </c>
      <c r="EL326" s="23" cm="1">
        <f t="array" aca="1" ref="EL326" ca="1">IFERROR(MAX(ABS(ROW(INDIRECT($J326))-ROW(INDIRECT(DI326))),ABS(COLUMN(INDIRECT($J326))-COLUMN(INDIRECT(DI326)))),1000)</f>
        <v>1000</v>
      </c>
      <c r="EM326" s="23" cm="1">
        <f t="array" aca="1" ref="EM326" ca="1">IFERROR(MAX(ABS(ROW(INDIRECT($J326))-ROW(INDIRECT(DJ326))),ABS(COLUMN(INDIRECT($J326))-COLUMN(INDIRECT(DJ326)))),1000)</f>
        <v>1000</v>
      </c>
      <c r="EN326" s="23" cm="1">
        <f t="array" aca="1" ref="EN326" ca="1">IFERROR(MAX(ABS(ROW(INDIRECT($J326))-ROW(INDIRECT(DK326))),ABS(COLUMN(INDIRECT($J326))-COLUMN(INDIRECT(DK326)))),1000)</f>
        <v>1000</v>
      </c>
      <c r="EP326" s="23">
        <f t="shared" ca="1" si="62"/>
        <v>6</v>
      </c>
      <c r="EQ326" s="23">
        <f t="shared" ca="1" si="63"/>
        <v>1</v>
      </c>
      <c r="ER326" s="23">
        <f t="shared" ca="1" si="64"/>
        <v>7</v>
      </c>
      <c r="ES326" s="23" t="str" cm="1">
        <f t="array" aca="1" ref="ES326" ca="1">INDEX(CR326:DK326,1,ER326)</f>
        <v>C13</v>
      </c>
    </row>
    <row r="327" spans="2:149" ht="22.5" customHeight="1">
      <c r="B327" s="32">
        <f t="shared" si="65"/>
        <v>140</v>
      </c>
      <c r="C327" s="32">
        <v>7</v>
      </c>
      <c r="D327" s="30">
        <v>12</v>
      </c>
      <c r="E327" s="34" t="str">
        <f ca="1"/>
        <v>T10</v>
      </c>
      <c r="F327" s="103"/>
      <c r="G327" s="33">
        <v>10</v>
      </c>
      <c r="H327" s="33" t="s">
        <v>309</v>
      </c>
      <c r="I327" s="33">
        <v>12</v>
      </c>
      <c r="J327" s="33" t="s">
        <v>310</v>
      </c>
      <c r="K327" s="33" t="s">
        <v>60</v>
      </c>
      <c r="L327" s="33" t="s">
        <v>137</v>
      </c>
      <c r="M327" s="33" t="s">
        <v>113</v>
      </c>
      <c r="N327" s="33" t="s">
        <v>200</v>
      </c>
      <c r="O327" s="33" t="s">
        <v>93</v>
      </c>
      <c r="P327" s="33" t="s">
        <v>58</v>
      </c>
      <c r="Q327" s="33" t="s">
        <v>112</v>
      </c>
      <c r="R327" s="33" t="s">
        <v>86</v>
      </c>
      <c r="S327" s="33" t="s">
        <v>63</v>
      </c>
      <c r="T327" s="33" t="s">
        <v>66</v>
      </c>
      <c r="U327" s="33" t="s">
        <v>186</v>
      </c>
      <c r="V327" s="33" t="s">
        <v>84</v>
      </c>
      <c r="W327" s="33" t="s">
        <v>63</v>
      </c>
      <c r="X327" s="33" t="s">
        <v>84</v>
      </c>
      <c r="Y327" s="33" t="s">
        <v>83</v>
      </c>
      <c r="Z327" s="33" t="s">
        <v>93</v>
      </c>
      <c r="AA327" s="33" t="s">
        <v>178</v>
      </c>
      <c r="AB327" s="33" t="s">
        <v>93</v>
      </c>
      <c r="AC327" s="33" t="s">
        <v>178</v>
      </c>
      <c r="AD327" s="33" t="s">
        <v>178</v>
      </c>
      <c r="AF327" s="31" t="str" cm="1">
        <f t="array" aca="1" ref="AF327" ca="1">_xlfn.LET(
_xlpm.x, IF(K$303&gt;$G327,"x",IFERROR(SUBSTITUTE(CELL("adres",OFFSET(INDIRECT(K327),,IF(LEFT(K327)="V",-1,1)*($G327-K$303),1,1)),"$",""),"x")),
_xlpm.y, IFERROR(IF(OR(COLUMN(INDIRECT(_xlpm.x))&gt;21, COLUMN(INDIRECT(_xlpm.x)) &lt;2), "x",_xlpm.x),"x"),
_xlpm.y)</f>
        <v>K21</v>
      </c>
      <c r="AG327" s="31" t="str" cm="1">
        <f t="array" aca="1" ref="AG327" ca="1">_xlfn.LET(
_xlpm.x, IF(L$303&gt;$G327,"x",IFERROR(SUBSTITUTE(CELL("adres",OFFSET(INDIRECT(L327),,IF(LEFT(L327)="V",-1,1)*($G327-L$303),1,1)),"$",""),"x")),
_xlpm.y, IFERROR(IF(OR(COLUMN(INDIRECT(_xlpm.x))&gt;21, COLUMN(INDIRECT(_xlpm.x)) &lt;2), "x",_xlpm.x),"x"),
_xlpm.y)</f>
        <v>M4</v>
      </c>
      <c r="AH327" s="31" t="str" cm="1">
        <f t="array" aca="1" ref="AH327" ca="1">_xlfn.LET(
_xlpm.x, IF(M$303&gt;$G327,"x",IFERROR(SUBSTITUTE(CELL("adres",OFFSET(INDIRECT(M327),,IF(LEFT(M327)="V",-1,1)*($G327-M$303),1,1)),"$",""),"x")),
_xlpm.y, IFERROR(IF(OR(COLUMN(INDIRECT(_xlpm.x))&gt;21, COLUMN(INDIRECT(_xlpm.x)) &lt;2), "x",_xlpm.x),"x"),
_xlpm.y)</f>
        <v>I14</v>
      </c>
      <c r="AI327" s="31" t="str" cm="1">
        <f t="array" aca="1" ref="AI327" ca="1">_xlfn.LET(
_xlpm.x, IF(N$303&gt;$G327,"x",IFERROR(SUBSTITUTE(CELL("adres",OFFSET(INDIRECT(N327),,IF(LEFT(N327)="V",-1,1)*($G327-N$303),1,1)),"$",""),"x")),
_xlpm.y, IFERROR(IF(OR(COLUMN(INDIRECT(_xlpm.x))&gt;21, COLUMN(INDIRECT(_xlpm.x)) &lt;2), "x",_xlpm.x),"x"),
_xlpm.y)</f>
        <v>H18</v>
      </c>
      <c r="AJ327" s="31" t="str" cm="1">
        <f t="array" aca="1" ref="AJ327" ca="1">_xlfn.LET(
_xlpm.x, IF(O$303&gt;$G327,"x",IFERROR(SUBSTITUTE(CELL("adres",OFFSET(INDIRECT(O327),,IF(LEFT(O327)="V",-1,1)*($G327-O$303),1,1)),"$",""),"x")),
_xlpm.y, IFERROR(IF(OR(COLUMN(INDIRECT(_xlpm.x))&gt;21, COLUMN(INDIRECT(_xlpm.x)) &lt;2), "x",_xlpm.x),"x"),
_xlpm.y)</f>
        <v>P10</v>
      </c>
      <c r="AK327" s="31" t="str" cm="1">
        <f t="array" aca="1" ref="AK327" ca="1">_xlfn.LET(
_xlpm.x, IF(P$303&gt;$G327,"x",IFERROR(SUBSTITUTE(CELL("adres",OFFSET(INDIRECT(P327),,IF(LEFT(P327)="V",-1,1)*($G327-P$303),1,1)),"$",""),"x")),
_xlpm.y, IFERROR(IF(OR(COLUMN(INDIRECT(_xlpm.x))&gt;21, COLUMN(INDIRECT(_xlpm.x)) &lt;2), "x",_xlpm.x),"x"),
_xlpm.y)</f>
        <v>F16</v>
      </c>
      <c r="AL327" s="31" t="str" cm="1">
        <f t="array" aca="1" ref="AL327" ca="1">_xlfn.LET(
_xlpm.x, IF(Q$303&gt;$G327,"x",IFERROR(SUBSTITUTE(CELL("adres",OFFSET(INDIRECT(Q327),,IF(LEFT(Q327)="V",-1,1)*($G327-Q$303),1,1)),"$",""),"x")),
_xlpm.y, IFERROR(IF(OR(COLUMN(INDIRECT(_xlpm.x))&gt;21, COLUMN(INDIRECT(_xlpm.x)) &lt;2), "x",_xlpm.x),"x"),
_xlpm.y)</f>
        <v>R2</v>
      </c>
      <c r="AM327" s="31" t="str" cm="1">
        <f t="array" aca="1" ref="AM327" ca="1">_xlfn.LET(
_xlpm.x, IF(R$303&gt;$G327,"x",IFERROR(SUBSTITUTE(CELL("adres",OFFSET(INDIRECT(R327),,IF(LEFT(R327)="V",-1,1)*($G327-R$303),1,1)),"$",""),"x")),
_xlpm.y, IFERROR(IF(OR(COLUMN(INDIRECT(_xlpm.x))&gt;21, COLUMN(INDIRECT(_xlpm.x)) &lt;2), "x",_xlpm.x),"x"),
_xlpm.y)</f>
        <v>S17</v>
      </c>
      <c r="AN327" s="31" t="str" cm="1">
        <f t="array" aca="1" ref="AN327" ca="1">_xlfn.LET(
_xlpm.x, IF(S$303&gt;$G327,"x",IFERROR(SUBSTITUTE(CELL("adres",OFFSET(INDIRECT(S327),,IF(LEFT(S327)="V",-1,1)*($G327-S$303),1,1)),"$",""),"x")),
_xlpm.y, IFERROR(IF(OR(COLUMN(INDIRECT(_xlpm.x))&gt;21, COLUMN(INDIRECT(_xlpm.x)) &lt;2), "x",_xlpm.x),"x"),
_xlpm.y)</f>
        <v>C22</v>
      </c>
      <c r="AO327" s="31" t="str" cm="1">
        <f t="array" aca="1" ref="AO327" ca="1">_xlfn.LET(
_xlpm.x, IF(T$303&gt;$G327,"x",IFERROR(SUBSTITUTE(CELL("adres",OFFSET(INDIRECT(T327),,IF(LEFT(T327)="V",-1,1)*($G327-T$303),1,1)),"$",""),"x")),
_xlpm.y, IFERROR(IF(OR(COLUMN(INDIRECT(_xlpm.x))&gt;21, COLUMN(INDIRECT(_xlpm.x)) &lt;2), "x",_xlpm.x),"x"),
_xlpm.y)</f>
        <v>B20</v>
      </c>
      <c r="AP327" s="31" t="str" cm="1">
        <f t="array" aca="1" ref="AP327" ca="1">_xlfn.LET(
_xlpm.x, IF(U$303&gt;$G327,"x",IFERROR(SUBSTITUTE(CELL("adres",OFFSET(INDIRECT(U327),,IF(LEFT(U327)="V",-1,1)*($G327-U$303),1,1)),"$",""),"x")),
_xlpm.y, IFERROR(IF(OR(COLUMN(INDIRECT(_xlpm.x))&gt;21, COLUMN(INDIRECT(_xlpm.x)) &lt;2), "x",_xlpm.x),"x"),
_xlpm.y)</f>
        <v>x</v>
      </c>
      <c r="AQ327" s="31" t="str" cm="1">
        <f t="array" aca="1" ref="AQ327" ca="1">_xlfn.LET(
_xlpm.x, IF(V$303&gt;$G327,"x",IFERROR(SUBSTITUTE(CELL("adres",OFFSET(INDIRECT(V327),,IF(LEFT(V327)="V",-1,1)*($G327-V$303),1,1)),"$",""),"x")),
_xlpm.y, IFERROR(IF(OR(COLUMN(INDIRECT(_xlpm.x))&gt;21, COLUMN(INDIRECT(_xlpm.x)) &lt;2), "x",_xlpm.x),"x"),
_xlpm.y)</f>
        <v>x</v>
      </c>
      <c r="AR327" s="31" t="str" cm="1">
        <f t="array" aca="1" ref="AR327" ca="1">_xlfn.LET(
_xlpm.x, IF(W$303&gt;$G327,"x",IFERROR(SUBSTITUTE(CELL("adres",OFFSET(INDIRECT(W327),,IF(LEFT(W327)="V",-1,1)*($G327-W$303),1,1)),"$",""),"x")),
_xlpm.y, IFERROR(IF(OR(COLUMN(INDIRECT(_xlpm.x))&gt;21, COLUMN(INDIRECT(_xlpm.x)) &lt;2), "x",_xlpm.x),"x"),
_xlpm.y)</f>
        <v>x</v>
      </c>
      <c r="AS327" s="31" t="str" cm="1">
        <f t="array" aca="1" ref="AS327" ca="1">_xlfn.LET(
_xlpm.x, IF(X$303&gt;$G327,"x",IFERROR(SUBSTITUTE(CELL("adres",OFFSET(INDIRECT(X327),,IF(LEFT(X327)="V",-1,1)*($G327-X$303),1,1)),"$",""),"x")),
_xlpm.y, IFERROR(IF(OR(COLUMN(INDIRECT(_xlpm.x))&gt;21, COLUMN(INDIRECT(_xlpm.x)) &lt;2), "x",_xlpm.x),"x"),
_xlpm.y)</f>
        <v>x</v>
      </c>
      <c r="AT327" s="31" t="str" cm="1">
        <f t="array" aca="1" ref="AT327" ca="1">_xlfn.LET(
_xlpm.x, IF(Y$303&gt;$G327,"x",IFERROR(SUBSTITUTE(CELL("adres",OFFSET(INDIRECT(Y327),,IF(LEFT(Y327)="V",-1,1)*($G327-Y$303),1,1)),"$",""),"x")),
_xlpm.y, IFERROR(IF(OR(COLUMN(INDIRECT(_xlpm.x))&gt;21, COLUMN(INDIRECT(_xlpm.x)) &lt;2), "x",_xlpm.x),"x"),
_xlpm.y)</f>
        <v>x</v>
      </c>
      <c r="AU327" s="31" t="str" cm="1">
        <f t="array" aca="1" ref="AU327" ca="1">_xlfn.LET(
_xlpm.x, IF(Z$303&gt;$G327,"x",IFERROR(SUBSTITUTE(CELL("adres",OFFSET(INDIRECT(Z327),,IF(LEFT(Z327)="V",-1,1)*($G327-Z$303),1,1)),"$",""),"x")),
_xlpm.y, IFERROR(IF(OR(COLUMN(INDIRECT(_xlpm.x))&gt;21, COLUMN(INDIRECT(_xlpm.x)) &lt;2), "x",_xlpm.x),"x"),
_xlpm.y)</f>
        <v>x</v>
      </c>
      <c r="AV327" s="31" t="str" cm="1">
        <f t="array" aca="1" ref="AV327" ca="1">_xlfn.LET(
_xlpm.x, IF(AA$303&gt;$G327,"x",IFERROR(SUBSTITUTE(CELL("adres",OFFSET(INDIRECT(AA327),,IF(LEFT(AA327)="V",-1,1)*($G327-AA$303),1,1)),"$",""),"x")),
_xlpm.y, IFERROR(IF(OR(COLUMN(INDIRECT(_xlpm.x))&gt;21, COLUMN(INDIRECT(_xlpm.x)) &lt;2), "x",_xlpm.x),"x"),
_xlpm.y)</f>
        <v>x</v>
      </c>
      <c r="AW327" s="31" t="str" cm="1">
        <f t="array" aca="1" ref="AW327" ca="1">_xlfn.LET(
_xlpm.x, IF(AB$303&gt;$G327,"x",IFERROR(SUBSTITUTE(CELL("adres",OFFSET(INDIRECT(AB327),,IF(LEFT(AB327)="V",-1,1)*($G327-AB$303),1,1)),"$",""),"x")),
_xlpm.y, IFERROR(IF(OR(COLUMN(INDIRECT(_xlpm.x))&gt;21, COLUMN(INDIRECT(_xlpm.x)) &lt;2), "x",_xlpm.x),"x"),
_xlpm.y)</f>
        <v>x</v>
      </c>
      <c r="AX327" s="31" t="str" cm="1">
        <f t="array" aca="1" ref="AX327" ca="1">_xlfn.LET(
_xlpm.x, IF(AC$303&gt;$G327,"x",IFERROR(SUBSTITUTE(CELL("adres",OFFSET(INDIRECT(AC327),,IF(LEFT(AC327)="V",-1,1)*($G327-AC$303),1,1)),"$",""),"x")),
_xlpm.y, IFERROR(IF(OR(COLUMN(INDIRECT(_xlpm.x))&gt;21, COLUMN(INDIRECT(_xlpm.x)) &lt;2), "x",_xlpm.x),"x"),
_xlpm.y)</f>
        <v>x</v>
      </c>
      <c r="AY327" s="31" t="str" cm="1">
        <f t="array" aca="1" ref="AY327" ca="1">_xlfn.LET(
_xlpm.x, IF(AD$303&gt;$G327,"x",IFERROR(SUBSTITUTE(CELL("adres",OFFSET(INDIRECT(AD327),,IF(LEFT(AD327)="V",-1,1)*($G327-AD$303),1,1)),"$",""),"x")),
_xlpm.y, IFERROR(IF(OR(COLUMN(INDIRECT(_xlpm.x))&gt;21, COLUMN(INDIRECT(_xlpm.x)) &lt;2), "x",_xlpm.x),"x"),
_xlpm.y)</f>
        <v>x</v>
      </c>
      <c r="BB327" s="23" cm="1">
        <f t="array" aca="1" ref="BB327" ca="1">IFERROR(COLUMN(INDIRECT(AF327)),"x")</f>
        <v>11</v>
      </c>
      <c r="BC327" s="23" cm="1">
        <f t="array" aca="1" ref="BC327" ca="1">IFERROR(COLUMN(INDIRECT(AG327)),"x")</f>
        <v>13</v>
      </c>
      <c r="BD327" s="23" cm="1">
        <f t="array" aca="1" ref="BD327" ca="1">IFERROR(COLUMN(INDIRECT(AH327)),"x")</f>
        <v>9</v>
      </c>
      <c r="BE327" s="23" cm="1">
        <f t="array" aca="1" ref="BE327" ca="1">IFERROR(COLUMN(INDIRECT(AI327)),"x")</f>
        <v>8</v>
      </c>
      <c r="BF327" s="23" cm="1">
        <f t="array" aca="1" ref="BF327" ca="1">IFERROR(COLUMN(INDIRECT(AJ327)),"x")</f>
        <v>16</v>
      </c>
      <c r="BG327" s="23" cm="1">
        <f t="array" aca="1" ref="BG327" ca="1">IFERROR(COLUMN(INDIRECT(AK327)),"x")</f>
        <v>6</v>
      </c>
      <c r="BH327" s="23" cm="1">
        <f t="array" aca="1" ref="BH327" ca="1">IFERROR(COLUMN(INDIRECT(AL327)),"x")</f>
        <v>18</v>
      </c>
      <c r="BI327" s="23" cm="1">
        <f t="array" aca="1" ref="BI327" ca="1">IFERROR(COLUMN(INDIRECT(AM327)),"x")</f>
        <v>19</v>
      </c>
      <c r="BJ327" s="23" cm="1">
        <f t="array" aca="1" ref="BJ327" ca="1">IFERROR(COLUMN(INDIRECT(AN327)),"x")</f>
        <v>3</v>
      </c>
      <c r="BK327" s="23" cm="1">
        <f t="array" aca="1" ref="BK327" ca="1">IFERROR(COLUMN(INDIRECT(AO327)),"x")</f>
        <v>2</v>
      </c>
      <c r="BL327" s="23" t="str" cm="1">
        <f t="array" aca="1" ref="BL327" ca="1">IFERROR(COLUMN(INDIRECT(AP327)),"x")</f>
        <v>x</v>
      </c>
      <c r="BM327" s="23" t="str" cm="1">
        <f t="array" aca="1" ref="BM327" ca="1">IFERROR(COLUMN(INDIRECT(AQ327)),"x")</f>
        <v>x</v>
      </c>
      <c r="BN327" s="23" t="str" cm="1">
        <f t="array" aca="1" ref="BN327" ca="1">IFERROR(COLUMN(INDIRECT(AR327)),"x")</f>
        <v>x</v>
      </c>
      <c r="BO327" s="23" t="str" cm="1">
        <f t="array" aca="1" ref="BO327" ca="1">IFERROR(COLUMN(INDIRECT(AS327)),"x")</f>
        <v>x</v>
      </c>
      <c r="BP327" s="23" t="str" cm="1">
        <f t="array" aca="1" ref="BP327" ca="1">IFERROR(COLUMN(INDIRECT(AT327)),"x")</f>
        <v>x</v>
      </c>
      <c r="BQ327" s="23" t="str" cm="1">
        <f t="array" aca="1" ref="BQ327" ca="1">IFERROR(COLUMN(INDIRECT(AU327)),"x")</f>
        <v>x</v>
      </c>
      <c r="BR327" s="23" t="str" cm="1">
        <f t="array" aca="1" ref="BR327" ca="1">IFERROR(COLUMN(INDIRECT(AV327)),"x")</f>
        <v>x</v>
      </c>
      <c r="BS327" s="23" t="str" cm="1">
        <f t="array" aca="1" ref="BS327" ca="1">IFERROR(COLUMN(INDIRECT(AW327)),"x")</f>
        <v>x</v>
      </c>
      <c r="BT327" s="23" t="str" cm="1">
        <f t="array" aca="1" ref="BT327" ca="1">IFERROR(COLUMN(INDIRECT(AX327)),"x")</f>
        <v>x</v>
      </c>
      <c r="BU327" s="23" t="str" cm="1">
        <f t="array" aca="1" ref="BU327" ca="1">IFERROR(COLUMN(INDIRECT(AY327)),"x")</f>
        <v>x</v>
      </c>
      <c r="BW327" s="23">
        <f t="shared" ca="1" si="40"/>
        <v>-1</v>
      </c>
      <c r="BX327" s="23">
        <f t="shared" ca="1" si="41"/>
        <v>1</v>
      </c>
      <c r="BY327" s="23">
        <f t="shared" ca="1" si="42"/>
        <v>-1</v>
      </c>
      <c r="BZ327" s="23">
        <f t="shared" ca="1" si="43"/>
        <v>-1</v>
      </c>
      <c r="CA327" s="23">
        <f t="shared" ca="1" si="44"/>
        <v>1</v>
      </c>
      <c r="CB327" s="23">
        <f t="shared" ca="1" si="45"/>
        <v>-1</v>
      </c>
      <c r="CC327" s="23">
        <f t="shared" ca="1" si="46"/>
        <v>1</v>
      </c>
      <c r="CD327" s="23">
        <f t="shared" ca="1" si="47"/>
        <v>1</v>
      </c>
      <c r="CE327" s="23">
        <f t="shared" ca="1" si="48"/>
        <v>-1</v>
      </c>
      <c r="CF327" s="23">
        <f t="shared" ca="1" si="49"/>
        <v>-1</v>
      </c>
      <c r="CG327" s="23" t="str">
        <f t="shared" ca="1" si="50"/>
        <v>x</v>
      </c>
      <c r="CH327" s="23" t="str">
        <f t="shared" ca="1" si="51"/>
        <v>x</v>
      </c>
      <c r="CI327" s="23" t="str">
        <f t="shared" ca="1" si="52"/>
        <v>x</v>
      </c>
      <c r="CJ327" s="23" t="str">
        <f t="shared" ca="1" si="53"/>
        <v>x</v>
      </c>
      <c r="CK327" s="23" t="str">
        <f t="shared" ca="1" si="54"/>
        <v>x</v>
      </c>
      <c r="CL327" s="23" t="str">
        <f t="shared" ca="1" si="55"/>
        <v>x</v>
      </c>
      <c r="CM327" s="23" t="str">
        <f t="shared" ca="1" si="56"/>
        <v>x</v>
      </c>
      <c r="CN327" s="23" t="str">
        <f t="shared" ca="1" si="57"/>
        <v>x</v>
      </c>
      <c r="CO327" s="23" t="str">
        <f t="shared" ca="1" si="58"/>
        <v>x</v>
      </c>
      <c r="CP327" s="23" t="str">
        <f t="shared" ca="1" si="59"/>
        <v>x</v>
      </c>
      <c r="CQ327" s="75"/>
      <c r="CR327" s="23" t="str" cm="1">
        <f t="array" aca="1" ref="CR327" ca="1">_xlfn.LET(
_xlpm.x, IFERROR(SUBSTITUTE(CELL("adres",OFFSET(INDIRECT(AF327),,BW327*($I327-$G327)*2,1,1)),"$",""),"x"),
_xlpm.y, IFERROR(IF(OR(COLUMN(INDIRECT(_xlpm.x))&gt;21, COLUMN(INDIRECT(_xlpm.x))&lt;2),"x",_xlpm.x), "x"),
_xlpm.y)</f>
        <v>G21</v>
      </c>
      <c r="CS327" s="23" t="str" cm="1">
        <f t="array" aca="1" ref="CS327" ca="1">_xlfn.LET(
_xlpm.x, IFERROR(SUBSTITUTE(CELL("adres",OFFSET(INDIRECT(AG327),,BX327*($I327-$G327)*2,1,1)),"$",""),"x"),
_xlpm.y, IFERROR(IF(OR(COLUMN(INDIRECT(_xlpm.x))&gt;21, COLUMN(INDIRECT(_xlpm.x))&lt;2),"x",_xlpm.x), "x"),
_xlpm.y)</f>
        <v>Q4</v>
      </c>
      <c r="CT327" s="23" t="str" cm="1">
        <f t="array" aca="1" ref="CT327" ca="1">_xlfn.LET(
_xlpm.x, IFERROR(SUBSTITUTE(CELL("adres",OFFSET(INDIRECT(AH327),,BY327*($I327-$G327)*2,1,1)),"$",""),"x"),
_xlpm.y, IFERROR(IF(OR(COLUMN(INDIRECT(_xlpm.x))&gt;21, COLUMN(INDIRECT(_xlpm.x))&lt;2),"x",_xlpm.x), "x"),
_xlpm.y)</f>
        <v>E14</v>
      </c>
      <c r="CU327" s="23" t="str" cm="1">
        <f t="array" aca="1" ref="CU327" ca="1">_xlfn.LET(
_xlpm.x, IFERROR(SUBSTITUTE(CELL("adres",OFFSET(INDIRECT(AI327),,BZ327*($I327-$G327)*2,1,1)),"$",""),"x"),
_xlpm.y, IFERROR(IF(OR(COLUMN(INDIRECT(_xlpm.x))&gt;21, COLUMN(INDIRECT(_xlpm.x))&lt;2),"x",_xlpm.x), "x"),
_xlpm.y)</f>
        <v>D18</v>
      </c>
      <c r="CV327" s="23" t="str" cm="1">
        <f t="array" aca="1" ref="CV327" ca="1">_xlfn.LET(
_xlpm.x, IFERROR(SUBSTITUTE(CELL("adres",OFFSET(INDIRECT(AJ327),,CA327*($I327-$G327)*2,1,1)),"$",""),"x"),
_xlpm.y, IFERROR(IF(OR(COLUMN(INDIRECT(_xlpm.x))&gt;21, COLUMN(INDIRECT(_xlpm.x))&lt;2),"x",_xlpm.x), "x"),
_xlpm.y)</f>
        <v>T10</v>
      </c>
      <c r="CW327" s="23" t="str" cm="1">
        <f t="array" aca="1" ref="CW327" ca="1">_xlfn.LET(
_xlpm.x, IFERROR(SUBSTITUTE(CELL("adres",OFFSET(INDIRECT(AK327),,CB327*($I327-$G327)*2,1,1)),"$",""),"x"),
_xlpm.y, IFERROR(IF(OR(COLUMN(INDIRECT(_xlpm.x))&gt;21, COLUMN(INDIRECT(_xlpm.x))&lt;2),"x",_xlpm.x), "x"),
_xlpm.y)</f>
        <v>B16</v>
      </c>
      <c r="CX327" s="23" t="str" cm="1">
        <f t="array" aca="1" ref="CX327" ca="1">_xlfn.LET(
_xlpm.x, IFERROR(SUBSTITUTE(CELL("adres",OFFSET(INDIRECT(AL327),,CC327*($I327-$G327)*2,1,1)),"$",""),"x"),
_xlpm.y, IFERROR(IF(OR(COLUMN(INDIRECT(_xlpm.x))&gt;21, COLUMN(INDIRECT(_xlpm.x))&lt;2),"x",_xlpm.x), "x"),
_xlpm.y)</f>
        <v>x</v>
      </c>
      <c r="CY327" s="23" t="str" cm="1">
        <f t="array" aca="1" ref="CY327" ca="1">_xlfn.LET(
_xlpm.x, IFERROR(SUBSTITUTE(CELL("adres",OFFSET(INDIRECT(AM327),,CD327*($I327-$G327)*2,1,1)),"$",""),"x"),
_xlpm.y, IFERROR(IF(OR(COLUMN(INDIRECT(_xlpm.x))&gt;21, COLUMN(INDIRECT(_xlpm.x))&lt;2),"x",_xlpm.x), "x"),
_xlpm.y)</f>
        <v>x</v>
      </c>
      <c r="CZ327" s="23" t="str" cm="1">
        <f t="array" aca="1" ref="CZ327" ca="1">_xlfn.LET(
_xlpm.x, IFERROR(SUBSTITUTE(CELL("adres",OFFSET(INDIRECT(AN327),,CE327*($I327-$G327)*2,1,1)),"$",""),"x"),
_xlpm.y, IFERROR(IF(OR(COLUMN(INDIRECT(_xlpm.x))&gt;21, COLUMN(INDIRECT(_xlpm.x))&lt;2),"x",_xlpm.x), "x"),
_xlpm.y)</f>
        <v>x</v>
      </c>
      <c r="DA327" s="23" t="str" cm="1">
        <f t="array" aca="1" ref="DA327" ca="1">_xlfn.LET(
_xlpm.x, IFERROR(SUBSTITUTE(CELL("adres",OFFSET(INDIRECT(AO327),,CF327*($I327-$G327)*2,1,1)),"$",""),"x"),
_xlpm.y, IFERROR(IF(OR(COLUMN(INDIRECT(_xlpm.x))&gt;21, COLUMN(INDIRECT(_xlpm.x))&lt;2),"x",_xlpm.x), "x"),
_xlpm.y)</f>
        <v>x</v>
      </c>
      <c r="DB327" s="23" t="str" cm="1">
        <f t="array" aca="1" ref="DB327" ca="1">_xlfn.LET(
_xlpm.x, IFERROR(SUBSTITUTE(CELL("adres",OFFSET(INDIRECT(AP327),,CG327*($I327-$G327)*2,1,1)),"$",""),"x"),
_xlpm.y, IFERROR(IF(OR(COLUMN(INDIRECT(_xlpm.x))&gt;21, COLUMN(INDIRECT(_xlpm.x))&lt;2),"x",_xlpm.x), "x"),
_xlpm.y)</f>
        <v>x</v>
      </c>
      <c r="DC327" s="23" t="str" cm="1">
        <f t="array" aca="1" ref="DC327" ca="1">_xlfn.LET(
_xlpm.x, IFERROR(SUBSTITUTE(CELL("adres",OFFSET(INDIRECT(AQ327),,CH327*($I327-$G327)*2,1,1)),"$",""),"x"),
_xlpm.y, IFERROR(IF(OR(COLUMN(INDIRECT(_xlpm.x))&gt;21, COLUMN(INDIRECT(_xlpm.x))&lt;2),"x",_xlpm.x), "x"),
_xlpm.y)</f>
        <v>x</v>
      </c>
      <c r="DD327" s="23" t="str" cm="1">
        <f t="array" aca="1" ref="DD327" ca="1">_xlfn.LET(
_xlpm.x, IFERROR(SUBSTITUTE(CELL("adres",OFFSET(INDIRECT(AR327),,CI327*($I327-$G327)*2,1,1)),"$",""),"x"),
_xlpm.y, IFERROR(IF(OR(COLUMN(INDIRECT(_xlpm.x))&gt;21, COLUMN(INDIRECT(_xlpm.x))&lt;2),"x",_xlpm.x), "x"),
_xlpm.y)</f>
        <v>x</v>
      </c>
      <c r="DE327" s="23" t="str" cm="1">
        <f t="array" aca="1" ref="DE327" ca="1">_xlfn.LET(
_xlpm.x, IFERROR(SUBSTITUTE(CELL("adres",OFFSET(INDIRECT(AS327),,CJ327*($I327-$G327)*2,1,1)),"$",""),"x"),
_xlpm.y, IFERROR(IF(OR(COLUMN(INDIRECT(_xlpm.x))&gt;21, COLUMN(INDIRECT(_xlpm.x))&lt;2),"x",_xlpm.x), "x"),
_xlpm.y)</f>
        <v>x</v>
      </c>
      <c r="DF327" s="23" t="str" cm="1">
        <f t="array" aca="1" ref="DF327" ca="1">_xlfn.LET(
_xlpm.x, IFERROR(SUBSTITUTE(CELL("adres",OFFSET(INDIRECT(AT327),,CK327*($I327-$G327)*2,1,1)),"$",""),"x"),
_xlpm.y, IFERROR(IF(OR(COLUMN(INDIRECT(_xlpm.x))&gt;21, COLUMN(INDIRECT(_xlpm.x))&lt;2),"x",_xlpm.x), "x"),
_xlpm.y)</f>
        <v>x</v>
      </c>
      <c r="DG327" s="23" t="str" cm="1">
        <f t="array" aca="1" ref="DG327" ca="1">_xlfn.LET(
_xlpm.x, IFERROR(SUBSTITUTE(CELL("adres",OFFSET(INDIRECT(AU327),,CL327*($I327-$G327)*2,1,1)),"$",""),"x"),
_xlpm.y, IFERROR(IF(OR(COLUMN(INDIRECT(_xlpm.x))&gt;21, COLUMN(INDIRECT(_xlpm.x))&lt;2),"x",_xlpm.x), "x"),
_xlpm.y)</f>
        <v>x</v>
      </c>
      <c r="DH327" s="23" t="str" cm="1">
        <f t="array" aca="1" ref="DH327" ca="1">_xlfn.LET(
_xlpm.x, IFERROR(SUBSTITUTE(CELL("adres",OFFSET(INDIRECT(AV327),,CM327*($I327-$G327)*2,1,1)),"$",""),"x"),
_xlpm.y, IFERROR(IF(OR(COLUMN(INDIRECT(_xlpm.x))&gt;21, COLUMN(INDIRECT(_xlpm.x))&lt;2),"x",_xlpm.x), "x"),
_xlpm.y)</f>
        <v>x</v>
      </c>
      <c r="DI327" s="23" t="str" cm="1">
        <f t="array" aca="1" ref="DI327" ca="1">_xlfn.LET(
_xlpm.x, IFERROR(SUBSTITUTE(CELL("adres",OFFSET(INDIRECT(AW327),,CN327*($I327-$G327)*2,1,1)),"$",""),"x"),
_xlpm.y, IFERROR(IF(OR(COLUMN(INDIRECT(_xlpm.x))&gt;21, COLUMN(INDIRECT(_xlpm.x))&lt;2),"x",_xlpm.x), "x"),
_xlpm.y)</f>
        <v>x</v>
      </c>
      <c r="DJ327" s="23" t="str" cm="1">
        <f t="array" aca="1" ref="DJ327" ca="1">_xlfn.LET(
_xlpm.x, IFERROR(SUBSTITUTE(CELL("adres",OFFSET(INDIRECT(AX327),,CO327*($I327-$G327)*2,1,1)),"$",""),"x"),
_xlpm.y, IFERROR(IF(OR(COLUMN(INDIRECT(_xlpm.x))&gt;21, COLUMN(INDIRECT(_xlpm.x))&lt;2),"x",_xlpm.x), "x"),
_xlpm.y)</f>
        <v>x</v>
      </c>
      <c r="DK327" s="23" t="str" cm="1">
        <f t="array" aca="1" ref="DK327" ca="1">_xlfn.LET(
_xlpm.x, IFERROR(SUBSTITUTE(CELL("adres",OFFSET(INDIRECT(AY327),,CP327*($I327-$G327)*2,1,1)),"$",""),"x"),
_xlpm.y, IFERROR(IF(OR(COLUMN(INDIRECT(_xlpm.x))&gt;21, COLUMN(INDIRECT(_xlpm.x))&lt;2),"x",_xlpm.x), "x"),
_xlpm.y)</f>
        <v>x</v>
      </c>
      <c r="DM327" s="23" cm="1">
        <f t="array" aca="1" ref="DM327" ca="1">ROW(INDIRECT(CR327))</f>
        <v>21</v>
      </c>
      <c r="DN327" s="23" cm="1">
        <f t="array" aca="1" ref="DN327" ca="1">ROW(INDIRECT(J327))</f>
        <v>16</v>
      </c>
      <c r="DO327" s="23">
        <f t="shared" ca="1" si="60"/>
        <v>5</v>
      </c>
      <c r="DP327" s="23" cm="1">
        <f t="array" aca="1" ref="DP327" ca="1">COLUMN(INDIRECT(CR327))</f>
        <v>7</v>
      </c>
      <c r="DQ327" s="23" cm="1">
        <f t="array" aca="1" ref="DQ327" ca="1">COLUMN(INDIRECT(J327))</f>
        <v>14</v>
      </c>
      <c r="DR327" s="23">
        <f t="shared" ca="1" si="61"/>
        <v>7</v>
      </c>
      <c r="DS327" s="23">
        <f t="shared" ca="1" si="39"/>
        <v>7</v>
      </c>
      <c r="DU327" s="23" cm="1">
        <f t="array" aca="1" ref="DU327" ca="1">IFERROR(MAX(ABS(ROW(INDIRECT($J327))-ROW(INDIRECT(CR327))),ABS(COLUMN(INDIRECT($J327))-COLUMN(INDIRECT(CR327)))),1000)</f>
        <v>7</v>
      </c>
      <c r="DV327" s="23" cm="1">
        <f t="array" aca="1" ref="DV327" ca="1">IFERROR(MAX(ABS(ROW(INDIRECT($J327))-ROW(INDIRECT(CS327))),ABS(COLUMN(INDIRECT($J327))-COLUMN(INDIRECT(CS327)))),1000)</f>
        <v>12</v>
      </c>
      <c r="DW327" s="23" cm="1">
        <f t="array" aca="1" ref="DW327" ca="1">IFERROR(MAX(ABS(ROW(INDIRECT($J327))-ROW(INDIRECT(CT327))),ABS(COLUMN(INDIRECT($J327))-COLUMN(INDIRECT(CT327)))),1000)</f>
        <v>9</v>
      </c>
      <c r="DX327" s="23" cm="1">
        <f t="array" aca="1" ref="DX327" ca="1">IFERROR(MAX(ABS(ROW(INDIRECT($J327))-ROW(INDIRECT(CU327))),ABS(COLUMN(INDIRECT($J327))-COLUMN(INDIRECT(CU327)))),1000)</f>
        <v>10</v>
      </c>
      <c r="DY327" s="23" cm="1">
        <f t="array" aca="1" ref="DY327" ca="1">IFERROR(MAX(ABS(ROW(INDIRECT($J327))-ROW(INDIRECT(CV327))),ABS(COLUMN(INDIRECT($J327))-COLUMN(INDIRECT(CV327)))),1000)</f>
        <v>6</v>
      </c>
      <c r="DZ327" s="23" cm="1">
        <f t="array" aca="1" ref="DZ327" ca="1">IFERROR(MAX(ABS(ROW(INDIRECT($J327))-ROW(INDIRECT(CW327))),ABS(COLUMN(INDIRECT($J327))-COLUMN(INDIRECT(CW327)))),1000)</f>
        <v>12</v>
      </c>
      <c r="EA327" s="23" cm="1">
        <f t="array" aca="1" ref="EA327" ca="1">IFERROR(MAX(ABS(ROW(INDIRECT($J327))-ROW(INDIRECT(CX327))),ABS(COLUMN(INDIRECT($J327))-COLUMN(INDIRECT(CX327)))),1000)</f>
        <v>1000</v>
      </c>
      <c r="EB327" s="23" cm="1">
        <f t="array" aca="1" ref="EB327" ca="1">IFERROR(MAX(ABS(ROW(INDIRECT($J327))-ROW(INDIRECT(CY327))),ABS(COLUMN(INDIRECT($J327))-COLUMN(INDIRECT(CY327)))),1000)</f>
        <v>1000</v>
      </c>
      <c r="EC327" s="23" cm="1">
        <f t="array" aca="1" ref="EC327" ca="1">IFERROR(MAX(ABS(ROW(INDIRECT($J327))-ROW(INDIRECT(CZ327))),ABS(COLUMN(INDIRECT($J327))-COLUMN(INDIRECT(CZ327)))),1000)</f>
        <v>1000</v>
      </c>
      <c r="ED327" s="23" cm="1">
        <f t="array" aca="1" ref="ED327" ca="1">IFERROR(MAX(ABS(ROW(INDIRECT($J327))-ROW(INDIRECT(DA327))),ABS(COLUMN(INDIRECT($J327))-COLUMN(INDIRECT(DA327)))),1000)</f>
        <v>1000</v>
      </c>
      <c r="EE327" s="23" cm="1">
        <f t="array" aca="1" ref="EE327" ca="1">IFERROR(MAX(ABS(ROW(INDIRECT($J327))-ROW(INDIRECT(DB327))),ABS(COLUMN(INDIRECT($J327))-COLUMN(INDIRECT(DB327)))),1000)</f>
        <v>1000</v>
      </c>
      <c r="EF327" s="23" cm="1">
        <f t="array" aca="1" ref="EF327" ca="1">IFERROR(MAX(ABS(ROW(INDIRECT($J327))-ROW(INDIRECT(DC327))),ABS(COLUMN(INDIRECT($J327))-COLUMN(INDIRECT(DC327)))),1000)</f>
        <v>1000</v>
      </c>
      <c r="EG327" s="23" cm="1">
        <f t="array" aca="1" ref="EG327" ca="1">IFERROR(MAX(ABS(ROW(INDIRECT($J327))-ROW(INDIRECT(DD327))),ABS(COLUMN(INDIRECT($J327))-COLUMN(INDIRECT(DD327)))),1000)</f>
        <v>1000</v>
      </c>
      <c r="EH327" s="23" cm="1">
        <f t="array" aca="1" ref="EH327" ca="1">IFERROR(MAX(ABS(ROW(INDIRECT($J327))-ROW(INDIRECT(DE327))),ABS(COLUMN(INDIRECT($J327))-COLUMN(INDIRECT(DE327)))),1000)</f>
        <v>1000</v>
      </c>
      <c r="EI327" s="23" cm="1">
        <f t="array" aca="1" ref="EI327" ca="1">IFERROR(MAX(ABS(ROW(INDIRECT($J327))-ROW(INDIRECT(DF327))),ABS(COLUMN(INDIRECT($J327))-COLUMN(INDIRECT(DF327)))),1000)</f>
        <v>1000</v>
      </c>
      <c r="EJ327" s="23" cm="1">
        <f t="array" aca="1" ref="EJ327" ca="1">IFERROR(MAX(ABS(ROW(INDIRECT($J327))-ROW(INDIRECT(DG327))),ABS(COLUMN(INDIRECT($J327))-COLUMN(INDIRECT(DG327)))),1000)</f>
        <v>1000</v>
      </c>
      <c r="EK327" s="23" cm="1">
        <f t="array" aca="1" ref="EK327" ca="1">IFERROR(MAX(ABS(ROW(INDIRECT($J327))-ROW(INDIRECT(DH327))),ABS(COLUMN(INDIRECT($J327))-COLUMN(INDIRECT(DH327)))),1000)</f>
        <v>1000</v>
      </c>
      <c r="EL327" s="23" cm="1">
        <f t="array" aca="1" ref="EL327" ca="1">IFERROR(MAX(ABS(ROW(INDIRECT($J327))-ROW(INDIRECT(DI327))),ABS(COLUMN(INDIRECT($J327))-COLUMN(INDIRECT(DI327)))),1000)</f>
        <v>1000</v>
      </c>
      <c r="EM327" s="23" cm="1">
        <f t="array" aca="1" ref="EM327" ca="1">IFERROR(MAX(ABS(ROW(INDIRECT($J327))-ROW(INDIRECT(DJ327))),ABS(COLUMN(INDIRECT($J327))-COLUMN(INDIRECT(DJ327)))),1000)</f>
        <v>1000</v>
      </c>
      <c r="EN327" s="23" cm="1">
        <f t="array" aca="1" ref="EN327" ca="1">IFERROR(MAX(ABS(ROW(INDIRECT($J327))-ROW(INDIRECT(DK327))),ABS(COLUMN(INDIRECT($J327))-COLUMN(INDIRECT(DK327)))),1000)</f>
        <v>1000</v>
      </c>
      <c r="EP327" s="23">
        <f t="shared" ca="1" si="62"/>
        <v>6</v>
      </c>
      <c r="EQ327" s="23">
        <f t="shared" ca="1" si="63"/>
        <v>1</v>
      </c>
      <c r="ER327" s="23">
        <f t="shared" ca="1" si="64"/>
        <v>5</v>
      </c>
      <c r="ES327" s="23" t="str" cm="1">
        <f t="array" aca="1" ref="ES327" ca="1">INDEX(CR327:DK327,1,ER327)</f>
        <v>T10</v>
      </c>
    </row>
    <row r="329" spans="2:149" ht="15.75">
      <c r="CQ329" s="75"/>
    </row>
    <row r="330" spans="2:149" ht="15.75">
      <c r="AF330" s="23" t="b" cm="1">
        <f t="array" aca="1" ref="AF330:AY349" ca="1">AF308:AY327=H308:H327</f>
        <v>0</v>
      </c>
      <c r="AG330" s="23" t="b">
        <f ca="1"/>
        <v>0</v>
      </c>
      <c r="AH330" s="23" t="b">
        <f ca="1"/>
        <v>0</v>
      </c>
      <c r="AI330" s="23" t="b">
        <f ca="1"/>
        <v>0</v>
      </c>
      <c r="AJ330" s="23" t="b">
        <f ca="1"/>
        <v>0</v>
      </c>
      <c r="AK330" s="23" t="b">
        <f ca="1"/>
        <v>0</v>
      </c>
      <c r="AL330" s="23" t="b">
        <f ca="1"/>
        <v>0</v>
      </c>
      <c r="AM330" s="23" t="b">
        <f ca="1"/>
        <v>0</v>
      </c>
      <c r="AN330" s="23" t="b">
        <f ca="1"/>
        <v>0</v>
      </c>
      <c r="AO330" s="23" t="b">
        <f ca="1"/>
        <v>0</v>
      </c>
      <c r="AP330" s="23" t="b">
        <f ca="1"/>
        <v>0</v>
      </c>
      <c r="AQ330" s="23" t="b">
        <f ca="1"/>
        <v>0</v>
      </c>
      <c r="AR330" s="23" t="b">
        <f ca="1"/>
        <v>0</v>
      </c>
      <c r="AS330" s="23" t="b">
        <f ca="1"/>
        <v>0</v>
      </c>
      <c r="AT330" s="23" t="b">
        <f ca="1"/>
        <v>0</v>
      </c>
      <c r="AU330" s="23" t="b">
        <f ca="1"/>
        <v>0</v>
      </c>
      <c r="AV330" s="23" t="b">
        <f ca="1"/>
        <v>0</v>
      </c>
      <c r="AW330" s="23" t="b">
        <f ca="1"/>
        <v>0</v>
      </c>
      <c r="AX330" s="23" t="b">
        <f ca="1"/>
        <v>0</v>
      </c>
      <c r="AY330" s="23" t="b">
        <f ca="1"/>
        <v>0</v>
      </c>
      <c r="CQ330" s="75"/>
      <c r="CR330" s="23" t="b" cm="1">
        <f t="array" aca="1" ref="CR330:DK349" ca="1">CR308:DK327=J308:J327</f>
        <v>0</v>
      </c>
      <c r="CS330" s="23" t="b">
        <f ca="1"/>
        <v>0</v>
      </c>
      <c r="CT330" s="23" t="b">
        <f ca="1"/>
        <v>0</v>
      </c>
      <c r="CU330" s="23" t="b">
        <f ca="1"/>
        <v>0</v>
      </c>
      <c r="CV330" s="23" t="b">
        <f ca="1"/>
        <v>0</v>
      </c>
      <c r="CW330" s="23" t="b">
        <f ca="1"/>
        <v>0</v>
      </c>
      <c r="CX330" s="23" t="b">
        <f ca="1"/>
        <v>0</v>
      </c>
      <c r="CY330" s="23" t="b">
        <f ca="1"/>
        <v>0</v>
      </c>
      <c r="CZ330" s="23" t="b">
        <f ca="1"/>
        <v>0</v>
      </c>
      <c r="DA330" s="23" t="b">
        <f ca="1"/>
        <v>0</v>
      </c>
      <c r="DB330" s="23" t="b">
        <f ca="1"/>
        <v>0</v>
      </c>
      <c r="DC330" s="23" t="b">
        <f ca="1"/>
        <v>0</v>
      </c>
      <c r="DD330" s="23" t="b">
        <f ca="1"/>
        <v>0</v>
      </c>
      <c r="DE330" s="23" t="b">
        <f ca="1"/>
        <v>0</v>
      </c>
      <c r="DF330" s="23" t="b">
        <f ca="1"/>
        <v>0</v>
      </c>
      <c r="DG330" s="23" t="b">
        <f ca="1"/>
        <v>0</v>
      </c>
      <c r="DH330" s="23" t="b">
        <f ca="1"/>
        <v>0</v>
      </c>
      <c r="DI330" s="23" t="b">
        <f ca="1"/>
        <v>0</v>
      </c>
      <c r="DJ330" s="23" t="b">
        <f ca="1"/>
        <v>0</v>
      </c>
      <c r="DK330" s="23" t="b">
        <f ca="1"/>
        <v>0</v>
      </c>
    </row>
    <row r="331" spans="2:149" ht="15.75">
      <c r="AF331" s="23" t="b">
        <f ca="1"/>
        <v>0</v>
      </c>
      <c r="AG331" s="23" t="b">
        <f ca="1"/>
        <v>0</v>
      </c>
      <c r="AH331" s="23" t="b">
        <f ca="1"/>
        <v>0</v>
      </c>
      <c r="AI331" s="23" t="b">
        <f ca="1"/>
        <v>0</v>
      </c>
      <c r="AJ331" s="23" t="b">
        <f ca="1"/>
        <v>0</v>
      </c>
      <c r="AK331" s="23" t="b">
        <f ca="1"/>
        <v>0</v>
      </c>
      <c r="AL331" s="23" t="b">
        <f ca="1"/>
        <v>0</v>
      </c>
      <c r="AM331" s="23" t="b">
        <f ca="1"/>
        <v>0</v>
      </c>
      <c r="AN331" s="23" t="b">
        <f ca="1"/>
        <v>0</v>
      </c>
      <c r="AO331" s="23" t="b">
        <f ca="1"/>
        <v>0</v>
      </c>
      <c r="AP331" s="23" t="b">
        <f ca="1"/>
        <v>0</v>
      </c>
      <c r="AQ331" s="23" t="b">
        <f ca="1"/>
        <v>0</v>
      </c>
      <c r="AR331" s="23" t="b">
        <f ca="1"/>
        <v>0</v>
      </c>
      <c r="AS331" s="23" t="b">
        <f ca="1"/>
        <v>0</v>
      </c>
      <c r="AT331" s="23" t="b">
        <f ca="1"/>
        <v>0</v>
      </c>
      <c r="AU331" s="23" t="b">
        <f ca="1"/>
        <v>0</v>
      </c>
      <c r="AV331" s="23" t="b">
        <f ca="1"/>
        <v>0</v>
      </c>
      <c r="AW331" s="23" t="b">
        <f ca="1"/>
        <v>0</v>
      </c>
      <c r="AX331" s="23" t="b">
        <f ca="1"/>
        <v>0</v>
      </c>
      <c r="AY331" s="23" t="b">
        <f ca="1"/>
        <v>0</v>
      </c>
      <c r="CQ331" s="75"/>
      <c r="CR331" s="23" t="b">
        <f ca="1"/>
        <v>0</v>
      </c>
      <c r="CS331" s="23" t="b">
        <f ca="1"/>
        <v>0</v>
      </c>
      <c r="CT331" s="23" t="b">
        <f ca="1"/>
        <v>0</v>
      </c>
      <c r="CU331" s="23" t="b">
        <f ca="1"/>
        <v>0</v>
      </c>
      <c r="CV331" s="23" t="b">
        <f ca="1"/>
        <v>0</v>
      </c>
      <c r="CW331" s="23" t="b">
        <f ca="1"/>
        <v>0</v>
      </c>
      <c r="CX331" s="23" t="b">
        <f ca="1"/>
        <v>0</v>
      </c>
      <c r="CY331" s="23" t="b">
        <f ca="1"/>
        <v>0</v>
      </c>
      <c r="CZ331" s="23" t="b">
        <f ca="1"/>
        <v>0</v>
      </c>
      <c r="DA331" s="23" t="b">
        <f ca="1"/>
        <v>0</v>
      </c>
      <c r="DB331" s="23" t="b">
        <f ca="1"/>
        <v>0</v>
      </c>
      <c r="DC331" s="23" t="b">
        <f ca="1"/>
        <v>0</v>
      </c>
      <c r="DD331" s="23" t="b">
        <f ca="1"/>
        <v>0</v>
      </c>
      <c r="DE331" s="23" t="b">
        <f ca="1"/>
        <v>0</v>
      </c>
      <c r="DF331" s="23" t="b">
        <f ca="1"/>
        <v>0</v>
      </c>
      <c r="DG331" s="23" t="b">
        <f ca="1"/>
        <v>0</v>
      </c>
      <c r="DH331" s="23" t="b">
        <f ca="1"/>
        <v>0</v>
      </c>
      <c r="DI331" s="23" t="b">
        <f ca="1"/>
        <v>0</v>
      </c>
      <c r="DJ331" s="23" t="b">
        <f ca="1"/>
        <v>0</v>
      </c>
      <c r="DK331" s="23" t="b">
        <f ca="1"/>
        <v>0</v>
      </c>
    </row>
    <row r="332" spans="2:149" ht="15.75">
      <c r="AF332" s="23" t="b">
        <f ca="1"/>
        <v>0</v>
      </c>
      <c r="AG332" s="23" t="b">
        <f ca="1"/>
        <v>0</v>
      </c>
      <c r="AH332" s="23" t="b">
        <f ca="1"/>
        <v>0</v>
      </c>
      <c r="AI332" s="23" t="b">
        <f ca="1"/>
        <v>0</v>
      </c>
      <c r="AJ332" s="23" t="b">
        <f ca="1"/>
        <v>0</v>
      </c>
      <c r="AK332" s="23" t="b">
        <f ca="1"/>
        <v>0</v>
      </c>
      <c r="AL332" s="23" t="b">
        <f ca="1"/>
        <v>0</v>
      </c>
      <c r="AM332" s="23" t="b">
        <f ca="1"/>
        <v>0</v>
      </c>
      <c r="AN332" s="23" t="b">
        <f ca="1"/>
        <v>0</v>
      </c>
      <c r="AO332" s="23" t="b">
        <f ca="1"/>
        <v>0</v>
      </c>
      <c r="AP332" s="23" t="b">
        <f ca="1"/>
        <v>0</v>
      </c>
      <c r="AQ332" s="23" t="b">
        <f ca="1"/>
        <v>0</v>
      </c>
      <c r="AR332" s="23" t="b">
        <f ca="1"/>
        <v>0</v>
      </c>
      <c r="AS332" s="23" t="b">
        <f ca="1"/>
        <v>0</v>
      </c>
      <c r="AT332" s="23" t="b">
        <f ca="1"/>
        <v>0</v>
      </c>
      <c r="AU332" s="23" t="b">
        <f ca="1"/>
        <v>0</v>
      </c>
      <c r="AV332" s="23" t="b">
        <f ca="1"/>
        <v>0</v>
      </c>
      <c r="AW332" s="23" t="b">
        <f ca="1"/>
        <v>0</v>
      </c>
      <c r="AX332" s="23" t="b">
        <f ca="1"/>
        <v>0</v>
      </c>
      <c r="AY332" s="23" t="b">
        <f ca="1"/>
        <v>0</v>
      </c>
      <c r="CQ332" s="75"/>
      <c r="CR332" s="23" t="b">
        <f ca="1"/>
        <v>0</v>
      </c>
      <c r="CS332" s="23" t="b">
        <f ca="1"/>
        <v>0</v>
      </c>
      <c r="CT332" s="23" t="b">
        <f ca="1"/>
        <v>0</v>
      </c>
      <c r="CU332" s="23" t="b">
        <f ca="1"/>
        <v>0</v>
      </c>
      <c r="CV332" s="23" t="b">
        <f ca="1"/>
        <v>0</v>
      </c>
      <c r="CW332" s="23" t="b">
        <f ca="1"/>
        <v>0</v>
      </c>
      <c r="CX332" s="23" t="b">
        <f ca="1"/>
        <v>0</v>
      </c>
      <c r="CY332" s="23" t="b">
        <f ca="1"/>
        <v>0</v>
      </c>
      <c r="CZ332" s="23" t="b">
        <f ca="1"/>
        <v>0</v>
      </c>
      <c r="DA332" s="23" t="b">
        <f ca="1"/>
        <v>0</v>
      </c>
      <c r="DB332" s="23" t="b">
        <f ca="1"/>
        <v>0</v>
      </c>
      <c r="DC332" s="23" t="b">
        <f ca="1"/>
        <v>0</v>
      </c>
      <c r="DD332" s="23" t="b">
        <f ca="1"/>
        <v>0</v>
      </c>
      <c r="DE332" s="23" t="b">
        <f ca="1"/>
        <v>0</v>
      </c>
      <c r="DF332" s="23" t="b">
        <f ca="1"/>
        <v>0</v>
      </c>
      <c r="DG332" s="23" t="b">
        <f ca="1"/>
        <v>0</v>
      </c>
      <c r="DH332" s="23" t="b">
        <f ca="1"/>
        <v>0</v>
      </c>
      <c r="DI332" s="23" t="b">
        <f ca="1"/>
        <v>0</v>
      </c>
      <c r="DJ332" s="23" t="b">
        <f ca="1"/>
        <v>0</v>
      </c>
      <c r="DK332" s="23" t="b">
        <f ca="1"/>
        <v>0</v>
      </c>
    </row>
    <row r="333" spans="2:149">
      <c r="AF333" s="23" t="b">
        <f ca="1"/>
        <v>0</v>
      </c>
      <c r="AG333" s="23" t="b">
        <f ca="1"/>
        <v>0</v>
      </c>
      <c r="AH333" s="23" t="b">
        <f ca="1"/>
        <v>0</v>
      </c>
      <c r="AI333" s="23" t="b">
        <f ca="1"/>
        <v>0</v>
      </c>
      <c r="AJ333" s="23" t="b">
        <f ca="1"/>
        <v>0</v>
      </c>
      <c r="AK333" s="23" t="b">
        <f ca="1"/>
        <v>0</v>
      </c>
      <c r="AL333" s="23" t="b">
        <f ca="1"/>
        <v>0</v>
      </c>
      <c r="AM333" s="23" t="b">
        <f ca="1"/>
        <v>0</v>
      </c>
      <c r="AN333" s="23" t="b">
        <f ca="1"/>
        <v>0</v>
      </c>
      <c r="AO333" s="23" t="b">
        <f ca="1"/>
        <v>0</v>
      </c>
      <c r="AP333" s="23" t="b">
        <f ca="1"/>
        <v>0</v>
      </c>
      <c r="AQ333" s="23" t="b">
        <f ca="1"/>
        <v>0</v>
      </c>
      <c r="AR333" s="23" t="b">
        <f ca="1"/>
        <v>0</v>
      </c>
      <c r="AS333" s="23" t="b">
        <f ca="1"/>
        <v>0</v>
      </c>
      <c r="AT333" s="23" t="b">
        <f ca="1"/>
        <v>0</v>
      </c>
      <c r="AU333" s="23" t="b">
        <f ca="1"/>
        <v>0</v>
      </c>
      <c r="AV333" s="23" t="b">
        <f ca="1"/>
        <v>0</v>
      </c>
      <c r="AW333" s="23" t="b">
        <f ca="1"/>
        <v>0</v>
      </c>
      <c r="AX333" s="23" t="b">
        <f ca="1"/>
        <v>0</v>
      </c>
      <c r="AY333" s="23" t="b">
        <f ca="1"/>
        <v>0</v>
      </c>
      <c r="CR333" s="23" t="b">
        <f ca="1"/>
        <v>0</v>
      </c>
      <c r="CS333" s="23" t="b">
        <f ca="1"/>
        <v>0</v>
      </c>
      <c r="CT333" s="23" t="b">
        <f ca="1"/>
        <v>0</v>
      </c>
      <c r="CU333" s="23" t="b">
        <f ca="1"/>
        <v>0</v>
      </c>
      <c r="CV333" s="23" t="b">
        <f ca="1"/>
        <v>0</v>
      </c>
      <c r="CW333" s="23" t="b">
        <f ca="1"/>
        <v>0</v>
      </c>
      <c r="CX333" s="23" t="b">
        <f ca="1"/>
        <v>0</v>
      </c>
      <c r="CY333" s="23" t="b">
        <f ca="1"/>
        <v>0</v>
      </c>
      <c r="CZ333" s="23" t="b">
        <f ca="1"/>
        <v>0</v>
      </c>
      <c r="DA333" s="23" t="b">
        <f ca="1"/>
        <v>0</v>
      </c>
      <c r="DB333" s="23" t="b">
        <f ca="1"/>
        <v>0</v>
      </c>
      <c r="DC333" s="23" t="b">
        <f ca="1"/>
        <v>0</v>
      </c>
      <c r="DD333" s="23" t="b">
        <f ca="1"/>
        <v>0</v>
      </c>
      <c r="DE333" s="23" t="b">
        <f ca="1"/>
        <v>0</v>
      </c>
      <c r="DF333" s="23" t="b">
        <f ca="1"/>
        <v>0</v>
      </c>
      <c r="DG333" s="23" t="b">
        <f ca="1"/>
        <v>0</v>
      </c>
      <c r="DH333" s="23" t="b">
        <f ca="1"/>
        <v>0</v>
      </c>
      <c r="DI333" s="23" t="b">
        <f ca="1"/>
        <v>0</v>
      </c>
      <c r="DJ333" s="23" t="b">
        <f ca="1"/>
        <v>0</v>
      </c>
      <c r="DK333" s="23" t="b">
        <f ca="1"/>
        <v>0</v>
      </c>
    </row>
    <row r="334" spans="2:149">
      <c r="AF334" s="23" t="b">
        <f ca="1"/>
        <v>0</v>
      </c>
      <c r="AG334" s="23" t="b">
        <f ca="1"/>
        <v>0</v>
      </c>
      <c r="AH334" s="23" t="b">
        <f ca="1"/>
        <v>0</v>
      </c>
      <c r="AI334" s="23" t="b">
        <f ca="1"/>
        <v>0</v>
      </c>
      <c r="AJ334" s="23" t="b">
        <f ca="1"/>
        <v>0</v>
      </c>
      <c r="AK334" s="23" t="b">
        <f ca="1"/>
        <v>0</v>
      </c>
      <c r="AL334" s="23" t="b">
        <f ca="1"/>
        <v>0</v>
      </c>
      <c r="AM334" s="23" t="b">
        <f ca="1"/>
        <v>0</v>
      </c>
      <c r="AN334" s="23" t="b">
        <f ca="1"/>
        <v>0</v>
      </c>
      <c r="AO334" s="23" t="b">
        <f ca="1"/>
        <v>0</v>
      </c>
      <c r="AP334" s="23" t="b">
        <f ca="1"/>
        <v>0</v>
      </c>
      <c r="AQ334" s="23" t="b">
        <f ca="1"/>
        <v>0</v>
      </c>
      <c r="AR334" s="23" t="b">
        <f ca="1"/>
        <v>0</v>
      </c>
      <c r="AS334" s="23" t="b">
        <f ca="1"/>
        <v>0</v>
      </c>
      <c r="AT334" s="23" t="b">
        <f ca="1"/>
        <v>0</v>
      </c>
      <c r="AU334" s="23" t="b">
        <f ca="1"/>
        <v>0</v>
      </c>
      <c r="AV334" s="23" t="b">
        <f ca="1"/>
        <v>0</v>
      </c>
      <c r="AW334" s="23" t="b">
        <f ca="1"/>
        <v>0</v>
      </c>
      <c r="AX334" s="23" t="b">
        <f ca="1"/>
        <v>0</v>
      </c>
      <c r="AY334" s="23" t="b">
        <f ca="1"/>
        <v>0</v>
      </c>
      <c r="CR334" s="23" t="b">
        <f ca="1"/>
        <v>0</v>
      </c>
      <c r="CS334" s="23" t="b">
        <f ca="1"/>
        <v>0</v>
      </c>
      <c r="CT334" s="23" t="b">
        <f ca="1"/>
        <v>0</v>
      </c>
      <c r="CU334" s="23" t="b">
        <f ca="1"/>
        <v>0</v>
      </c>
      <c r="CV334" s="23" t="b">
        <f ca="1"/>
        <v>0</v>
      </c>
      <c r="CW334" s="23" t="b">
        <f ca="1"/>
        <v>0</v>
      </c>
      <c r="CX334" s="23" t="b">
        <f ca="1"/>
        <v>0</v>
      </c>
      <c r="CY334" s="23" t="b">
        <f ca="1"/>
        <v>0</v>
      </c>
      <c r="CZ334" s="23" t="b">
        <f ca="1"/>
        <v>0</v>
      </c>
      <c r="DA334" s="23" t="b">
        <f ca="1"/>
        <v>0</v>
      </c>
      <c r="DB334" s="23" t="b">
        <f ca="1"/>
        <v>0</v>
      </c>
      <c r="DC334" s="23" t="b">
        <f ca="1"/>
        <v>0</v>
      </c>
      <c r="DD334" s="23" t="b">
        <f ca="1"/>
        <v>0</v>
      </c>
      <c r="DE334" s="23" t="b">
        <f ca="1"/>
        <v>0</v>
      </c>
      <c r="DF334" s="23" t="b">
        <f ca="1"/>
        <v>0</v>
      </c>
      <c r="DG334" s="23" t="b">
        <f ca="1"/>
        <v>0</v>
      </c>
      <c r="DH334" s="23" t="b">
        <f ca="1"/>
        <v>0</v>
      </c>
      <c r="DI334" s="23" t="b">
        <f ca="1"/>
        <v>0</v>
      </c>
      <c r="DJ334" s="23" t="b">
        <f ca="1"/>
        <v>0</v>
      </c>
      <c r="DK334" s="23" t="b">
        <f ca="1"/>
        <v>0</v>
      </c>
    </row>
    <row r="335" spans="2:149">
      <c r="AF335" s="23" t="b">
        <f ca="1"/>
        <v>0</v>
      </c>
      <c r="AG335" s="23" t="b">
        <f ca="1"/>
        <v>0</v>
      </c>
      <c r="AH335" s="23" t="b">
        <f ca="1"/>
        <v>0</v>
      </c>
      <c r="AI335" s="23" t="b">
        <f ca="1"/>
        <v>0</v>
      </c>
      <c r="AJ335" s="23" t="b">
        <f ca="1"/>
        <v>0</v>
      </c>
      <c r="AK335" s="23" t="b">
        <f ca="1"/>
        <v>0</v>
      </c>
      <c r="AL335" s="23" t="b">
        <f ca="1"/>
        <v>0</v>
      </c>
      <c r="AM335" s="23" t="b">
        <f ca="1"/>
        <v>0</v>
      </c>
      <c r="AN335" s="23" t="b">
        <f ca="1"/>
        <v>0</v>
      </c>
      <c r="AO335" s="23" t="b">
        <f ca="1"/>
        <v>0</v>
      </c>
      <c r="AP335" s="23" t="b">
        <f ca="1"/>
        <v>0</v>
      </c>
      <c r="AQ335" s="23" t="b">
        <f ca="1"/>
        <v>0</v>
      </c>
      <c r="AR335" s="23" t="b">
        <f ca="1"/>
        <v>0</v>
      </c>
      <c r="AS335" s="23" t="b">
        <f ca="1"/>
        <v>0</v>
      </c>
      <c r="AT335" s="23" t="b">
        <f ca="1"/>
        <v>0</v>
      </c>
      <c r="AU335" s="23" t="b">
        <f ca="1"/>
        <v>0</v>
      </c>
      <c r="AV335" s="23" t="b">
        <f ca="1"/>
        <v>0</v>
      </c>
      <c r="AW335" s="23" t="b">
        <f ca="1"/>
        <v>0</v>
      </c>
      <c r="AX335" s="23" t="b">
        <f ca="1"/>
        <v>0</v>
      </c>
      <c r="AY335" s="23" t="b">
        <f ca="1"/>
        <v>0</v>
      </c>
      <c r="CR335" s="23" t="b">
        <f ca="1"/>
        <v>0</v>
      </c>
      <c r="CS335" s="23" t="b">
        <f ca="1"/>
        <v>0</v>
      </c>
      <c r="CT335" s="23" t="b">
        <f ca="1"/>
        <v>0</v>
      </c>
      <c r="CU335" s="23" t="b">
        <f ca="1"/>
        <v>0</v>
      </c>
      <c r="CV335" s="23" t="b">
        <f ca="1"/>
        <v>0</v>
      </c>
      <c r="CW335" s="23" t="b">
        <f ca="1"/>
        <v>0</v>
      </c>
      <c r="CX335" s="23" t="b">
        <f ca="1"/>
        <v>0</v>
      </c>
      <c r="CY335" s="23" t="b">
        <f ca="1"/>
        <v>0</v>
      </c>
      <c r="CZ335" s="23" t="b">
        <f ca="1"/>
        <v>0</v>
      </c>
      <c r="DA335" s="23" t="b">
        <f ca="1"/>
        <v>0</v>
      </c>
      <c r="DB335" s="23" t="b">
        <f ca="1"/>
        <v>0</v>
      </c>
      <c r="DC335" s="23" t="b">
        <f ca="1"/>
        <v>0</v>
      </c>
      <c r="DD335" s="23" t="b">
        <f ca="1"/>
        <v>0</v>
      </c>
      <c r="DE335" s="23" t="b">
        <f ca="1"/>
        <v>0</v>
      </c>
      <c r="DF335" s="23" t="b">
        <f ca="1"/>
        <v>0</v>
      </c>
      <c r="DG335" s="23" t="b">
        <f ca="1"/>
        <v>0</v>
      </c>
      <c r="DH335" s="23" t="b">
        <f ca="1"/>
        <v>0</v>
      </c>
      <c r="DI335" s="23" t="b">
        <f ca="1"/>
        <v>0</v>
      </c>
      <c r="DJ335" s="23" t="b">
        <f ca="1"/>
        <v>0</v>
      </c>
      <c r="DK335" s="23" t="b">
        <f ca="1"/>
        <v>0</v>
      </c>
    </row>
    <row r="336" spans="2:149">
      <c r="AF336" s="23" t="b">
        <f ca="1"/>
        <v>0</v>
      </c>
      <c r="AG336" s="23" t="b">
        <f ca="1"/>
        <v>0</v>
      </c>
      <c r="AH336" s="23" t="b">
        <f ca="1"/>
        <v>0</v>
      </c>
      <c r="AI336" s="23" t="b">
        <f ca="1"/>
        <v>0</v>
      </c>
      <c r="AJ336" s="23" t="b">
        <f ca="1"/>
        <v>0</v>
      </c>
      <c r="AK336" s="23" t="b">
        <f ca="1"/>
        <v>0</v>
      </c>
      <c r="AL336" s="23" t="b">
        <f ca="1"/>
        <v>0</v>
      </c>
      <c r="AM336" s="23" t="b">
        <f ca="1"/>
        <v>0</v>
      </c>
      <c r="AN336" s="23" t="b">
        <f ca="1"/>
        <v>0</v>
      </c>
      <c r="AO336" s="23" t="b">
        <f ca="1"/>
        <v>0</v>
      </c>
      <c r="AP336" s="23" t="b">
        <f ca="1"/>
        <v>0</v>
      </c>
      <c r="AQ336" s="23" t="b">
        <f ca="1"/>
        <v>0</v>
      </c>
      <c r="AR336" s="23" t="b">
        <f ca="1"/>
        <v>0</v>
      </c>
      <c r="AS336" s="23" t="b">
        <f ca="1"/>
        <v>0</v>
      </c>
      <c r="AT336" s="23" t="b">
        <f ca="1"/>
        <v>0</v>
      </c>
      <c r="AU336" s="23" t="b">
        <f ca="1"/>
        <v>0</v>
      </c>
      <c r="AV336" s="23" t="b">
        <f ca="1"/>
        <v>0</v>
      </c>
      <c r="AW336" s="23" t="b">
        <f ca="1"/>
        <v>0</v>
      </c>
      <c r="AX336" s="23" t="b">
        <f ca="1"/>
        <v>0</v>
      </c>
      <c r="AY336" s="23" t="b">
        <f ca="1"/>
        <v>0</v>
      </c>
      <c r="CR336" s="23" t="b">
        <f ca="1"/>
        <v>0</v>
      </c>
      <c r="CS336" s="23" t="b">
        <f ca="1"/>
        <v>0</v>
      </c>
      <c r="CT336" s="23" t="b">
        <f ca="1"/>
        <v>0</v>
      </c>
      <c r="CU336" s="23" t="b">
        <f ca="1"/>
        <v>0</v>
      </c>
      <c r="CV336" s="23" t="b">
        <f ca="1"/>
        <v>0</v>
      </c>
      <c r="CW336" s="23" t="b">
        <f ca="1"/>
        <v>0</v>
      </c>
      <c r="CX336" s="23" t="b">
        <f ca="1"/>
        <v>0</v>
      </c>
      <c r="CY336" s="23" t="b">
        <f ca="1"/>
        <v>0</v>
      </c>
      <c r="CZ336" s="23" t="b">
        <f ca="1"/>
        <v>0</v>
      </c>
      <c r="DA336" s="23" t="b">
        <f ca="1"/>
        <v>0</v>
      </c>
      <c r="DB336" s="23" t="b">
        <f ca="1"/>
        <v>0</v>
      </c>
      <c r="DC336" s="23" t="b">
        <f ca="1"/>
        <v>0</v>
      </c>
      <c r="DD336" s="23" t="b">
        <f ca="1"/>
        <v>0</v>
      </c>
      <c r="DE336" s="23" t="b">
        <f ca="1"/>
        <v>0</v>
      </c>
      <c r="DF336" s="23" t="b">
        <f ca="1"/>
        <v>0</v>
      </c>
      <c r="DG336" s="23" t="b">
        <f ca="1"/>
        <v>0</v>
      </c>
      <c r="DH336" s="23" t="b">
        <f ca="1"/>
        <v>0</v>
      </c>
      <c r="DI336" s="23" t="b">
        <f ca="1"/>
        <v>0</v>
      </c>
      <c r="DJ336" s="23" t="b">
        <f ca="1"/>
        <v>0</v>
      </c>
      <c r="DK336" s="23" t="b">
        <f ca="1"/>
        <v>0</v>
      </c>
    </row>
    <row r="337" spans="32:115">
      <c r="AF337" s="23" t="b">
        <f ca="1"/>
        <v>0</v>
      </c>
      <c r="AG337" s="23" t="b">
        <f ca="1"/>
        <v>0</v>
      </c>
      <c r="AH337" s="23" t="b">
        <f ca="1"/>
        <v>0</v>
      </c>
      <c r="AI337" s="23" t="b">
        <f ca="1"/>
        <v>0</v>
      </c>
      <c r="AJ337" s="23" t="b">
        <f ca="1"/>
        <v>0</v>
      </c>
      <c r="AK337" s="23" t="b">
        <f ca="1"/>
        <v>0</v>
      </c>
      <c r="AL337" s="23" t="b">
        <f ca="1"/>
        <v>0</v>
      </c>
      <c r="AM337" s="23" t="b">
        <f ca="1"/>
        <v>0</v>
      </c>
      <c r="AN337" s="23" t="b">
        <f ca="1"/>
        <v>0</v>
      </c>
      <c r="AO337" s="23" t="b">
        <f ca="1"/>
        <v>0</v>
      </c>
      <c r="AP337" s="23" t="b">
        <f ca="1"/>
        <v>0</v>
      </c>
      <c r="AQ337" s="23" t="b">
        <f ca="1"/>
        <v>0</v>
      </c>
      <c r="AR337" s="23" t="b">
        <f ca="1"/>
        <v>0</v>
      </c>
      <c r="AS337" s="23" t="b">
        <f ca="1"/>
        <v>0</v>
      </c>
      <c r="AT337" s="23" t="b">
        <f ca="1"/>
        <v>0</v>
      </c>
      <c r="AU337" s="23" t="b">
        <f ca="1"/>
        <v>0</v>
      </c>
      <c r="AV337" s="23" t="b">
        <f ca="1"/>
        <v>0</v>
      </c>
      <c r="AW337" s="23" t="b">
        <f ca="1"/>
        <v>0</v>
      </c>
      <c r="AX337" s="23" t="b">
        <f ca="1"/>
        <v>0</v>
      </c>
      <c r="AY337" s="23" t="b">
        <f ca="1"/>
        <v>0</v>
      </c>
      <c r="CR337" s="23" t="b">
        <f ca="1"/>
        <v>0</v>
      </c>
      <c r="CS337" s="23" t="b">
        <f ca="1"/>
        <v>0</v>
      </c>
      <c r="CT337" s="23" t="b">
        <f ca="1"/>
        <v>0</v>
      </c>
      <c r="CU337" s="23" t="b">
        <f ca="1"/>
        <v>0</v>
      </c>
      <c r="CV337" s="23" t="b">
        <f ca="1"/>
        <v>0</v>
      </c>
      <c r="CW337" s="23" t="b">
        <f ca="1"/>
        <v>0</v>
      </c>
      <c r="CX337" s="23" t="b">
        <f ca="1"/>
        <v>0</v>
      </c>
      <c r="CY337" s="23" t="b">
        <f ca="1"/>
        <v>0</v>
      </c>
      <c r="CZ337" s="23" t="b">
        <f ca="1"/>
        <v>0</v>
      </c>
      <c r="DA337" s="23" t="b">
        <f ca="1"/>
        <v>0</v>
      </c>
      <c r="DB337" s="23" t="b">
        <f ca="1"/>
        <v>0</v>
      </c>
      <c r="DC337" s="23" t="b">
        <f ca="1"/>
        <v>0</v>
      </c>
      <c r="DD337" s="23" t="b">
        <f ca="1"/>
        <v>0</v>
      </c>
      <c r="DE337" s="23" t="b">
        <f ca="1"/>
        <v>0</v>
      </c>
      <c r="DF337" s="23" t="b">
        <f ca="1"/>
        <v>0</v>
      </c>
      <c r="DG337" s="23" t="b">
        <f ca="1"/>
        <v>0</v>
      </c>
      <c r="DH337" s="23" t="b">
        <f ca="1"/>
        <v>0</v>
      </c>
      <c r="DI337" s="23" t="b">
        <f ca="1"/>
        <v>0</v>
      </c>
      <c r="DJ337" s="23" t="b">
        <f ca="1"/>
        <v>0</v>
      </c>
      <c r="DK337" s="23" t="b">
        <f ca="1"/>
        <v>0</v>
      </c>
    </row>
    <row r="338" spans="32:115">
      <c r="AF338" s="23" t="b">
        <f ca="1"/>
        <v>0</v>
      </c>
      <c r="AG338" s="23" t="b">
        <f ca="1"/>
        <v>0</v>
      </c>
      <c r="AH338" s="23" t="b">
        <f ca="1"/>
        <v>0</v>
      </c>
      <c r="AI338" s="23" t="b">
        <f ca="1"/>
        <v>0</v>
      </c>
      <c r="AJ338" s="23" t="b">
        <f ca="1"/>
        <v>0</v>
      </c>
      <c r="AK338" s="23" t="b">
        <f ca="1"/>
        <v>0</v>
      </c>
      <c r="AL338" s="23" t="b">
        <f ca="1"/>
        <v>0</v>
      </c>
      <c r="AM338" s="23" t="b">
        <f ca="1"/>
        <v>0</v>
      </c>
      <c r="AN338" s="23" t="b">
        <f ca="1"/>
        <v>0</v>
      </c>
      <c r="AO338" s="23" t="b">
        <f ca="1"/>
        <v>0</v>
      </c>
      <c r="AP338" s="23" t="b">
        <f ca="1"/>
        <v>0</v>
      </c>
      <c r="AQ338" s="23" t="b">
        <f ca="1"/>
        <v>0</v>
      </c>
      <c r="AR338" s="23" t="b">
        <f ca="1"/>
        <v>0</v>
      </c>
      <c r="AS338" s="23" t="b">
        <f ca="1"/>
        <v>0</v>
      </c>
      <c r="AT338" s="23" t="b">
        <f ca="1"/>
        <v>0</v>
      </c>
      <c r="AU338" s="23" t="b">
        <f ca="1"/>
        <v>0</v>
      </c>
      <c r="AV338" s="23" t="b">
        <f ca="1"/>
        <v>0</v>
      </c>
      <c r="AW338" s="23" t="b">
        <f ca="1"/>
        <v>0</v>
      </c>
      <c r="AX338" s="23" t="b">
        <f ca="1"/>
        <v>0</v>
      </c>
      <c r="AY338" s="23" t="b">
        <f ca="1"/>
        <v>0</v>
      </c>
      <c r="CR338" s="23" t="b">
        <f ca="1"/>
        <v>0</v>
      </c>
      <c r="CS338" s="23" t="b">
        <f ca="1"/>
        <v>0</v>
      </c>
      <c r="CT338" s="23" t="b">
        <f ca="1"/>
        <v>0</v>
      </c>
      <c r="CU338" s="23" t="b">
        <f ca="1"/>
        <v>0</v>
      </c>
      <c r="CV338" s="23" t="b">
        <f ca="1"/>
        <v>0</v>
      </c>
      <c r="CW338" s="23" t="b">
        <f ca="1"/>
        <v>0</v>
      </c>
      <c r="CX338" s="23" t="b">
        <f ca="1"/>
        <v>0</v>
      </c>
      <c r="CY338" s="23" t="b">
        <f ca="1"/>
        <v>0</v>
      </c>
      <c r="CZ338" s="23" t="b">
        <f ca="1"/>
        <v>0</v>
      </c>
      <c r="DA338" s="23" t="b">
        <f ca="1"/>
        <v>0</v>
      </c>
      <c r="DB338" s="23" t="b">
        <f ca="1"/>
        <v>0</v>
      </c>
      <c r="DC338" s="23" t="b">
        <f ca="1"/>
        <v>0</v>
      </c>
      <c r="DD338" s="23" t="b">
        <f ca="1"/>
        <v>0</v>
      </c>
      <c r="DE338" s="23" t="b">
        <f ca="1"/>
        <v>0</v>
      </c>
      <c r="DF338" s="23" t="b">
        <f ca="1"/>
        <v>0</v>
      </c>
      <c r="DG338" s="23" t="b">
        <f ca="1"/>
        <v>0</v>
      </c>
      <c r="DH338" s="23" t="b">
        <f ca="1"/>
        <v>0</v>
      </c>
      <c r="DI338" s="23" t="b">
        <f ca="1"/>
        <v>0</v>
      </c>
      <c r="DJ338" s="23" t="b">
        <f ca="1"/>
        <v>0</v>
      </c>
      <c r="DK338" s="23" t="b">
        <f ca="1"/>
        <v>0</v>
      </c>
    </row>
    <row r="339" spans="32:115">
      <c r="AF339" s="23" t="b">
        <f ca="1"/>
        <v>0</v>
      </c>
      <c r="AG339" s="23" t="b">
        <f ca="1"/>
        <v>0</v>
      </c>
      <c r="AH339" s="23" t="b">
        <f ca="1"/>
        <v>0</v>
      </c>
      <c r="AI339" s="23" t="b">
        <f ca="1"/>
        <v>0</v>
      </c>
      <c r="AJ339" s="23" t="b">
        <f ca="1"/>
        <v>0</v>
      </c>
      <c r="AK339" s="23" t="b">
        <f ca="1"/>
        <v>0</v>
      </c>
      <c r="AL339" s="23" t="b">
        <f ca="1"/>
        <v>0</v>
      </c>
      <c r="AM339" s="23" t="b">
        <f ca="1"/>
        <v>0</v>
      </c>
      <c r="AN339" s="23" t="b">
        <f ca="1"/>
        <v>0</v>
      </c>
      <c r="AO339" s="23" t="b">
        <f ca="1"/>
        <v>0</v>
      </c>
      <c r="AP339" s="23" t="b">
        <f ca="1"/>
        <v>0</v>
      </c>
      <c r="AQ339" s="23" t="b">
        <f ca="1"/>
        <v>0</v>
      </c>
      <c r="AR339" s="23" t="b">
        <f ca="1"/>
        <v>0</v>
      </c>
      <c r="AS339" s="23" t="b">
        <f ca="1"/>
        <v>0</v>
      </c>
      <c r="AT339" s="23" t="b">
        <f ca="1"/>
        <v>0</v>
      </c>
      <c r="AU339" s="23" t="b">
        <f ca="1"/>
        <v>0</v>
      </c>
      <c r="AV339" s="23" t="b">
        <f ca="1"/>
        <v>0</v>
      </c>
      <c r="AW339" s="23" t="b">
        <f ca="1"/>
        <v>0</v>
      </c>
      <c r="AX339" s="23" t="b">
        <f ca="1"/>
        <v>0</v>
      </c>
      <c r="AY339" s="23" t="b">
        <f ca="1"/>
        <v>0</v>
      </c>
      <c r="CR339" s="23" t="b">
        <f ca="1"/>
        <v>0</v>
      </c>
      <c r="CS339" s="23" t="b">
        <f ca="1"/>
        <v>0</v>
      </c>
      <c r="CT339" s="23" t="b">
        <f ca="1"/>
        <v>0</v>
      </c>
      <c r="CU339" s="23" t="b">
        <f ca="1"/>
        <v>0</v>
      </c>
      <c r="CV339" s="23" t="b">
        <f ca="1"/>
        <v>0</v>
      </c>
      <c r="CW339" s="23" t="b">
        <f ca="1"/>
        <v>0</v>
      </c>
      <c r="CX339" s="23" t="b">
        <f ca="1"/>
        <v>0</v>
      </c>
      <c r="CY339" s="23" t="b">
        <f ca="1"/>
        <v>0</v>
      </c>
      <c r="CZ339" s="23" t="b">
        <f ca="1"/>
        <v>0</v>
      </c>
      <c r="DA339" s="23" t="b">
        <f ca="1"/>
        <v>0</v>
      </c>
      <c r="DB339" s="23" t="b">
        <f ca="1"/>
        <v>0</v>
      </c>
      <c r="DC339" s="23" t="b">
        <f ca="1"/>
        <v>0</v>
      </c>
      <c r="DD339" s="23" t="b">
        <f ca="1"/>
        <v>0</v>
      </c>
      <c r="DE339" s="23" t="b">
        <f ca="1"/>
        <v>0</v>
      </c>
      <c r="DF339" s="23" t="b">
        <f ca="1"/>
        <v>0</v>
      </c>
      <c r="DG339" s="23" t="b">
        <f ca="1"/>
        <v>0</v>
      </c>
      <c r="DH339" s="23" t="b">
        <f ca="1"/>
        <v>0</v>
      </c>
      <c r="DI339" s="23" t="b">
        <f ca="1"/>
        <v>0</v>
      </c>
      <c r="DJ339" s="23" t="b">
        <f ca="1"/>
        <v>0</v>
      </c>
      <c r="DK339" s="23" t="b">
        <f ca="1"/>
        <v>0</v>
      </c>
    </row>
    <row r="340" spans="32:115">
      <c r="AF340" s="23" t="b">
        <f ca="1"/>
        <v>0</v>
      </c>
      <c r="AG340" s="23" t="b">
        <f ca="1"/>
        <v>0</v>
      </c>
      <c r="AH340" s="23" t="b">
        <f ca="1"/>
        <v>0</v>
      </c>
      <c r="AI340" s="23" t="b">
        <f ca="1"/>
        <v>0</v>
      </c>
      <c r="AJ340" s="23" t="b">
        <f ca="1"/>
        <v>0</v>
      </c>
      <c r="AK340" s="23" t="b">
        <f ca="1"/>
        <v>0</v>
      </c>
      <c r="AL340" s="23" t="b">
        <f ca="1"/>
        <v>0</v>
      </c>
      <c r="AM340" s="23" t="b">
        <f ca="1"/>
        <v>0</v>
      </c>
      <c r="AN340" s="23" t="b">
        <f ca="1"/>
        <v>0</v>
      </c>
      <c r="AO340" s="23" t="b">
        <f ca="1"/>
        <v>0</v>
      </c>
      <c r="AP340" s="23" t="b">
        <f ca="1"/>
        <v>0</v>
      </c>
      <c r="AQ340" s="23" t="b">
        <f ca="1"/>
        <v>0</v>
      </c>
      <c r="AR340" s="23" t="b">
        <f ca="1"/>
        <v>0</v>
      </c>
      <c r="AS340" s="23" t="b">
        <f ca="1"/>
        <v>0</v>
      </c>
      <c r="AT340" s="23" t="b">
        <f ca="1"/>
        <v>0</v>
      </c>
      <c r="AU340" s="23" t="b">
        <f ca="1"/>
        <v>0</v>
      </c>
      <c r="AV340" s="23" t="b">
        <f ca="1"/>
        <v>0</v>
      </c>
      <c r="AW340" s="23" t="b">
        <f ca="1"/>
        <v>0</v>
      </c>
      <c r="AX340" s="23" t="b">
        <f ca="1"/>
        <v>0</v>
      </c>
      <c r="AY340" s="23" t="b">
        <f ca="1"/>
        <v>0</v>
      </c>
      <c r="CR340" s="23" t="b">
        <f ca="1"/>
        <v>0</v>
      </c>
      <c r="CS340" s="23" t="b">
        <f ca="1"/>
        <v>0</v>
      </c>
      <c r="CT340" s="23" t="b">
        <f ca="1"/>
        <v>0</v>
      </c>
      <c r="CU340" s="23" t="b">
        <f ca="1"/>
        <v>0</v>
      </c>
      <c r="CV340" s="23" t="b">
        <f ca="1"/>
        <v>0</v>
      </c>
      <c r="CW340" s="23" t="b">
        <f ca="1"/>
        <v>0</v>
      </c>
      <c r="CX340" s="23" t="b">
        <f ca="1"/>
        <v>0</v>
      </c>
      <c r="CY340" s="23" t="b">
        <f ca="1"/>
        <v>0</v>
      </c>
      <c r="CZ340" s="23" t="b">
        <f ca="1"/>
        <v>0</v>
      </c>
      <c r="DA340" s="23" t="b">
        <f ca="1"/>
        <v>0</v>
      </c>
      <c r="DB340" s="23" t="b">
        <f ca="1"/>
        <v>0</v>
      </c>
      <c r="DC340" s="23" t="b">
        <f ca="1"/>
        <v>0</v>
      </c>
      <c r="DD340" s="23" t="b">
        <f ca="1"/>
        <v>0</v>
      </c>
      <c r="DE340" s="23" t="b">
        <f ca="1"/>
        <v>0</v>
      </c>
      <c r="DF340" s="23" t="b">
        <f ca="1"/>
        <v>0</v>
      </c>
      <c r="DG340" s="23" t="b">
        <f ca="1"/>
        <v>0</v>
      </c>
      <c r="DH340" s="23" t="b">
        <f ca="1"/>
        <v>0</v>
      </c>
      <c r="DI340" s="23" t="b">
        <f ca="1"/>
        <v>0</v>
      </c>
      <c r="DJ340" s="23" t="b">
        <f ca="1"/>
        <v>0</v>
      </c>
      <c r="DK340" s="23" t="b">
        <f ca="1"/>
        <v>0</v>
      </c>
    </row>
    <row r="341" spans="32:115">
      <c r="AF341" s="23" t="b">
        <f ca="1"/>
        <v>0</v>
      </c>
      <c r="AG341" s="23" t="b">
        <f ca="1"/>
        <v>0</v>
      </c>
      <c r="AH341" s="23" t="b">
        <f ca="1"/>
        <v>0</v>
      </c>
      <c r="AI341" s="23" t="b">
        <f ca="1"/>
        <v>0</v>
      </c>
      <c r="AJ341" s="23" t="b">
        <f ca="1"/>
        <v>0</v>
      </c>
      <c r="AK341" s="23" t="b">
        <f ca="1"/>
        <v>0</v>
      </c>
      <c r="AL341" s="23" t="b">
        <f ca="1"/>
        <v>0</v>
      </c>
      <c r="AM341" s="23" t="b">
        <f ca="1"/>
        <v>0</v>
      </c>
      <c r="AN341" s="23" t="b">
        <f ca="1"/>
        <v>0</v>
      </c>
      <c r="AO341" s="23" t="b">
        <f ca="1"/>
        <v>0</v>
      </c>
      <c r="AP341" s="23" t="b">
        <f ca="1"/>
        <v>0</v>
      </c>
      <c r="AQ341" s="23" t="b">
        <f ca="1"/>
        <v>0</v>
      </c>
      <c r="AR341" s="23" t="b">
        <f ca="1"/>
        <v>0</v>
      </c>
      <c r="AS341" s="23" t="b">
        <f ca="1"/>
        <v>0</v>
      </c>
      <c r="AT341" s="23" t="b">
        <f ca="1"/>
        <v>0</v>
      </c>
      <c r="AU341" s="23" t="b">
        <f ca="1"/>
        <v>0</v>
      </c>
      <c r="AV341" s="23" t="b">
        <f ca="1"/>
        <v>0</v>
      </c>
      <c r="AW341" s="23" t="b">
        <f ca="1"/>
        <v>0</v>
      </c>
      <c r="AX341" s="23" t="b">
        <f ca="1"/>
        <v>0</v>
      </c>
      <c r="AY341" s="23" t="b">
        <f ca="1"/>
        <v>0</v>
      </c>
      <c r="CR341" s="23" t="b">
        <f ca="1"/>
        <v>0</v>
      </c>
      <c r="CS341" s="23" t="b">
        <f ca="1"/>
        <v>0</v>
      </c>
      <c r="CT341" s="23" t="b">
        <f ca="1"/>
        <v>0</v>
      </c>
      <c r="CU341" s="23" t="b">
        <f ca="1"/>
        <v>0</v>
      </c>
      <c r="CV341" s="23" t="b">
        <f ca="1"/>
        <v>0</v>
      </c>
      <c r="CW341" s="23" t="b">
        <f ca="1"/>
        <v>0</v>
      </c>
      <c r="CX341" s="23" t="b">
        <f ca="1"/>
        <v>0</v>
      </c>
      <c r="CY341" s="23" t="b">
        <f ca="1"/>
        <v>0</v>
      </c>
      <c r="CZ341" s="23" t="b">
        <f ca="1"/>
        <v>0</v>
      </c>
      <c r="DA341" s="23" t="b">
        <f ca="1"/>
        <v>0</v>
      </c>
      <c r="DB341" s="23" t="b">
        <f ca="1"/>
        <v>0</v>
      </c>
      <c r="DC341" s="23" t="b">
        <f ca="1"/>
        <v>0</v>
      </c>
      <c r="DD341" s="23" t="b">
        <f ca="1"/>
        <v>0</v>
      </c>
      <c r="DE341" s="23" t="b">
        <f ca="1"/>
        <v>0</v>
      </c>
      <c r="DF341" s="23" t="b">
        <f ca="1"/>
        <v>0</v>
      </c>
      <c r="DG341" s="23" t="b">
        <f ca="1"/>
        <v>0</v>
      </c>
      <c r="DH341" s="23" t="b">
        <f ca="1"/>
        <v>0</v>
      </c>
      <c r="DI341" s="23" t="b">
        <f ca="1"/>
        <v>0</v>
      </c>
      <c r="DJ341" s="23" t="b">
        <f ca="1"/>
        <v>0</v>
      </c>
      <c r="DK341" s="23" t="b">
        <f ca="1"/>
        <v>0</v>
      </c>
    </row>
    <row r="342" spans="32:115">
      <c r="AF342" s="23" t="b">
        <f ca="1"/>
        <v>0</v>
      </c>
      <c r="AG342" s="23" t="b">
        <f ca="1"/>
        <v>0</v>
      </c>
      <c r="AH342" s="23" t="b">
        <f ca="1"/>
        <v>0</v>
      </c>
      <c r="AI342" s="23" t="b">
        <f ca="1"/>
        <v>0</v>
      </c>
      <c r="AJ342" s="23" t="b">
        <f ca="1"/>
        <v>0</v>
      </c>
      <c r="AK342" s="23" t="b">
        <f ca="1"/>
        <v>0</v>
      </c>
      <c r="AL342" s="23" t="b">
        <f ca="1"/>
        <v>0</v>
      </c>
      <c r="AM342" s="23" t="b">
        <f ca="1"/>
        <v>0</v>
      </c>
      <c r="AN342" s="23" t="b">
        <f ca="1"/>
        <v>0</v>
      </c>
      <c r="AO342" s="23" t="b">
        <f ca="1"/>
        <v>0</v>
      </c>
      <c r="AP342" s="23" t="b">
        <f ca="1"/>
        <v>0</v>
      </c>
      <c r="AQ342" s="23" t="b">
        <f ca="1"/>
        <v>0</v>
      </c>
      <c r="AR342" s="23" t="b">
        <f ca="1"/>
        <v>0</v>
      </c>
      <c r="AS342" s="23" t="b">
        <f ca="1"/>
        <v>0</v>
      </c>
      <c r="AT342" s="23" t="b">
        <f ca="1"/>
        <v>0</v>
      </c>
      <c r="AU342" s="23" t="b">
        <f ca="1"/>
        <v>0</v>
      </c>
      <c r="AV342" s="23" t="b">
        <f ca="1"/>
        <v>0</v>
      </c>
      <c r="AW342" s="23" t="b">
        <f ca="1"/>
        <v>0</v>
      </c>
      <c r="AX342" s="23" t="b">
        <f ca="1"/>
        <v>0</v>
      </c>
      <c r="AY342" s="23" t="b">
        <f ca="1"/>
        <v>0</v>
      </c>
      <c r="CR342" s="23" t="b">
        <f ca="1"/>
        <v>0</v>
      </c>
      <c r="CS342" s="23" t="b">
        <f ca="1"/>
        <v>0</v>
      </c>
      <c r="CT342" s="23" t="b">
        <f ca="1"/>
        <v>0</v>
      </c>
      <c r="CU342" s="23" t="b">
        <f ca="1"/>
        <v>0</v>
      </c>
      <c r="CV342" s="23" t="b">
        <f ca="1"/>
        <v>0</v>
      </c>
      <c r="CW342" s="23" t="b">
        <f ca="1"/>
        <v>0</v>
      </c>
      <c r="CX342" s="23" t="b">
        <f ca="1"/>
        <v>0</v>
      </c>
      <c r="CY342" s="23" t="b">
        <f ca="1"/>
        <v>0</v>
      </c>
      <c r="CZ342" s="23" t="b">
        <f ca="1"/>
        <v>0</v>
      </c>
      <c r="DA342" s="23" t="b">
        <f ca="1"/>
        <v>0</v>
      </c>
      <c r="DB342" s="23" t="b">
        <f ca="1"/>
        <v>0</v>
      </c>
      <c r="DC342" s="23" t="b">
        <f ca="1"/>
        <v>0</v>
      </c>
      <c r="DD342" s="23" t="b">
        <f ca="1"/>
        <v>0</v>
      </c>
      <c r="DE342" s="23" t="b">
        <f ca="1"/>
        <v>0</v>
      </c>
      <c r="DF342" s="23" t="b">
        <f ca="1"/>
        <v>0</v>
      </c>
      <c r="DG342" s="23" t="b">
        <f ca="1"/>
        <v>0</v>
      </c>
      <c r="DH342" s="23" t="b">
        <f ca="1"/>
        <v>0</v>
      </c>
      <c r="DI342" s="23" t="b">
        <f ca="1"/>
        <v>0</v>
      </c>
      <c r="DJ342" s="23" t="b">
        <f ca="1"/>
        <v>0</v>
      </c>
      <c r="DK342" s="23" t="b">
        <f ca="1"/>
        <v>0</v>
      </c>
    </row>
    <row r="343" spans="32:115">
      <c r="AF343" s="23" t="b">
        <f ca="1"/>
        <v>0</v>
      </c>
      <c r="AG343" s="23" t="b">
        <f ca="1"/>
        <v>0</v>
      </c>
      <c r="AH343" s="23" t="b">
        <f ca="1"/>
        <v>0</v>
      </c>
      <c r="AI343" s="23" t="b">
        <f ca="1"/>
        <v>0</v>
      </c>
      <c r="AJ343" s="23" t="b">
        <f ca="1"/>
        <v>0</v>
      </c>
      <c r="AK343" s="23" t="b">
        <f ca="1"/>
        <v>0</v>
      </c>
      <c r="AL343" s="23" t="b">
        <f ca="1"/>
        <v>0</v>
      </c>
      <c r="AM343" s="23" t="b">
        <f ca="1"/>
        <v>0</v>
      </c>
      <c r="AN343" s="23" t="b">
        <f ca="1"/>
        <v>0</v>
      </c>
      <c r="AO343" s="23" t="b">
        <f ca="1"/>
        <v>0</v>
      </c>
      <c r="AP343" s="23" t="b">
        <f ca="1"/>
        <v>0</v>
      </c>
      <c r="AQ343" s="23" t="b">
        <f ca="1"/>
        <v>0</v>
      </c>
      <c r="AR343" s="23" t="b">
        <f ca="1"/>
        <v>0</v>
      </c>
      <c r="AS343" s="23" t="b">
        <f ca="1"/>
        <v>0</v>
      </c>
      <c r="AT343" s="23" t="b">
        <f ca="1"/>
        <v>0</v>
      </c>
      <c r="AU343" s="23" t="b">
        <f ca="1"/>
        <v>0</v>
      </c>
      <c r="AV343" s="23" t="b">
        <f ca="1"/>
        <v>0</v>
      </c>
      <c r="AW343" s="23" t="b">
        <f ca="1"/>
        <v>0</v>
      </c>
      <c r="AX343" s="23" t="b">
        <f ca="1"/>
        <v>0</v>
      </c>
      <c r="AY343" s="23" t="b">
        <f ca="1"/>
        <v>0</v>
      </c>
      <c r="CR343" s="23" t="b">
        <f ca="1"/>
        <v>0</v>
      </c>
      <c r="CS343" s="23" t="b">
        <f ca="1"/>
        <v>0</v>
      </c>
      <c r="CT343" s="23" t="b">
        <f ca="1"/>
        <v>0</v>
      </c>
      <c r="CU343" s="23" t="b">
        <f ca="1"/>
        <v>0</v>
      </c>
      <c r="CV343" s="23" t="b">
        <f ca="1"/>
        <v>0</v>
      </c>
      <c r="CW343" s="23" t="b">
        <f ca="1"/>
        <v>0</v>
      </c>
      <c r="CX343" s="23" t="b">
        <f ca="1"/>
        <v>0</v>
      </c>
      <c r="CY343" s="23" t="b">
        <f ca="1"/>
        <v>0</v>
      </c>
      <c r="CZ343" s="23" t="b">
        <f ca="1"/>
        <v>0</v>
      </c>
      <c r="DA343" s="23" t="b">
        <f ca="1"/>
        <v>0</v>
      </c>
      <c r="DB343" s="23" t="b">
        <f ca="1"/>
        <v>0</v>
      </c>
      <c r="DC343" s="23" t="b">
        <f ca="1"/>
        <v>0</v>
      </c>
      <c r="DD343" s="23" t="b">
        <f ca="1"/>
        <v>0</v>
      </c>
      <c r="DE343" s="23" t="b">
        <f ca="1"/>
        <v>0</v>
      </c>
      <c r="DF343" s="23" t="b">
        <f ca="1"/>
        <v>0</v>
      </c>
      <c r="DG343" s="23" t="b">
        <f ca="1"/>
        <v>0</v>
      </c>
      <c r="DH343" s="23" t="b">
        <f ca="1"/>
        <v>0</v>
      </c>
      <c r="DI343" s="23" t="b">
        <f ca="1"/>
        <v>0</v>
      </c>
      <c r="DJ343" s="23" t="b">
        <f ca="1"/>
        <v>0</v>
      </c>
      <c r="DK343" s="23" t="b">
        <f ca="1"/>
        <v>0</v>
      </c>
    </row>
    <row r="344" spans="32:115">
      <c r="AF344" s="23" t="b">
        <f ca="1"/>
        <v>0</v>
      </c>
      <c r="AG344" s="23" t="b">
        <f ca="1"/>
        <v>0</v>
      </c>
      <c r="AH344" s="23" t="b">
        <f ca="1"/>
        <v>0</v>
      </c>
      <c r="AI344" s="23" t="b">
        <f ca="1"/>
        <v>0</v>
      </c>
      <c r="AJ344" s="23" t="b">
        <f ca="1"/>
        <v>0</v>
      </c>
      <c r="AK344" s="23" t="b">
        <f ca="1"/>
        <v>0</v>
      </c>
      <c r="AL344" s="23" t="b">
        <f ca="1"/>
        <v>0</v>
      </c>
      <c r="AM344" s="23" t="b">
        <f ca="1"/>
        <v>0</v>
      </c>
      <c r="AN344" s="23" t="b">
        <f ca="1"/>
        <v>0</v>
      </c>
      <c r="AO344" s="23" t="b">
        <f ca="1"/>
        <v>0</v>
      </c>
      <c r="AP344" s="23" t="b">
        <f ca="1"/>
        <v>0</v>
      </c>
      <c r="AQ344" s="23" t="b">
        <f ca="1"/>
        <v>0</v>
      </c>
      <c r="AR344" s="23" t="b">
        <f ca="1"/>
        <v>0</v>
      </c>
      <c r="AS344" s="23" t="b">
        <f ca="1"/>
        <v>0</v>
      </c>
      <c r="AT344" s="23" t="b">
        <f ca="1"/>
        <v>0</v>
      </c>
      <c r="AU344" s="23" t="b">
        <f ca="1"/>
        <v>0</v>
      </c>
      <c r="AV344" s="23" t="b">
        <f ca="1"/>
        <v>0</v>
      </c>
      <c r="AW344" s="23" t="b">
        <f ca="1"/>
        <v>0</v>
      </c>
      <c r="AX344" s="23" t="b">
        <f ca="1"/>
        <v>0</v>
      </c>
      <c r="AY344" s="23" t="b">
        <f ca="1"/>
        <v>0</v>
      </c>
      <c r="CR344" s="23" t="b">
        <f ca="1"/>
        <v>0</v>
      </c>
      <c r="CS344" s="23" t="b">
        <f ca="1"/>
        <v>0</v>
      </c>
      <c r="CT344" s="23" t="b">
        <f ca="1"/>
        <v>0</v>
      </c>
      <c r="CU344" s="23" t="b">
        <f ca="1"/>
        <v>0</v>
      </c>
      <c r="CV344" s="23" t="b">
        <f ca="1"/>
        <v>0</v>
      </c>
      <c r="CW344" s="23" t="b">
        <f ca="1"/>
        <v>0</v>
      </c>
      <c r="CX344" s="23" t="b">
        <f ca="1"/>
        <v>0</v>
      </c>
      <c r="CY344" s="23" t="b">
        <f ca="1"/>
        <v>0</v>
      </c>
      <c r="CZ344" s="23" t="b">
        <f ca="1"/>
        <v>0</v>
      </c>
      <c r="DA344" s="23" t="b">
        <f ca="1"/>
        <v>0</v>
      </c>
      <c r="DB344" s="23" t="b">
        <f ca="1"/>
        <v>0</v>
      </c>
      <c r="DC344" s="23" t="b">
        <f ca="1"/>
        <v>0</v>
      </c>
      <c r="DD344" s="23" t="b">
        <f ca="1"/>
        <v>0</v>
      </c>
      <c r="DE344" s="23" t="b">
        <f ca="1"/>
        <v>0</v>
      </c>
      <c r="DF344" s="23" t="b">
        <f ca="1"/>
        <v>0</v>
      </c>
      <c r="DG344" s="23" t="b">
        <f ca="1"/>
        <v>0</v>
      </c>
      <c r="DH344" s="23" t="b">
        <f ca="1"/>
        <v>0</v>
      </c>
      <c r="DI344" s="23" t="b">
        <f ca="1"/>
        <v>0</v>
      </c>
      <c r="DJ344" s="23" t="b">
        <f ca="1"/>
        <v>0</v>
      </c>
      <c r="DK344" s="23" t="b">
        <f ca="1"/>
        <v>0</v>
      </c>
    </row>
    <row r="345" spans="32:115">
      <c r="AF345" s="23" t="b">
        <f ca="1"/>
        <v>0</v>
      </c>
      <c r="AG345" s="23" t="b">
        <f ca="1"/>
        <v>0</v>
      </c>
      <c r="AH345" s="23" t="b">
        <f ca="1"/>
        <v>0</v>
      </c>
      <c r="AI345" s="23" t="b">
        <f ca="1"/>
        <v>0</v>
      </c>
      <c r="AJ345" s="23" t="b">
        <f ca="1"/>
        <v>0</v>
      </c>
      <c r="AK345" s="23" t="b">
        <f ca="1"/>
        <v>0</v>
      </c>
      <c r="AL345" s="23" t="b">
        <f ca="1"/>
        <v>0</v>
      </c>
      <c r="AM345" s="23" t="b">
        <f ca="1"/>
        <v>0</v>
      </c>
      <c r="AN345" s="23" t="b">
        <f ca="1"/>
        <v>0</v>
      </c>
      <c r="AO345" s="23" t="b">
        <f ca="1"/>
        <v>0</v>
      </c>
      <c r="AP345" s="23" t="b">
        <f ca="1"/>
        <v>0</v>
      </c>
      <c r="AQ345" s="23" t="b">
        <f ca="1"/>
        <v>0</v>
      </c>
      <c r="AR345" s="23" t="b">
        <f ca="1"/>
        <v>0</v>
      </c>
      <c r="AS345" s="23" t="b">
        <f ca="1"/>
        <v>0</v>
      </c>
      <c r="AT345" s="23" t="b">
        <f ca="1"/>
        <v>0</v>
      </c>
      <c r="AU345" s="23" t="b">
        <f ca="1"/>
        <v>0</v>
      </c>
      <c r="AV345" s="23" t="b">
        <f ca="1"/>
        <v>0</v>
      </c>
      <c r="AW345" s="23" t="b">
        <f ca="1"/>
        <v>0</v>
      </c>
      <c r="AX345" s="23" t="b">
        <f ca="1"/>
        <v>0</v>
      </c>
      <c r="AY345" s="23" t="b">
        <f ca="1"/>
        <v>0</v>
      </c>
      <c r="CR345" s="23" t="b">
        <f ca="1"/>
        <v>0</v>
      </c>
      <c r="CS345" s="23" t="b">
        <f ca="1"/>
        <v>0</v>
      </c>
      <c r="CT345" s="23" t="b">
        <f ca="1"/>
        <v>0</v>
      </c>
      <c r="CU345" s="23" t="b">
        <f ca="1"/>
        <v>0</v>
      </c>
      <c r="CV345" s="23" t="b">
        <f ca="1"/>
        <v>0</v>
      </c>
      <c r="CW345" s="23" t="b">
        <f ca="1"/>
        <v>0</v>
      </c>
      <c r="CX345" s="23" t="b">
        <f ca="1"/>
        <v>0</v>
      </c>
      <c r="CY345" s="23" t="b">
        <f ca="1"/>
        <v>0</v>
      </c>
      <c r="CZ345" s="23" t="b">
        <f ca="1"/>
        <v>0</v>
      </c>
      <c r="DA345" s="23" t="b">
        <f ca="1"/>
        <v>0</v>
      </c>
      <c r="DB345" s="23" t="b">
        <f ca="1"/>
        <v>0</v>
      </c>
      <c r="DC345" s="23" t="b">
        <f ca="1"/>
        <v>0</v>
      </c>
      <c r="DD345" s="23" t="b">
        <f ca="1"/>
        <v>0</v>
      </c>
      <c r="DE345" s="23" t="b">
        <f ca="1"/>
        <v>0</v>
      </c>
      <c r="DF345" s="23" t="b">
        <f ca="1"/>
        <v>0</v>
      </c>
      <c r="DG345" s="23" t="b">
        <f ca="1"/>
        <v>0</v>
      </c>
      <c r="DH345" s="23" t="b">
        <f ca="1"/>
        <v>0</v>
      </c>
      <c r="DI345" s="23" t="b">
        <f ca="1"/>
        <v>0</v>
      </c>
      <c r="DJ345" s="23" t="b">
        <f ca="1"/>
        <v>0</v>
      </c>
      <c r="DK345" s="23" t="b">
        <f ca="1"/>
        <v>0</v>
      </c>
    </row>
    <row r="346" spans="32:115">
      <c r="AF346" s="23" t="b">
        <f ca="1"/>
        <v>0</v>
      </c>
      <c r="AG346" s="23" t="b">
        <f ca="1"/>
        <v>0</v>
      </c>
      <c r="AH346" s="23" t="b">
        <f ca="1"/>
        <v>0</v>
      </c>
      <c r="AI346" s="23" t="b">
        <f ca="1"/>
        <v>0</v>
      </c>
      <c r="AJ346" s="23" t="b">
        <f ca="1"/>
        <v>0</v>
      </c>
      <c r="AK346" s="23" t="b">
        <f ca="1"/>
        <v>0</v>
      </c>
      <c r="AL346" s="23" t="b">
        <f ca="1"/>
        <v>0</v>
      </c>
      <c r="AM346" s="23" t="b">
        <f ca="1"/>
        <v>0</v>
      </c>
      <c r="AN346" s="23" t="b">
        <f ca="1"/>
        <v>0</v>
      </c>
      <c r="AO346" s="23" t="b">
        <f ca="1"/>
        <v>0</v>
      </c>
      <c r="AP346" s="23" t="b">
        <f ca="1"/>
        <v>0</v>
      </c>
      <c r="AQ346" s="23" t="b">
        <f ca="1"/>
        <v>0</v>
      </c>
      <c r="AR346" s="23" t="b">
        <f ca="1"/>
        <v>0</v>
      </c>
      <c r="AS346" s="23" t="b">
        <f ca="1"/>
        <v>0</v>
      </c>
      <c r="AT346" s="23" t="b">
        <f ca="1"/>
        <v>0</v>
      </c>
      <c r="AU346" s="23" t="b">
        <f ca="1"/>
        <v>0</v>
      </c>
      <c r="AV346" s="23" t="b">
        <f ca="1"/>
        <v>0</v>
      </c>
      <c r="AW346" s="23" t="b">
        <f ca="1"/>
        <v>0</v>
      </c>
      <c r="AX346" s="23" t="b">
        <f ca="1"/>
        <v>0</v>
      </c>
      <c r="AY346" s="23" t="b">
        <f ca="1"/>
        <v>0</v>
      </c>
      <c r="CR346" s="23" t="b">
        <f ca="1"/>
        <v>0</v>
      </c>
      <c r="CS346" s="23" t="b">
        <f ca="1"/>
        <v>0</v>
      </c>
      <c r="CT346" s="23" t="b">
        <f ca="1"/>
        <v>0</v>
      </c>
      <c r="CU346" s="23" t="b">
        <f ca="1"/>
        <v>0</v>
      </c>
      <c r="CV346" s="23" t="b">
        <f ca="1"/>
        <v>0</v>
      </c>
      <c r="CW346" s="23" t="b">
        <f ca="1"/>
        <v>0</v>
      </c>
      <c r="CX346" s="23" t="b">
        <f ca="1"/>
        <v>0</v>
      </c>
      <c r="CY346" s="23" t="b">
        <f ca="1"/>
        <v>0</v>
      </c>
      <c r="CZ346" s="23" t="b">
        <f ca="1"/>
        <v>0</v>
      </c>
      <c r="DA346" s="23" t="b">
        <f ca="1"/>
        <v>0</v>
      </c>
      <c r="DB346" s="23" t="b">
        <f ca="1"/>
        <v>0</v>
      </c>
      <c r="DC346" s="23" t="b">
        <f ca="1"/>
        <v>0</v>
      </c>
      <c r="DD346" s="23" t="b">
        <f ca="1"/>
        <v>0</v>
      </c>
      <c r="DE346" s="23" t="b">
        <f ca="1"/>
        <v>0</v>
      </c>
      <c r="DF346" s="23" t="b">
        <f ca="1"/>
        <v>0</v>
      </c>
      <c r="DG346" s="23" t="b">
        <f ca="1"/>
        <v>0</v>
      </c>
      <c r="DH346" s="23" t="b">
        <f ca="1"/>
        <v>0</v>
      </c>
      <c r="DI346" s="23" t="b">
        <f ca="1"/>
        <v>0</v>
      </c>
      <c r="DJ346" s="23" t="b">
        <f ca="1"/>
        <v>0</v>
      </c>
      <c r="DK346" s="23" t="b">
        <f ca="1"/>
        <v>0</v>
      </c>
    </row>
    <row r="347" spans="32:115">
      <c r="AF347" s="23" t="b">
        <f ca="1"/>
        <v>0</v>
      </c>
      <c r="AG347" s="23" t="b">
        <f ca="1"/>
        <v>0</v>
      </c>
      <c r="AH347" s="23" t="b">
        <f ca="1"/>
        <v>0</v>
      </c>
      <c r="AI347" s="23" t="b">
        <f ca="1"/>
        <v>0</v>
      </c>
      <c r="AJ347" s="23" t="b">
        <f ca="1"/>
        <v>0</v>
      </c>
      <c r="AK347" s="23" t="b">
        <f ca="1"/>
        <v>0</v>
      </c>
      <c r="AL347" s="23" t="b">
        <f ca="1"/>
        <v>0</v>
      </c>
      <c r="AM347" s="23" t="b">
        <f ca="1"/>
        <v>0</v>
      </c>
      <c r="AN347" s="23" t="b">
        <f ca="1"/>
        <v>0</v>
      </c>
      <c r="AO347" s="23" t="b">
        <f ca="1"/>
        <v>0</v>
      </c>
      <c r="AP347" s="23" t="b">
        <f ca="1"/>
        <v>0</v>
      </c>
      <c r="AQ347" s="23" t="b">
        <f ca="1"/>
        <v>0</v>
      </c>
      <c r="AR347" s="23" t="b">
        <f ca="1"/>
        <v>0</v>
      </c>
      <c r="AS347" s="23" t="b">
        <f ca="1"/>
        <v>0</v>
      </c>
      <c r="AT347" s="23" t="b">
        <f ca="1"/>
        <v>0</v>
      </c>
      <c r="AU347" s="23" t="b">
        <f ca="1"/>
        <v>0</v>
      </c>
      <c r="AV347" s="23" t="b">
        <f ca="1"/>
        <v>0</v>
      </c>
      <c r="AW347" s="23" t="b">
        <f ca="1"/>
        <v>0</v>
      </c>
      <c r="AX347" s="23" t="b">
        <f ca="1"/>
        <v>0</v>
      </c>
      <c r="AY347" s="23" t="b">
        <f ca="1"/>
        <v>0</v>
      </c>
      <c r="CR347" s="23" t="b">
        <f ca="1"/>
        <v>0</v>
      </c>
      <c r="CS347" s="23" t="b">
        <f ca="1"/>
        <v>0</v>
      </c>
      <c r="CT347" s="23" t="b">
        <f ca="1"/>
        <v>0</v>
      </c>
      <c r="CU347" s="23" t="b">
        <f ca="1"/>
        <v>0</v>
      </c>
      <c r="CV347" s="23" t="b">
        <f ca="1"/>
        <v>0</v>
      </c>
      <c r="CW347" s="23" t="b">
        <f ca="1"/>
        <v>0</v>
      </c>
      <c r="CX347" s="23" t="b">
        <f ca="1"/>
        <v>0</v>
      </c>
      <c r="CY347" s="23" t="b">
        <f ca="1"/>
        <v>0</v>
      </c>
      <c r="CZ347" s="23" t="b">
        <f ca="1"/>
        <v>0</v>
      </c>
      <c r="DA347" s="23" t="b">
        <f ca="1"/>
        <v>0</v>
      </c>
      <c r="DB347" s="23" t="b">
        <f ca="1"/>
        <v>0</v>
      </c>
      <c r="DC347" s="23" t="b">
        <f ca="1"/>
        <v>0</v>
      </c>
      <c r="DD347" s="23" t="b">
        <f ca="1"/>
        <v>0</v>
      </c>
      <c r="DE347" s="23" t="b">
        <f ca="1"/>
        <v>0</v>
      </c>
      <c r="DF347" s="23" t="b">
        <f ca="1"/>
        <v>0</v>
      </c>
      <c r="DG347" s="23" t="b">
        <f ca="1"/>
        <v>0</v>
      </c>
      <c r="DH347" s="23" t="b">
        <f ca="1"/>
        <v>0</v>
      </c>
      <c r="DI347" s="23" t="b">
        <f ca="1"/>
        <v>0</v>
      </c>
      <c r="DJ347" s="23" t="b">
        <f ca="1"/>
        <v>0</v>
      </c>
      <c r="DK347" s="23" t="b">
        <f ca="1"/>
        <v>0</v>
      </c>
    </row>
    <row r="348" spans="32:115">
      <c r="AF348" s="23" t="b">
        <f ca="1"/>
        <v>0</v>
      </c>
      <c r="AG348" s="23" t="b">
        <f ca="1"/>
        <v>0</v>
      </c>
      <c r="AH348" s="23" t="b">
        <f ca="1"/>
        <v>0</v>
      </c>
      <c r="AI348" s="23" t="b">
        <f ca="1"/>
        <v>0</v>
      </c>
      <c r="AJ348" s="23" t="b">
        <f ca="1"/>
        <v>0</v>
      </c>
      <c r="AK348" s="23" t="b">
        <f ca="1"/>
        <v>0</v>
      </c>
      <c r="AL348" s="23" t="b">
        <f ca="1"/>
        <v>0</v>
      </c>
      <c r="AM348" s="23" t="b">
        <f ca="1"/>
        <v>0</v>
      </c>
      <c r="AN348" s="23" t="b">
        <f ca="1"/>
        <v>0</v>
      </c>
      <c r="AO348" s="23" t="b">
        <f ca="1"/>
        <v>0</v>
      </c>
      <c r="AP348" s="23" t="b">
        <f ca="1"/>
        <v>0</v>
      </c>
      <c r="AQ348" s="23" t="b">
        <f ca="1"/>
        <v>0</v>
      </c>
      <c r="AR348" s="23" t="b">
        <f ca="1"/>
        <v>0</v>
      </c>
      <c r="AS348" s="23" t="b">
        <f ca="1"/>
        <v>0</v>
      </c>
      <c r="AT348" s="23" t="b">
        <f ca="1"/>
        <v>0</v>
      </c>
      <c r="AU348" s="23" t="b">
        <f ca="1"/>
        <v>0</v>
      </c>
      <c r="AV348" s="23" t="b">
        <f ca="1"/>
        <v>0</v>
      </c>
      <c r="AW348" s="23" t="b">
        <f ca="1"/>
        <v>0</v>
      </c>
      <c r="AX348" s="23" t="b">
        <f ca="1"/>
        <v>0</v>
      </c>
      <c r="AY348" s="23" t="b">
        <f ca="1"/>
        <v>0</v>
      </c>
      <c r="CR348" s="23" t="b">
        <f ca="1"/>
        <v>0</v>
      </c>
      <c r="CS348" s="23" t="b">
        <f ca="1"/>
        <v>0</v>
      </c>
      <c r="CT348" s="23" t="b">
        <f ca="1"/>
        <v>0</v>
      </c>
      <c r="CU348" s="23" t="b">
        <f ca="1"/>
        <v>0</v>
      </c>
      <c r="CV348" s="23" t="b">
        <f ca="1"/>
        <v>0</v>
      </c>
      <c r="CW348" s="23" t="b">
        <f ca="1"/>
        <v>0</v>
      </c>
      <c r="CX348" s="23" t="b">
        <f ca="1"/>
        <v>0</v>
      </c>
      <c r="CY348" s="23" t="b">
        <f ca="1"/>
        <v>0</v>
      </c>
      <c r="CZ348" s="23" t="b">
        <f ca="1"/>
        <v>0</v>
      </c>
      <c r="DA348" s="23" t="b">
        <f ca="1"/>
        <v>0</v>
      </c>
      <c r="DB348" s="23" t="b">
        <f ca="1"/>
        <v>0</v>
      </c>
      <c r="DC348" s="23" t="b">
        <f ca="1"/>
        <v>0</v>
      </c>
      <c r="DD348" s="23" t="b">
        <f ca="1"/>
        <v>0</v>
      </c>
      <c r="DE348" s="23" t="b">
        <f ca="1"/>
        <v>0</v>
      </c>
      <c r="DF348" s="23" t="b">
        <f ca="1"/>
        <v>0</v>
      </c>
      <c r="DG348" s="23" t="b">
        <f ca="1"/>
        <v>0</v>
      </c>
      <c r="DH348" s="23" t="b">
        <f ca="1"/>
        <v>0</v>
      </c>
      <c r="DI348" s="23" t="b">
        <f ca="1"/>
        <v>0</v>
      </c>
      <c r="DJ348" s="23" t="b">
        <f ca="1"/>
        <v>0</v>
      </c>
      <c r="DK348" s="23" t="b">
        <f ca="1"/>
        <v>0</v>
      </c>
    </row>
    <row r="349" spans="32:115">
      <c r="AF349" s="23" t="b">
        <f ca="1"/>
        <v>0</v>
      </c>
      <c r="AG349" s="23" t="b">
        <f ca="1"/>
        <v>0</v>
      </c>
      <c r="AH349" s="23" t="b">
        <f ca="1"/>
        <v>0</v>
      </c>
      <c r="AI349" s="23" t="b">
        <f ca="1"/>
        <v>0</v>
      </c>
      <c r="AJ349" s="23" t="b">
        <f ca="1"/>
        <v>0</v>
      </c>
      <c r="AK349" s="23" t="b">
        <f ca="1"/>
        <v>0</v>
      </c>
      <c r="AL349" s="23" t="b">
        <f ca="1"/>
        <v>0</v>
      </c>
      <c r="AM349" s="23" t="b">
        <f ca="1"/>
        <v>0</v>
      </c>
      <c r="AN349" s="23" t="b">
        <f ca="1"/>
        <v>0</v>
      </c>
      <c r="AO349" s="23" t="b">
        <f ca="1"/>
        <v>0</v>
      </c>
      <c r="AP349" s="23" t="b">
        <f ca="1"/>
        <v>0</v>
      </c>
      <c r="AQ349" s="23" t="b">
        <f ca="1"/>
        <v>0</v>
      </c>
      <c r="AR349" s="23" t="b">
        <f ca="1"/>
        <v>0</v>
      </c>
      <c r="AS349" s="23" t="b">
        <f ca="1"/>
        <v>0</v>
      </c>
      <c r="AT349" s="23" t="b">
        <f ca="1"/>
        <v>0</v>
      </c>
      <c r="AU349" s="23" t="b">
        <f ca="1"/>
        <v>0</v>
      </c>
      <c r="AV349" s="23" t="b">
        <f ca="1"/>
        <v>0</v>
      </c>
      <c r="AW349" s="23" t="b">
        <f ca="1"/>
        <v>0</v>
      </c>
      <c r="AX349" s="23" t="b">
        <f ca="1"/>
        <v>0</v>
      </c>
      <c r="AY349" s="23" t="b">
        <f ca="1"/>
        <v>0</v>
      </c>
      <c r="CR349" s="23" t="b">
        <f ca="1"/>
        <v>0</v>
      </c>
      <c r="CS349" s="23" t="b">
        <f ca="1"/>
        <v>0</v>
      </c>
      <c r="CT349" s="23" t="b">
        <f ca="1"/>
        <v>0</v>
      </c>
      <c r="CU349" s="23" t="b">
        <f ca="1"/>
        <v>0</v>
      </c>
      <c r="CV349" s="23" t="b">
        <f ca="1"/>
        <v>0</v>
      </c>
      <c r="CW349" s="23" t="b">
        <f ca="1"/>
        <v>0</v>
      </c>
      <c r="CX349" s="23" t="b">
        <f ca="1"/>
        <v>0</v>
      </c>
      <c r="CY349" s="23" t="b">
        <f ca="1"/>
        <v>0</v>
      </c>
      <c r="CZ349" s="23" t="b">
        <f ca="1"/>
        <v>0</v>
      </c>
      <c r="DA349" s="23" t="b">
        <f ca="1"/>
        <v>0</v>
      </c>
      <c r="DB349" s="23" t="b">
        <f ca="1"/>
        <v>0</v>
      </c>
      <c r="DC349" s="23" t="b">
        <f ca="1"/>
        <v>0</v>
      </c>
      <c r="DD349" s="23" t="b">
        <f ca="1"/>
        <v>0</v>
      </c>
      <c r="DE349" s="23" t="b">
        <f ca="1"/>
        <v>0</v>
      </c>
      <c r="DF349" s="23" t="b">
        <f ca="1"/>
        <v>0</v>
      </c>
      <c r="DG349" s="23" t="b">
        <f ca="1"/>
        <v>0</v>
      </c>
      <c r="DH349" s="23" t="b">
        <f ca="1"/>
        <v>0</v>
      </c>
      <c r="DI349" s="23" t="b">
        <f ca="1"/>
        <v>0</v>
      </c>
      <c r="DJ349" s="23" t="b">
        <f ca="1"/>
        <v>0</v>
      </c>
      <c r="DK349" s="23" t="b">
        <f ca="1"/>
        <v>0</v>
      </c>
    </row>
    <row r="1000" spans="644:644" ht="15.75">
      <c r="XT1000" s="148">
        <v>125713</v>
      </c>
    </row>
  </sheetData>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22" id="{7382DDBA-FFA1-471A-ABFB-95F1DEAF60A7}">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F25:F29</xm:sqref>
        </x14:conditionalFormatting>
        <x14:conditionalFormatting xmlns:xm="http://schemas.microsoft.com/office/excel/2006/main">
          <x14:cfRule type="iconSet" priority="21" id="{799223B0-5596-4459-8FCC-5BD39315877B}">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F50</xm:sqref>
        </x14:conditionalFormatting>
        <x14:conditionalFormatting xmlns:xm="http://schemas.microsoft.com/office/excel/2006/main">
          <x14:cfRule type="iconSet" priority="19" id="{561A6AAD-99C7-489A-A344-B6DC40021854}">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F52:F71</xm:sqref>
        </x14:conditionalFormatting>
        <x14:conditionalFormatting xmlns:xm="http://schemas.microsoft.com/office/excel/2006/main">
          <x14:cfRule type="iconSet" priority="18" id="{3E20D909-DBBC-4196-B741-80F76716EA8C}">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F90</xm:sqref>
        </x14:conditionalFormatting>
        <x14:conditionalFormatting xmlns:xm="http://schemas.microsoft.com/office/excel/2006/main">
          <x14:cfRule type="iconSet" priority="16" id="{9B1FF8A3-E744-40BB-8A87-52AAEDFA24A6}">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F92:F111</xm:sqref>
        </x14:conditionalFormatting>
        <x14:conditionalFormatting xmlns:xm="http://schemas.microsoft.com/office/excel/2006/main">
          <x14:cfRule type="iconSet" priority="15" id="{11C7BA17-3FF0-40BC-92FA-0C7CBA684CD3}">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F132</xm:sqref>
        </x14:conditionalFormatting>
        <x14:conditionalFormatting xmlns:xm="http://schemas.microsoft.com/office/excel/2006/main">
          <x14:cfRule type="iconSet" priority="13" id="{F60EB3EB-A02B-4DD1-8838-B2C58CE8E854}">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F134:F153</xm:sqref>
        </x14:conditionalFormatting>
        <x14:conditionalFormatting xmlns:xm="http://schemas.microsoft.com/office/excel/2006/main">
          <x14:cfRule type="iconSet" priority="12" id="{DB003050-39E7-4555-8BF2-398682C67E7C}">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F175</xm:sqref>
        </x14:conditionalFormatting>
        <x14:conditionalFormatting xmlns:xm="http://schemas.microsoft.com/office/excel/2006/main">
          <x14:cfRule type="iconSet" priority="10" id="{465216B4-1F2A-4F6C-9201-BE3D22F5C6C4}">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F177:F196</xm:sqref>
        </x14:conditionalFormatting>
        <x14:conditionalFormatting xmlns:xm="http://schemas.microsoft.com/office/excel/2006/main">
          <x14:cfRule type="iconSet" priority="9" id="{9AF1064A-7138-4584-8317-551B6D861311}">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F217</xm:sqref>
        </x14:conditionalFormatting>
        <x14:conditionalFormatting xmlns:xm="http://schemas.microsoft.com/office/excel/2006/main">
          <x14:cfRule type="iconSet" priority="7" id="{F0E0F0FD-C3A2-4688-93B8-E7F78D5C8A7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F219:F238</xm:sqref>
        </x14:conditionalFormatting>
        <x14:conditionalFormatting xmlns:xm="http://schemas.microsoft.com/office/excel/2006/main">
          <x14:cfRule type="iconSet" priority="6" id="{92508E21-FAB9-4973-9C23-0318836E4FE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F262</xm:sqref>
        </x14:conditionalFormatting>
        <x14:conditionalFormatting xmlns:xm="http://schemas.microsoft.com/office/excel/2006/main">
          <x14:cfRule type="iconSet" priority="4" id="{A648B775-6FD2-4FA5-9D95-38E877916EF7}">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F264:F283</xm:sqref>
        </x14:conditionalFormatting>
        <x14:conditionalFormatting xmlns:xm="http://schemas.microsoft.com/office/excel/2006/main">
          <x14:cfRule type="iconSet" priority="3" id="{2B75A603-A509-4941-8365-D2DAD5AEDA31}">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F306</xm:sqref>
        </x14:conditionalFormatting>
        <x14:conditionalFormatting xmlns:xm="http://schemas.microsoft.com/office/excel/2006/main">
          <x14:cfRule type="iconSet" priority="1" id="{346BB1FF-154F-452E-80FB-CB05F715781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F308:F327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74CAE-EE7F-4F9F-A2B9-BAF18E83F742}">
  <sheetPr codeName="Sheet2">
    <tabColor theme="6" tint="0.79998168889431442"/>
  </sheetPr>
  <dimension ref="A1:XX1000"/>
  <sheetViews>
    <sheetView showGridLines="0" topLeftCell="A6" zoomScale="70" zoomScaleNormal="70" workbookViewId="0">
      <selection activeCell="U2" sqref="B2:U2"/>
    </sheetView>
  </sheetViews>
  <sheetFormatPr defaultColWidth="8.7109375" defaultRowHeight="15"/>
  <cols>
    <col min="1" max="1" width="8.42578125" customWidth="1"/>
    <col min="2" max="21" width="5.42578125" customWidth="1"/>
  </cols>
  <sheetData>
    <row r="1" spans="1:24" ht="15.75" thickBot="1"/>
    <row r="2" spans="1:24" ht="16.5" thickBot="1">
      <c r="A2" s="91" t="s">
        <v>311</v>
      </c>
      <c r="B2" s="11">
        <v>1</v>
      </c>
      <c r="C2" s="1">
        <v>1</v>
      </c>
      <c r="D2" s="1">
        <v>1</v>
      </c>
      <c r="E2" s="1">
        <v>1</v>
      </c>
      <c r="F2" s="1">
        <v>1</v>
      </c>
      <c r="G2" s="1">
        <v>1</v>
      </c>
      <c r="H2" s="1">
        <v>1</v>
      </c>
      <c r="I2" s="1">
        <v>1</v>
      </c>
      <c r="J2" s="1">
        <v>1</v>
      </c>
      <c r="K2" s="1">
        <v>1</v>
      </c>
      <c r="L2" s="1">
        <v>1</v>
      </c>
      <c r="M2" s="1">
        <v>1</v>
      </c>
      <c r="N2" s="1">
        <v>1</v>
      </c>
      <c r="O2" s="1">
        <v>1</v>
      </c>
      <c r="P2" s="1">
        <v>1</v>
      </c>
      <c r="Q2" s="1">
        <v>1</v>
      </c>
      <c r="R2" s="1">
        <v>1</v>
      </c>
      <c r="S2" s="1">
        <v>1</v>
      </c>
      <c r="T2" s="1">
        <v>1</v>
      </c>
      <c r="U2" s="2">
        <v>1</v>
      </c>
      <c r="V2" s="90" t="s">
        <v>312</v>
      </c>
      <c r="W2" s="85" t="s">
        <v>313</v>
      </c>
      <c r="X2">
        <v>0</v>
      </c>
    </row>
    <row r="3" spans="1:24" ht="16.5" thickBot="1">
      <c r="A3" s="91" t="s">
        <v>311</v>
      </c>
      <c r="B3" s="3">
        <v>1</v>
      </c>
      <c r="C3" s="4">
        <v>1</v>
      </c>
      <c r="D3" s="6">
        <v>0</v>
      </c>
      <c r="E3" s="4">
        <v>1</v>
      </c>
      <c r="F3" s="4">
        <v>1</v>
      </c>
      <c r="G3" s="4">
        <v>1</v>
      </c>
      <c r="H3" s="4">
        <v>1</v>
      </c>
      <c r="I3" s="4">
        <v>1</v>
      </c>
      <c r="J3" s="4">
        <v>1</v>
      </c>
      <c r="K3" s="4">
        <v>1</v>
      </c>
      <c r="L3" s="4">
        <v>1</v>
      </c>
      <c r="M3" s="4">
        <v>1</v>
      </c>
      <c r="N3" s="4">
        <v>1</v>
      </c>
      <c r="O3" s="4">
        <v>1</v>
      </c>
      <c r="P3" s="4">
        <v>1</v>
      </c>
      <c r="Q3" s="4">
        <v>1</v>
      </c>
      <c r="R3" s="4">
        <v>1</v>
      </c>
      <c r="S3" s="4">
        <v>1</v>
      </c>
      <c r="T3" s="4">
        <v>1</v>
      </c>
      <c r="U3" s="5">
        <v>1</v>
      </c>
      <c r="V3" s="90" t="s">
        <v>312</v>
      </c>
      <c r="W3" s="86" t="s">
        <v>314</v>
      </c>
      <c r="X3">
        <v>1</v>
      </c>
    </row>
    <row r="4" spans="1:24" ht="16.5" thickBot="1">
      <c r="A4" s="91" t="s">
        <v>311</v>
      </c>
      <c r="B4" s="3">
        <v>1</v>
      </c>
      <c r="C4" s="6">
        <v>0</v>
      </c>
      <c r="D4" s="6">
        <v>0</v>
      </c>
      <c r="E4" s="4">
        <v>1</v>
      </c>
      <c r="F4" s="4">
        <v>1</v>
      </c>
      <c r="G4" s="4">
        <v>1</v>
      </c>
      <c r="H4" s="6">
        <v>0</v>
      </c>
      <c r="I4" s="4">
        <v>1</v>
      </c>
      <c r="J4" s="4">
        <v>1</v>
      </c>
      <c r="K4" s="4">
        <v>1</v>
      </c>
      <c r="L4" s="4">
        <v>1</v>
      </c>
      <c r="M4" s="4">
        <v>1</v>
      </c>
      <c r="N4" s="4">
        <v>1</v>
      </c>
      <c r="O4" s="4">
        <v>1</v>
      </c>
      <c r="P4" s="4">
        <v>1</v>
      </c>
      <c r="Q4" s="4">
        <v>1</v>
      </c>
      <c r="R4" s="4">
        <v>1</v>
      </c>
      <c r="S4" s="92">
        <v>0</v>
      </c>
      <c r="T4" s="6">
        <v>0</v>
      </c>
      <c r="U4" s="5">
        <v>1</v>
      </c>
      <c r="V4" s="90" t="s">
        <v>312</v>
      </c>
      <c r="W4" s="87" t="s">
        <v>315</v>
      </c>
      <c r="X4">
        <v>2</v>
      </c>
    </row>
    <row r="5" spans="1:24" ht="16.5" thickBot="1">
      <c r="A5" s="91" t="s">
        <v>311</v>
      </c>
      <c r="B5" s="3">
        <v>1</v>
      </c>
      <c r="C5" s="6">
        <v>0</v>
      </c>
      <c r="D5" s="6">
        <v>0</v>
      </c>
      <c r="E5" s="4">
        <v>1</v>
      </c>
      <c r="F5" s="4">
        <v>1</v>
      </c>
      <c r="G5" s="4">
        <v>1</v>
      </c>
      <c r="H5" s="6">
        <v>0</v>
      </c>
      <c r="I5" s="6">
        <v>0</v>
      </c>
      <c r="J5" s="4">
        <v>1</v>
      </c>
      <c r="K5" s="4">
        <v>1</v>
      </c>
      <c r="L5" s="4">
        <v>1</v>
      </c>
      <c r="M5" s="4">
        <v>1</v>
      </c>
      <c r="N5" s="4">
        <v>1</v>
      </c>
      <c r="O5" s="4">
        <v>1</v>
      </c>
      <c r="P5" s="4">
        <v>1</v>
      </c>
      <c r="Q5" s="4">
        <v>1</v>
      </c>
      <c r="R5" s="4">
        <v>1</v>
      </c>
      <c r="S5" s="6">
        <v>0</v>
      </c>
      <c r="T5" s="6">
        <v>0</v>
      </c>
      <c r="U5" s="5">
        <v>1</v>
      </c>
      <c r="V5" s="90" t="s">
        <v>312</v>
      </c>
      <c r="W5" s="88" t="s">
        <v>316</v>
      </c>
      <c r="X5">
        <v>3</v>
      </c>
    </row>
    <row r="6" spans="1:24" ht="16.5" thickBot="1">
      <c r="A6" s="91" t="s">
        <v>311</v>
      </c>
      <c r="B6" s="3">
        <v>1</v>
      </c>
      <c r="C6" s="4">
        <v>1</v>
      </c>
      <c r="D6" s="4">
        <v>1</v>
      </c>
      <c r="E6" s="4">
        <v>1</v>
      </c>
      <c r="F6" s="4">
        <v>1</v>
      </c>
      <c r="G6" s="4">
        <v>1</v>
      </c>
      <c r="H6" s="6">
        <v>0</v>
      </c>
      <c r="I6" s="6">
        <v>0</v>
      </c>
      <c r="J6" s="4">
        <v>1</v>
      </c>
      <c r="K6" s="4">
        <v>1</v>
      </c>
      <c r="L6" s="4">
        <v>1</v>
      </c>
      <c r="M6" s="4">
        <v>1</v>
      </c>
      <c r="N6" s="4">
        <v>1</v>
      </c>
      <c r="O6" s="4">
        <v>1</v>
      </c>
      <c r="P6" s="4">
        <v>1</v>
      </c>
      <c r="Q6" s="4">
        <v>1</v>
      </c>
      <c r="R6" s="4">
        <v>1</v>
      </c>
      <c r="S6" s="6">
        <v>0</v>
      </c>
      <c r="T6" s="6">
        <v>0</v>
      </c>
      <c r="U6" s="5">
        <v>1</v>
      </c>
      <c r="V6" s="90" t="s">
        <v>312</v>
      </c>
      <c r="W6" s="89" t="s">
        <v>317</v>
      </c>
      <c r="X6">
        <v>4</v>
      </c>
    </row>
    <row r="7" spans="1:24" ht="15.75">
      <c r="A7" s="91" t="s">
        <v>311</v>
      </c>
      <c r="B7" s="3">
        <v>1</v>
      </c>
      <c r="C7" s="4">
        <v>1</v>
      </c>
      <c r="D7" s="4">
        <v>1</v>
      </c>
      <c r="E7" s="4">
        <v>1</v>
      </c>
      <c r="F7" s="4">
        <v>1</v>
      </c>
      <c r="G7" s="4">
        <v>1</v>
      </c>
      <c r="H7" s="4">
        <v>1</v>
      </c>
      <c r="I7" s="4">
        <v>1</v>
      </c>
      <c r="J7" s="4">
        <v>1</v>
      </c>
      <c r="K7" s="4">
        <v>1</v>
      </c>
      <c r="L7" s="4">
        <v>1</v>
      </c>
      <c r="M7" s="4">
        <v>1</v>
      </c>
      <c r="N7" s="4">
        <v>1</v>
      </c>
      <c r="O7" s="4">
        <v>1</v>
      </c>
      <c r="P7" s="4">
        <v>1</v>
      </c>
      <c r="Q7" s="4">
        <v>1</v>
      </c>
      <c r="R7" s="4">
        <v>1</v>
      </c>
      <c r="S7" s="6">
        <v>0</v>
      </c>
      <c r="T7" s="4">
        <v>1</v>
      </c>
      <c r="U7" s="5">
        <v>1</v>
      </c>
      <c r="V7" s="90" t="s">
        <v>312</v>
      </c>
    </row>
    <row r="8" spans="1:24" ht="15.75">
      <c r="A8" s="91" t="s">
        <v>311</v>
      </c>
      <c r="B8" s="3">
        <v>1</v>
      </c>
      <c r="C8" s="4">
        <v>1</v>
      </c>
      <c r="D8" s="4">
        <v>1</v>
      </c>
      <c r="E8" s="4">
        <v>1</v>
      </c>
      <c r="F8" s="4">
        <v>1</v>
      </c>
      <c r="G8" s="4">
        <v>1</v>
      </c>
      <c r="H8" s="4">
        <v>1</v>
      </c>
      <c r="I8" s="4">
        <v>1</v>
      </c>
      <c r="J8" s="4">
        <v>1</v>
      </c>
      <c r="K8" s="4">
        <v>1</v>
      </c>
      <c r="L8" s="4">
        <v>1</v>
      </c>
      <c r="M8" s="4">
        <v>1</v>
      </c>
      <c r="N8" s="4">
        <v>1</v>
      </c>
      <c r="O8" s="4">
        <v>1</v>
      </c>
      <c r="P8" s="4">
        <v>1</v>
      </c>
      <c r="Q8" s="4">
        <v>1</v>
      </c>
      <c r="R8" s="4">
        <v>1</v>
      </c>
      <c r="S8" s="4">
        <v>1</v>
      </c>
      <c r="T8" s="4">
        <v>1</v>
      </c>
      <c r="U8" s="5">
        <v>1</v>
      </c>
      <c r="V8" s="90" t="s">
        <v>312</v>
      </c>
    </row>
    <row r="9" spans="1:24" ht="15.75">
      <c r="A9" s="91" t="s">
        <v>311</v>
      </c>
      <c r="B9" s="3">
        <v>1</v>
      </c>
      <c r="C9" s="4">
        <v>1</v>
      </c>
      <c r="D9" s="4">
        <v>1</v>
      </c>
      <c r="E9" s="4">
        <v>1</v>
      </c>
      <c r="F9" s="4">
        <v>1</v>
      </c>
      <c r="G9" s="4">
        <v>1</v>
      </c>
      <c r="H9" s="4">
        <v>1</v>
      </c>
      <c r="I9" s="4">
        <v>1</v>
      </c>
      <c r="J9" s="4">
        <v>1</v>
      </c>
      <c r="K9" s="4">
        <v>1</v>
      </c>
      <c r="L9" s="4">
        <v>1</v>
      </c>
      <c r="M9" s="4">
        <v>1</v>
      </c>
      <c r="N9" s="4">
        <v>1</v>
      </c>
      <c r="O9" s="4">
        <v>1</v>
      </c>
      <c r="P9" s="4">
        <v>1</v>
      </c>
      <c r="Q9" s="4">
        <v>1</v>
      </c>
      <c r="R9" s="4">
        <v>1</v>
      </c>
      <c r="S9" s="4">
        <v>1</v>
      </c>
      <c r="T9" s="4">
        <v>1</v>
      </c>
      <c r="U9" s="5">
        <v>1</v>
      </c>
      <c r="V9" s="90" t="s">
        <v>312</v>
      </c>
    </row>
    <row r="10" spans="1:24" ht="15.75">
      <c r="A10" s="91" t="s">
        <v>311</v>
      </c>
      <c r="B10" s="3">
        <v>1</v>
      </c>
      <c r="C10" s="4">
        <v>1</v>
      </c>
      <c r="D10" s="4">
        <v>1</v>
      </c>
      <c r="E10" s="4">
        <v>1</v>
      </c>
      <c r="F10" s="4">
        <v>1</v>
      </c>
      <c r="G10" s="4">
        <v>1</v>
      </c>
      <c r="H10" s="4">
        <v>1</v>
      </c>
      <c r="I10" s="4">
        <v>1</v>
      </c>
      <c r="J10" s="6">
        <v>0</v>
      </c>
      <c r="K10" s="4">
        <v>1</v>
      </c>
      <c r="L10" s="4">
        <v>1</v>
      </c>
      <c r="M10" s="4">
        <v>1</v>
      </c>
      <c r="N10" s="4">
        <v>1</v>
      </c>
      <c r="O10" s="6">
        <v>0</v>
      </c>
      <c r="P10" s="4">
        <v>1</v>
      </c>
      <c r="Q10" s="4">
        <v>1</v>
      </c>
      <c r="R10" s="4">
        <v>1</v>
      </c>
      <c r="S10" s="4">
        <v>1</v>
      </c>
      <c r="T10" s="4">
        <v>1</v>
      </c>
      <c r="U10" s="5">
        <v>1</v>
      </c>
      <c r="V10" s="90" t="s">
        <v>312</v>
      </c>
    </row>
    <row r="11" spans="1:24" ht="15.75">
      <c r="A11" s="91" t="s">
        <v>311</v>
      </c>
      <c r="B11" s="3">
        <v>1</v>
      </c>
      <c r="C11" s="4">
        <v>1</v>
      </c>
      <c r="D11" s="4">
        <v>1</v>
      </c>
      <c r="E11" s="4">
        <v>1</v>
      </c>
      <c r="F11" s="4">
        <v>1</v>
      </c>
      <c r="G11" s="4">
        <v>1</v>
      </c>
      <c r="H11" s="4">
        <v>1</v>
      </c>
      <c r="I11" s="4">
        <v>1</v>
      </c>
      <c r="J11" s="6">
        <v>0</v>
      </c>
      <c r="K11" s="4">
        <v>1</v>
      </c>
      <c r="L11" s="4">
        <v>1</v>
      </c>
      <c r="M11" s="4">
        <v>1</v>
      </c>
      <c r="N11" s="6">
        <v>0</v>
      </c>
      <c r="O11" s="6">
        <v>0</v>
      </c>
      <c r="P11" s="6">
        <v>0</v>
      </c>
      <c r="Q11" s="4">
        <v>1</v>
      </c>
      <c r="R11" s="4">
        <v>1</v>
      </c>
      <c r="S11" s="4">
        <v>1</v>
      </c>
      <c r="T11" s="4">
        <v>1</v>
      </c>
      <c r="U11" s="5">
        <v>1</v>
      </c>
      <c r="V11" s="90" t="s">
        <v>312</v>
      </c>
    </row>
    <row r="12" spans="1:24" ht="15.75">
      <c r="A12" s="91" t="s">
        <v>311</v>
      </c>
      <c r="B12" s="3">
        <v>1</v>
      </c>
      <c r="C12" s="4">
        <v>1</v>
      </c>
      <c r="D12" s="4">
        <v>1</v>
      </c>
      <c r="E12" s="4">
        <v>1</v>
      </c>
      <c r="F12" s="4">
        <v>1</v>
      </c>
      <c r="G12" s="6">
        <v>0</v>
      </c>
      <c r="H12" s="4">
        <v>1</v>
      </c>
      <c r="I12" s="4">
        <v>1</v>
      </c>
      <c r="J12" s="4">
        <v>1</v>
      </c>
      <c r="K12" s="4">
        <v>1</v>
      </c>
      <c r="L12" s="4">
        <v>1</v>
      </c>
      <c r="M12" s="4">
        <v>1</v>
      </c>
      <c r="N12" s="6">
        <v>0</v>
      </c>
      <c r="O12" s="6">
        <v>0</v>
      </c>
      <c r="P12" s="6">
        <v>0</v>
      </c>
      <c r="Q12" s="4">
        <v>1</v>
      </c>
      <c r="R12" s="4">
        <v>1</v>
      </c>
      <c r="S12" s="4">
        <v>1</v>
      </c>
      <c r="T12" s="4">
        <v>1</v>
      </c>
      <c r="U12" s="5">
        <v>1</v>
      </c>
      <c r="V12" s="90" t="s">
        <v>312</v>
      </c>
    </row>
    <row r="13" spans="1:24" ht="15.75">
      <c r="A13" s="91" t="s">
        <v>311</v>
      </c>
      <c r="B13" s="3">
        <v>1</v>
      </c>
      <c r="C13" s="4">
        <v>1</v>
      </c>
      <c r="D13" s="4">
        <v>1</v>
      </c>
      <c r="E13" s="4">
        <v>1</v>
      </c>
      <c r="F13" s="4">
        <v>1</v>
      </c>
      <c r="G13" s="6">
        <v>0</v>
      </c>
      <c r="H13" s="4">
        <v>1</v>
      </c>
      <c r="I13" s="4">
        <v>1</v>
      </c>
      <c r="J13" s="4">
        <v>1</v>
      </c>
      <c r="K13" s="4">
        <v>1</v>
      </c>
      <c r="L13" s="4">
        <v>1</v>
      </c>
      <c r="M13" s="4">
        <v>1</v>
      </c>
      <c r="N13" s="4">
        <v>1</v>
      </c>
      <c r="O13" s="4">
        <v>1</v>
      </c>
      <c r="P13" s="4">
        <v>1</v>
      </c>
      <c r="Q13" s="4">
        <v>1</v>
      </c>
      <c r="R13" s="4">
        <v>1</v>
      </c>
      <c r="S13" s="4">
        <v>1</v>
      </c>
      <c r="T13" s="4">
        <v>1</v>
      </c>
      <c r="U13" s="5">
        <v>1</v>
      </c>
      <c r="V13" s="90" t="s">
        <v>312</v>
      </c>
    </row>
    <row r="14" spans="1:24" ht="15.75">
      <c r="A14" s="91" t="s">
        <v>311</v>
      </c>
      <c r="B14" s="3">
        <v>1</v>
      </c>
      <c r="C14" s="4">
        <v>1</v>
      </c>
      <c r="D14" s="4">
        <v>1</v>
      </c>
      <c r="E14" s="4">
        <v>1</v>
      </c>
      <c r="F14" s="4">
        <v>1</v>
      </c>
      <c r="G14" s="4">
        <v>1</v>
      </c>
      <c r="H14" s="4">
        <v>1</v>
      </c>
      <c r="I14" s="4">
        <v>1</v>
      </c>
      <c r="J14" s="4">
        <v>1</v>
      </c>
      <c r="K14" s="4">
        <v>1</v>
      </c>
      <c r="L14" s="4">
        <v>1</v>
      </c>
      <c r="M14" s="4">
        <v>1</v>
      </c>
      <c r="N14" s="4">
        <v>1</v>
      </c>
      <c r="O14" s="4">
        <v>1</v>
      </c>
      <c r="P14" s="4">
        <v>1</v>
      </c>
      <c r="Q14" s="4">
        <v>1</v>
      </c>
      <c r="R14" s="4">
        <v>1</v>
      </c>
      <c r="S14" s="4">
        <v>1</v>
      </c>
      <c r="T14" s="4">
        <v>1</v>
      </c>
      <c r="U14" s="5">
        <v>1</v>
      </c>
      <c r="V14" s="90" t="s">
        <v>312</v>
      </c>
    </row>
    <row r="15" spans="1:24" ht="15.75">
      <c r="A15" s="91" t="s">
        <v>311</v>
      </c>
      <c r="B15" s="3">
        <v>1</v>
      </c>
      <c r="C15" s="4">
        <v>1</v>
      </c>
      <c r="D15" s="4">
        <v>1</v>
      </c>
      <c r="E15" s="4">
        <v>1</v>
      </c>
      <c r="F15" s="7"/>
      <c r="G15" s="4">
        <v>1</v>
      </c>
      <c r="H15" s="4">
        <v>1</v>
      </c>
      <c r="I15" s="4">
        <v>1</v>
      </c>
      <c r="J15" s="4">
        <v>1</v>
      </c>
      <c r="K15" s="4">
        <v>1</v>
      </c>
      <c r="L15" s="4">
        <v>1</v>
      </c>
      <c r="M15" s="4">
        <v>1</v>
      </c>
      <c r="N15" s="4">
        <v>1</v>
      </c>
      <c r="O15" s="4">
        <v>1</v>
      </c>
      <c r="P15" s="4">
        <v>1</v>
      </c>
      <c r="Q15" s="4">
        <v>1</v>
      </c>
      <c r="R15" s="4">
        <v>1</v>
      </c>
      <c r="S15" s="4">
        <v>1</v>
      </c>
      <c r="T15" s="4">
        <v>1</v>
      </c>
      <c r="U15" s="5">
        <v>1</v>
      </c>
      <c r="V15" s="90" t="s">
        <v>312</v>
      </c>
    </row>
    <row r="16" spans="1:24" ht="15.75">
      <c r="A16" s="91" t="s">
        <v>311</v>
      </c>
      <c r="B16" s="3">
        <v>1</v>
      </c>
      <c r="C16" s="4">
        <v>1</v>
      </c>
      <c r="D16" s="6">
        <v>0</v>
      </c>
      <c r="E16" s="4">
        <v>1</v>
      </c>
      <c r="F16" s="7"/>
      <c r="G16" s="4">
        <v>1</v>
      </c>
      <c r="H16" s="4">
        <v>1</v>
      </c>
      <c r="I16" s="6">
        <v>0</v>
      </c>
      <c r="J16" s="4">
        <v>1</v>
      </c>
      <c r="K16" s="4">
        <v>1</v>
      </c>
      <c r="L16" s="4">
        <v>1</v>
      </c>
      <c r="M16" s="4">
        <v>1</v>
      </c>
      <c r="N16" s="4">
        <v>1</v>
      </c>
      <c r="O16" s="4">
        <v>1</v>
      </c>
      <c r="P16" s="4">
        <v>1</v>
      </c>
      <c r="Q16" s="4">
        <v>1</v>
      </c>
      <c r="R16" s="4">
        <v>1</v>
      </c>
      <c r="S16" s="4">
        <v>1</v>
      </c>
      <c r="T16" s="4">
        <v>1</v>
      </c>
      <c r="U16" s="5">
        <v>1</v>
      </c>
      <c r="V16" s="90" t="s">
        <v>312</v>
      </c>
    </row>
    <row r="17" spans="1:22" ht="15.75">
      <c r="A17" s="91" t="s">
        <v>311</v>
      </c>
      <c r="B17" s="3">
        <v>1</v>
      </c>
      <c r="C17" s="4">
        <v>1</v>
      </c>
      <c r="D17" s="6">
        <v>0</v>
      </c>
      <c r="E17" s="6">
        <v>0</v>
      </c>
      <c r="F17" s="7"/>
      <c r="G17" s="4">
        <v>1</v>
      </c>
      <c r="H17" s="4">
        <v>1</v>
      </c>
      <c r="I17" s="6">
        <v>0</v>
      </c>
      <c r="J17" s="4">
        <v>1</v>
      </c>
      <c r="K17" s="4">
        <v>1</v>
      </c>
      <c r="L17" s="4">
        <v>1</v>
      </c>
      <c r="M17" s="4">
        <v>1</v>
      </c>
      <c r="N17" s="4">
        <v>1</v>
      </c>
      <c r="O17" s="4">
        <v>1</v>
      </c>
      <c r="P17" s="4">
        <v>1</v>
      </c>
      <c r="Q17" s="4">
        <v>1</v>
      </c>
      <c r="R17" s="4">
        <v>1</v>
      </c>
      <c r="S17" s="4">
        <v>1</v>
      </c>
      <c r="T17" s="6">
        <v>0</v>
      </c>
      <c r="U17" s="5">
        <v>1</v>
      </c>
      <c r="V17" s="90" t="s">
        <v>312</v>
      </c>
    </row>
    <row r="18" spans="1:22" ht="15.75">
      <c r="A18" s="91" t="s">
        <v>311</v>
      </c>
      <c r="B18" s="3">
        <v>1</v>
      </c>
      <c r="C18" s="4">
        <v>1</v>
      </c>
      <c r="D18" s="6">
        <v>0</v>
      </c>
      <c r="E18" s="6">
        <v>0</v>
      </c>
      <c r="F18" s="4">
        <v>1</v>
      </c>
      <c r="G18" s="4">
        <v>1</v>
      </c>
      <c r="H18" s="4">
        <v>1</v>
      </c>
      <c r="I18" s="4">
        <v>1</v>
      </c>
      <c r="J18" s="4">
        <v>1</v>
      </c>
      <c r="K18" s="4">
        <v>1</v>
      </c>
      <c r="L18" s="4">
        <v>1</v>
      </c>
      <c r="M18" s="4">
        <v>1</v>
      </c>
      <c r="N18" s="4">
        <v>1</v>
      </c>
      <c r="O18" s="4">
        <v>1</v>
      </c>
      <c r="P18" s="4">
        <v>1</v>
      </c>
      <c r="Q18" s="4">
        <v>1</v>
      </c>
      <c r="R18" s="4">
        <v>1</v>
      </c>
      <c r="S18" s="6">
        <v>0</v>
      </c>
      <c r="T18" s="6">
        <v>0</v>
      </c>
      <c r="U18" s="5">
        <v>1</v>
      </c>
      <c r="V18" s="90" t="s">
        <v>312</v>
      </c>
    </row>
    <row r="19" spans="1:22" ht="15.75">
      <c r="A19" s="91" t="s">
        <v>311</v>
      </c>
      <c r="B19" s="3">
        <v>1</v>
      </c>
      <c r="C19" s="4">
        <v>1</v>
      </c>
      <c r="D19" s="4">
        <v>1</v>
      </c>
      <c r="E19" s="4">
        <v>1</v>
      </c>
      <c r="F19" s="4">
        <v>1</v>
      </c>
      <c r="G19" s="4">
        <v>1</v>
      </c>
      <c r="H19" s="4">
        <v>1</v>
      </c>
      <c r="I19" s="4">
        <v>1</v>
      </c>
      <c r="J19" s="4">
        <v>1</v>
      </c>
      <c r="K19" s="4">
        <v>1</v>
      </c>
      <c r="L19" s="4">
        <v>1</v>
      </c>
      <c r="M19" s="4">
        <v>1</v>
      </c>
      <c r="N19" s="4">
        <v>1</v>
      </c>
      <c r="O19" s="4">
        <v>1</v>
      </c>
      <c r="P19" s="4">
        <v>1</v>
      </c>
      <c r="Q19" s="4">
        <v>1</v>
      </c>
      <c r="R19" s="4">
        <v>1</v>
      </c>
      <c r="S19" s="6">
        <v>0</v>
      </c>
      <c r="T19" s="6">
        <v>0</v>
      </c>
      <c r="U19" s="5">
        <v>1</v>
      </c>
      <c r="V19" s="90" t="s">
        <v>312</v>
      </c>
    </row>
    <row r="20" spans="1:22" ht="15.75">
      <c r="A20" s="91" t="s">
        <v>311</v>
      </c>
      <c r="B20" s="3">
        <v>1</v>
      </c>
      <c r="C20" s="4">
        <v>1</v>
      </c>
      <c r="D20" s="4">
        <v>1</v>
      </c>
      <c r="E20" s="14">
        <v>2</v>
      </c>
      <c r="F20" s="4">
        <v>1</v>
      </c>
      <c r="G20" s="4">
        <v>1</v>
      </c>
      <c r="H20" s="4">
        <v>1</v>
      </c>
      <c r="I20" s="4">
        <v>1</v>
      </c>
      <c r="J20" s="4">
        <v>1</v>
      </c>
      <c r="K20" s="4">
        <v>1</v>
      </c>
      <c r="L20" s="4">
        <v>1</v>
      </c>
      <c r="M20" s="4">
        <v>1</v>
      </c>
      <c r="N20" s="4">
        <v>1</v>
      </c>
      <c r="O20" s="4">
        <v>1</v>
      </c>
      <c r="P20" s="14">
        <v>2</v>
      </c>
      <c r="Q20" s="4">
        <v>1</v>
      </c>
      <c r="R20" s="4">
        <v>1</v>
      </c>
      <c r="S20" s="4">
        <v>1</v>
      </c>
      <c r="T20" s="4">
        <v>1</v>
      </c>
      <c r="U20" s="5">
        <v>1</v>
      </c>
      <c r="V20" s="90" t="s">
        <v>312</v>
      </c>
    </row>
    <row r="21" spans="1:22" ht="15.75">
      <c r="A21" s="91" t="s">
        <v>311</v>
      </c>
      <c r="B21" s="3">
        <v>1</v>
      </c>
      <c r="C21" s="4">
        <v>1</v>
      </c>
      <c r="D21" s="13">
        <v>2</v>
      </c>
      <c r="E21" s="12">
        <v>2</v>
      </c>
      <c r="F21" s="19">
        <v>2</v>
      </c>
      <c r="G21" s="4">
        <v>1</v>
      </c>
      <c r="H21" s="4">
        <v>1</v>
      </c>
      <c r="I21" s="4">
        <v>1</v>
      </c>
      <c r="J21" s="4">
        <v>1</v>
      </c>
      <c r="K21" s="4">
        <v>1</v>
      </c>
      <c r="L21" s="4">
        <v>1</v>
      </c>
      <c r="M21" s="4">
        <v>1</v>
      </c>
      <c r="N21" s="4">
        <v>1</v>
      </c>
      <c r="O21" s="13">
        <v>2</v>
      </c>
      <c r="P21" s="12">
        <v>2</v>
      </c>
      <c r="Q21" s="19">
        <v>2</v>
      </c>
      <c r="R21" s="4">
        <v>1</v>
      </c>
      <c r="S21" s="4">
        <v>1</v>
      </c>
      <c r="T21" s="4">
        <v>1</v>
      </c>
      <c r="U21" s="5">
        <v>1</v>
      </c>
      <c r="V21" s="90" t="s">
        <v>312</v>
      </c>
    </row>
    <row r="22" spans="1:22" ht="15.75">
      <c r="A22" s="91" t="s">
        <v>311</v>
      </c>
      <c r="B22" s="3">
        <v>1</v>
      </c>
      <c r="C22" s="4">
        <v>1</v>
      </c>
      <c r="D22" s="18">
        <v>2</v>
      </c>
      <c r="E22" s="12">
        <v>2</v>
      </c>
      <c r="F22" s="15">
        <v>2</v>
      </c>
      <c r="G22" s="4">
        <v>1</v>
      </c>
      <c r="H22" s="4">
        <v>1</v>
      </c>
      <c r="I22" s="4">
        <v>1</v>
      </c>
      <c r="J22" s="4">
        <v>1</v>
      </c>
      <c r="K22" s="4">
        <v>1</v>
      </c>
      <c r="L22" s="4">
        <v>1</v>
      </c>
      <c r="M22" s="4">
        <v>1</v>
      </c>
      <c r="N22" s="4">
        <v>1</v>
      </c>
      <c r="O22" s="18">
        <v>2</v>
      </c>
      <c r="P22" s="12">
        <v>2</v>
      </c>
      <c r="Q22" s="15">
        <v>2</v>
      </c>
      <c r="R22" s="4">
        <v>1</v>
      </c>
      <c r="S22" s="4">
        <v>1</v>
      </c>
      <c r="T22" s="4">
        <v>1</v>
      </c>
      <c r="U22" s="5">
        <v>1</v>
      </c>
      <c r="V22" s="90" t="s">
        <v>312</v>
      </c>
    </row>
    <row r="23" spans="1:22" ht="15.75">
      <c r="A23" s="91" t="s">
        <v>311</v>
      </c>
      <c r="B23" s="3">
        <v>1</v>
      </c>
      <c r="C23" s="13">
        <v>2</v>
      </c>
      <c r="D23" s="12">
        <v>2</v>
      </c>
      <c r="E23" s="12">
        <v>2</v>
      </c>
      <c r="F23" s="12">
        <v>2</v>
      </c>
      <c r="G23" s="19">
        <v>2</v>
      </c>
      <c r="H23" s="4">
        <v>1</v>
      </c>
      <c r="I23" s="4">
        <v>1</v>
      </c>
      <c r="J23" s="4">
        <v>1</v>
      </c>
      <c r="K23" s="4">
        <v>1</v>
      </c>
      <c r="L23" s="4">
        <v>1</v>
      </c>
      <c r="M23" s="4">
        <v>1</v>
      </c>
      <c r="N23" s="13">
        <v>2</v>
      </c>
      <c r="O23" s="12">
        <v>2</v>
      </c>
      <c r="P23" s="12">
        <v>2</v>
      </c>
      <c r="Q23" s="12">
        <v>2</v>
      </c>
      <c r="R23" s="19">
        <v>2</v>
      </c>
      <c r="S23" s="4">
        <v>1</v>
      </c>
      <c r="T23" s="4">
        <v>1</v>
      </c>
      <c r="U23" s="5">
        <v>1</v>
      </c>
      <c r="V23" s="90" t="s">
        <v>312</v>
      </c>
    </row>
    <row r="24" spans="1:22" ht="15.75">
      <c r="A24" s="91" t="s">
        <v>311</v>
      </c>
      <c r="B24" s="3">
        <v>1</v>
      </c>
      <c r="C24" s="22">
        <v>2</v>
      </c>
      <c r="D24" s="21">
        <v>2</v>
      </c>
      <c r="E24" s="12">
        <v>2</v>
      </c>
      <c r="F24" s="21">
        <v>2</v>
      </c>
      <c r="G24" s="20">
        <v>2</v>
      </c>
      <c r="H24" s="4">
        <v>1</v>
      </c>
      <c r="I24" s="4">
        <v>1</v>
      </c>
      <c r="J24" s="4">
        <v>1</v>
      </c>
      <c r="K24" s="4">
        <v>1</v>
      </c>
      <c r="L24" s="4">
        <v>1</v>
      </c>
      <c r="M24" s="4">
        <v>1</v>
      </c>
      <c r="N24" s="22">
        <v>2</v>
      </c>
      <c r="O24" s="21">
        <v>2</v>
      </c>
      <c r="P24" s="12">
        <v>2</v>
      </c>
      <c r="Q24" s="21">
        <v>2</v>
      </c>
      <c r="R24" s="20">
        <v>2</v>
      </c>
      <c r="S24" s="4">
        <v>1</v>
      </c>
      <c r="T24" s="4">
        <v>1</v>
      </c>
      <c r="U24" s="5">
        <v>1</v>
      </c>
      <c r="V24" s="90" t="s">
        <v>312</v>
      </c>
    </row>
    <row r="25" spans="1:22" ht="15.75">
      <c r="A25" s="91" t="s">
        <v>311</v>
      </c>
      <c r="B25" s="3">
        <v>1</v>
      </c>
      <c r="C25" s="4">
        <v>1</v>
      </c>
      <c r="D25" s="4">
        <v>1</v>
      </c>
      <c r="E25" s="17">
        <v>3</v>
      </c>
      <c r="F25" s="4">
        <v>1</v>
      </c>
      <c r="G25" s="4">
        <v>1</v>
      </c>
      <c r="H25" s="4">
        <v>1</v>
      </c>
      <c r="I25" s="4">
        <v>1</v>
      </c>
      <c r="J25" s="4">
        <v>1</v>
      </c>
      <c r="K25" s="4">
        <v>1</v>
      </c>
      <c r="L25" s="4">
        <v>1</v>
      </c>
      <c r="M25" s="4">
        <v>1</v>
      </c>
      <c r="N25" s="4">
        <v>1</v>
      </c>
      <c r="O25" s="4">
        <v>1</v>
      </c>
      <c r="P25" s="17">
        <v>3</v>
      </c>
      <c r="Q25" s="4">
        <v>1</v>
      </c>
      <c r="R25" s="4">
        <v>1</v>
      </c>
      <c r="S25" s="4">
        <v>1</v>
      </c>
      <c r="T25" s="4">
        <v>1</v>
      </c>
      <c r="U25" s="5">
        <v>1</v>
      </c>
      <c r="V25" s="90" t="s">
        <v>312</v>
      </c>
    </row>
    <row r="26" spans="1:22" ht="15.75">
      <c r="A26" s="91" t="s">
        <v>311</v>
      </c>
      <c r="B26" s="3">
        <v>1</v>
      </c>
      <c r="C26" s="4">
        <v>1</v>
      </c>
      <c r="D26" s="4">
        <v>1</v>
      </c>
      <c r="E26" s="16">
        <v>3</v>
      </c>
      <c r="F26" s="4">
        <v>1</v>
      </c>
      <c r="G26" s="4">
        <v>1</v>
      </c>
      <c r="H26" s="4">
        <v>1</v>
      </c>
      <c r="I26" s="4">
        <v>1</v>
      </c>
      <c r="J26" s="4">
        <v>1</v>
      </c>
      <c r="K26" s="4">
        <v>1</v>
      </c>
      <c r="L26" s="4">
        <v>1</v>
      </c>
      <c r="M26" s="4">
        <v>1</v>
      </c>
      <c r="N26" s="4">
        <v>1</v>
      </c>
      <c r="O26" s="4">
        <v>1</v>
      </c>
      <c r="P26" s="16">
        <v>3</v>
      </c>
      <c r="Q26" s="4">
        <v>1</v>
      </c>
      <c r="R26" s="4">
        <v>1</v>
      </c>
      <c r="S26" s="4">
        <v>1</v>
      </c>
      <c r="T26" s="4">
        <v>1</v>
      </c>
      <c r="U26" s="5">
        <v>1</v>
      </c>
      <c r="V26" s="90" t="s">
        <v>312</v>
      </c>
    </row>
    <row r="27" spans="1:22">
      <c r="B27" s="8">
        <v>4</v>
      </c>
      <c r="C27" s="9">
        <v>4</v>
      </c>
      <c r="D27" s="9">
        <v>4</v>
      </c>
      <c r="E27" s="9">
        <v>4</v>
      </c>
      <c r="F27" s="9">
        <v>4</v>
      </c>
      <c r="G27" s="9">
        <v>4</v>
      </c>
      <c r="H27" s="9">
        <v>4</v>
      </c>
      <c r="I27" s="9">
        <v>4</v>
      </c>
      <c r="J27" s="9">
        <v>4</v>
      </c>
      <c r="K27" s="9">
        <v>4</v>
      </c>
      <c r="L27" s="9">
        <v>4</v>
      </c>
      <c r="M27" s="9">
        <v>4</v>
      </c>
      <c r="N27" s="9">
        <v>4</v>
      </c>
      <c r="O27" s="9">
        <v>4</v>
      </c>
      <c r="P27" s="9">
        <v>4</v>
      </c>
      <c r="Q27" s="9">
        <v>4</v>
      </c>
      <c r="R27" s="9">
        <v>4</v>
      </c>
      <c r="S27" s="9">
        <v>4</v>
      </c>
      <c r="T27" s="9">
        <v>4</v>
      </c>
      <c r="U27" s="10">
        <v>4</v>
      </c>
    </row>
    <row r="29" spans="1:22">
      <c r="E29" t="str" cm="1">
        <f t="array" aca="1" ref="E29" ca="1">CELL("adres",E20)</f>
        <v>$E$20</v>
      </c>
      <c r="P29" t="str" cm="1">
        <f t="array" aca="1" ref="P29" ca="1">CELL("adres",P20)</f>
        <v>$P$20</v>
      </c>
    </row>
    <row r="30" spans="1:22">
      <c r="D30" t="str" cm="1">
        <f t="array" aca="1" ref="D30" ca="1">CELL("adres",D21)</f>
        <v>$D$21</v>
      </c>
      <c r="E30" t="str" cm="1">
        <f t="array" aca="1" ref="E30" ca="1">CELL("adres",E21)</f>
        <v>$E$21</v>
      </c>
      <c r="F30" t="str" cm="1">
        <f t="array" aca="1" ref="F30" ca="1">CELL("adres",F21)</f>
        <v>$F$21</v>
      </c>
      <c r="O30" t="str" cm="1">
        <f t="array" aca="1" ref="O30" ca="1">CELL("adres",O21)</f>
        <v>$O$21</v>
      </c>
      <c r="P30" t="str" cm="1">
        <f t="array" aca="1" ref="P30" ca="1">CELL("adres",P21)</f>
        <v>$P$21</v>
      </c>
      <c r="Q30" t="str" cm="1">
        <f t="array" aca="1" ref="Q30" ca="1">CELL("adres",Q21)</f>
        <v>$Q$21</v>
      </c>
    </row>
    <row r="31" spans="1:22">
      <c r="D31" t="str" cm="1">
        <f t="array" aca="1" ref="D31" ca="1">CELL("adres",D22)</f>
        <v>$D$22</v>
      </c>
      <c r="E31" t="str" cm="1">
        <f t="array" aca="1" ref="E31" ca="1">CELL("adres",E22)</f>
        <v>$E$22</v>
      </c>
      <c r="F31" t="str" cm="1">
        <f t="array" aca="1" ref="F31" ca="1">CELL("adres",F22)</f>
        <v>$F$22</v>
      </c>
      <c r="O31" t="str" cm="1">
        <f t="array" aca="1" ref="O31" ca="1">CELL("adres",O22)</f>
        <v>$O$22</v>
      </c>
      <c r="P31" t="str" cm="1">
        <f t="array" aca="1" ref="P31" ca="1">CELL("adres",P22)</f>
        <v>$P$22</v>
      </c>
      <c r="Q31" t="str" cm="1">
        <f t="array" aca="1" ref="Q31" ca="1">CELL("adres",Q22)</f>
        <v>$Q$22</v>
      </c>
    </row>
    <row r="32" spans="1:22">
      <c r="C32" t="str" cm="1">
        <f t="array" aca="1" ref="C32" ca="1">CELL("adres",C22)</f>
        <v>$C$22</v>
      </c>
      <c r="D32" t="str" cm="1">
        <f t="array" aca="1" ref="D32" ca="1">CELL("adres",D23)</f>
        <v>$D$23</v>
      </c>
      <c r="E32" t="str" cm="1">
        <f t="array" aca="1" ref="E32" ca="1">CELL("adres",E23)</f>
        <v>$E$23</v>
      </c>
      <c r="F32" t="str" cm="1">
        <f t="array" aca="1" ref="F32" ca="1">CELL("adres",F23)</f>
        <v>$F$23</v>
      </c>
      <c r="G32" t="str" cm="1">
        <f t="array" aca="1" ref="G32" ca="1">CELL("adres",G23)</f>
        <v>$G$23</v>
      </c>
      <c r="N32" t="str" cm="1">
        <f t="array" aca="1" ref="N32" ca="1">CELL("adres",N22)</f>
        <v>$N$22</v>
      </c>
      <c r="O32" t="str" cm="1">
        <f t="array" aca="1" ref="O32" ca="1">CELL("adres",O23)</f>
        <v>$O$23</v>
      </c>
      <c r="P32" t="str" cm="1">
        <f t="array" aca="1" ref="P32" ca="1">CELL("adres",P23)</f>
        <v>$P$23</v>
      </c>
      <c r="Q32" t="str" cm="1">
        <f t="array" aca="1" ref="Q32" ca="1">CELL("adres",Q23)</f>
        <v>$Q$23</v>
      </c>
      <c r="R32" t="str" cm="1">
        <f t="array" aca="1" ref="R32" ca="1">CELL("adres",R23)</f>
        <v>$R$23</v>
      </c>
    </row>
    <row r="33" spans="3:18">
      <c r="C33" t="str" cm="1">
        <f t="array" aca="1" ref="C33" ca="1">CELL("adres",C23)</f>
        <v>$C$23</v>
      </c>
      <c r="D33" t="str" cm="1">
        <f t="array" aca="1" ref="D33" ca="1">CELL("adres",D24)</f>
        <v>$D$24</v>
      </c>
      <c r="E33" t="str" cm="1">
        <f t="array" aca="1" ref="E33" ca="1">CELL("adres",E24)</f>
        <v>$E$24</v>
      </c>
      <c r="F33" t="str" cm="1">
        <f t="array" aca="1" ref="F33" ca="1">CELL("adres",F24)</f>
        <v>$F$24</v>
      </c>
      <c r="G33" t="str" cm="1">
        <f t="array" aca="1" ref="G33" ca="1">CELL("adres",G24)</f>
        <v>$G$24</v>
      </c>
      <c r="N33" t="str" cm="1">
        <f t="array" aca="1" ref="N33" ca="1">CELL("adres",N23)</f>
        <v>$N$23</v>
      </c>
      <c r="O33" t="str" cm="1">
        <f t="array" aca="1" ref="O33" ca="1">CELL("adres",O24)</f>
        <v>$O$24</v>
      </c>
      <c r="P33" t="str" cm="1">
        <f t="array" aca="1" ref="P33" ca="1">CELL("adres",P24)</f>
        <v>$P$24</v>
      </c>
      <c r="Q33" t="str" cm="1">
        <f t="array" aca="1" ref="Q33" ca="1">CELL("adres",Q24)</f>
        <v>$Q$24</v>
      </c>
      <c r="R33" t="str" cm="1">
        <f t="array" aca="1" ref="R33" ca="1">CELL("adres",R24)</f>
        <v>$R$24</v>
      </c>
    </row>
    <row r="34" spans="3:18">
      <c r="E34" t="str" cm="1">
        <f t="array" aca="1" ref="E34" ca="1">CELL("adres",E25)</f>
        <v>$E$25</v>
      </c>
      <c r="P34" t="str" cm="1">
        <f t="array" aca="1" ref="P34" ca="1">CELL("adres",P25)</f>
        <v>$P$25</v>
      </c>
    </row>
    <row r="35" spans="3:18">
      <c r="E35" t="str" cm="1">
        <f t="array" aca="1" ref="E35" ca="1">CELL("adres",E26)</f>
        <v>$E$26</v>
      </c>
      <c r="P35" t="str" cm="1">
        <f t="array" aca="1" ref="P35" ca="1">CELL("adres",P26)</f>
        <v>$P$26</v>
      </c>
    </row>
    <row r="40" spans="3:18">
      <c r="C40" t="str" cm="1">
        <f t="array" aca="1" ref="C40:C77" ca="1">SUBSTITUTE(_xlfn.TOCOL(C29:R36,1), "$", "")</f>
        <v>E20</v>
      </c>
    </row>
    <row r="41" spans="3:18">
      <c r="C41" t="str">
        <f ca="1"/>
        <v>P20</v>
      </c>
    </row>
    <row r="42" spans="3:18">
      <c r="C42" t="str">
        <f ca="1"/>
        <v>D21</v>
      </c>
    </row>
    <row r="43" spans="3:18">
      <c r="C43" t="str">
        <f ca="1"/>
        <v>E21</v>
      </c>
    </row>
    <row r="44" spans="3:18">
      <c r="C44" t="str">
        <f ca="1"/>
        <v>F21</v>
      </c>
    </row>
    <row r="45" spans="3:18">
      <c r="C45" t="str">
        <f ca="1"/>
        <v>O21</v>
      </c>
    </row>
    <row r="46" spans="3:18">
      <c r="C46" t="str">
        <f ca="1"/>
        <v>P21</v>
      </c>
    </row>
    <row r="47" spans="3:18">
      <c r="C47" t="str">
        <f ca="1"/>
        <v>Q21</v>
      </c>
    </row>
    <row r="48" spans="3:18">
      <c r="C48" t="str">
        <f ca="1"/>
        <v>D22</v>
      </c>
    </row>
    <row r="49" spans="3:3">
      <c r="C49" t="str">
        <f ca="1"/>
        <v>E22</v>
      </c>
    </row>
    <row r="50" spans="3:3">
      <c r="C50" t="str">
        <f ca="1"/>
        <v>F22</v>
      </c>
    </row>
    <row r="51" spans="3:3">
      <c r="C51" t="str">
        <f ca="1"/>
        <v>O22</v>
      </c>
    </row>
    <row r="52" spans="3:3">
      <c r="C52" t="str">
        <f ca="1"/>
        <v>P22</v>
      </c>
    </row>
    <row r="53" spans="3:3">
      <c r="C53" t="str">
        <f ca="1"/>
        <v>Q22</v>
      </c>
    </row>
    <row r="54" spans="3:3">
      <c r="C54" t="str">
        <f ca="1"/>
        <v>C22</v>
      </c>
    </row>
    <row r="55" spans="3:3">
      <c r="C55" t="str">
        <f ca="1"/>
        <v>D23</v>
      </c>
    </row>
    <row r="56" spans="3:3">
      <c r="C56" t="str">
        <f ca="1"/>
        <v>E23</v>
      </c>
    </row>
    <row r="57" spans="3:3">
      <c r="C57" t="str">
        <f ca="1"/>
        <v>F23</v>
      </c>
    </row>
    <row r="58" spans="3:3">
      <c r="C58" t="str">
        <f ca="1"/>
        <v>G23</v>
      </c>
    </row>
    <row r="59" spans="3:3">
      <c r="C59" t="str">
        <f ca="1"/>
        <v>N22</v>
      </c>
    </row>
    <row r="60" spans="3:3">
      <c r="C60" t="str">
        <f ca="1"/>
        <v>O23</v>
      </c>
    </row>
    <row r="61" spans="3:3">
      <c r="C61" t="str">
        <f ca="1"/>
        <v>P23</v>
      </c>
    </row>
    <row r="62" spans="3:3">
      <c r="C62" t="str">
        <f ca="1"/>
        <v>Q23</v>
      </c>
    </row>
    <row r="63" spans="3:3">
      <c r="C63" t="str">
        <f ca="1"/>
        <v>R23</v>
      </c>
    </row>
    <row r="64" spans="3:3">
      <c r="C64" t="str">
        <f ca="1"/>
        <v>C23</v>
      </c>
    </row>
    <row r="65" spans="3:3">
      <c r="C65" t="str">
        <f ca="1"/>
        <v>D24</v>
      </c>
    </row>
    <row r="66" spans="3:3">
      <c r="C66" t="str">
        <f ca="1"/>
        <v>E24</v>
      </c>
    </row>
    <row r="67" spans="3:3">
      <c r="C67" t="str">
        <f ca="1"/>
        <v>F24</v>
      </c>
    </row>
    <row r="68" spans="3:3">
      <c r="C68" t="str">
        <f ca="1"/>
        <v>G24</v>
      </c>
    </row>
    <row r="69" spans="3:3">
      <c r="C69" t="str">
        <f ca="1"/>
        <v>N23</v>
      </c>
    </row>
    <row r="70" spans="3:3">
      <c r="C70" t="str">
        <f ca="1"/>
        <v>O24</v>
      </c>
    </row>
    <row r="71" spans="3:3">
      <c r="C71" t="str">
        <f ca="1"/>
        <v>P24</v>
      </c>
    </row>
    <row r="72" spans="3:3">
      <c r="C72" t="str">
        <f ca="1"/>
        <v>Q24</v>
      </c>
    </row>
    <row r="73" spans="3:3">
      <c r="C73" t="str">
        <f ca="1"/>
        <v>R24</v>
      </c>
    </row>
    <row r="74" spans="3:3">
      <c r="C74" t="str">
        <f ca="1"/>
        <v>E25</v>
      </c>
    </row>
    <row r="75" spans="3:3">
      <c r="C75" t="str">
        <f ca="1"/>
        <v>P25</v>
      </c>
    </row>
    <row r="76" spans="3:3">
      <c r="C76" t="str">
        <f ca="1"/>
        <v>E26</v>
      </c>
    </row>
    <row r="77" spans="3:3">
      <c r="C77" t="str">
        <f ca="1"/>
        <v>P26</v>
      </c>
    </row>
    <row r="1000" spans="648:648" ht="15.75">
      <c r="XX1000" s="148">
        <v>125713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2428B-8D73-4CD2-8BAD-C34618CE5C47}">
  <sheetPr codeName="Sheet3"/>
  <dimension ref="A1:Y147"/>
  <sheetViews>
    <sheetView showGridLines="0" tabSelected="1" zoomScale="70" zoomScaleNormal="70" workbookViewId="0">
      <selection activeCell="C4" sqref="C4"/>
    </sheetView>
  </sheetViews>
  <sheetFormatPr defaultColWidth="8.42578125" defaultRowHeight="23.25" customHeight="1"/>
  <cols>
    <col min="1" max="1" width="3.140625" style="23" customWidth="1"/>
    <col min="2" max="2" width="12.42578125" style="25" customWidth="1"/>
    <col min="3" max="3" width="54.42578125" style="124" customWidth="1"/>
    <col min="4" max="4" width="9.42578125" style="23" customWidth="1"/>
    <col min="5" max="25" width="5.42578125" style="23" customWidth="1"/>
    <col min="26" max="49" width="8.140625" style="24" customWidth="1"/>
    <col min="50" max="75" width="6.140625" style="24" customWidth="1"/>
    <col min="76" max="16384" width="8.42578125" style="24"/>
  </cols>
  <sheetData>
    <row r="1" spans="2:25" ht="23.25" customHeight="1" thickBot="1">
      <c r="B1" s="114" t="s">
        <v>318</v>
      </c>
      <c r="C1" s="115"/>
      <c r="G1" s="116"/>
      <c r="H1" s="116"/>
      <c r="I1" s="116"/>
      <c r="J1" s="116"/>
      <c r="K1" s="116"/>
      <c r="L1" s="116"/>
      <c r="M1" s="116"/>
      <c r="N1" s="117"/>
      <c r="O1" s="117"/>
      <c r="P1" s="24"/>
      <c r="Q1" s="24"/>
      <c r="R1" s="24"/>
      <c r="S1" s="24"/>
      <c r="T1" s="24"/>
      <c r="U1" s="24"/>
      <c r="V1" s="24"/>
      <c r="W1" s="24"/>
      <c r="X1" s="24"/>
      <c r="Y1" s="24"/>
    </row>
    <row r="2" spans="2:25" ht="23.25" customHeight="1" thickBot="1">
      <c r="B2" s="118" t="s">
        <v>14</v>
      </c>
      <c r="C2" s="119" t="s">
        <v>17</v>
      </c>
      <c r="D2" s="118" t="s">
        <v>16</v>
      </c>
      <c r="V2" s="24"/>
      <c r="W2" s="24"/>
      <c r="X2" s="24"/>
      <c r="Y2" s="24"/>
    </row>
    <row r="3" spans="2:25" ht="23.25" customHeight="1">
      <c r="B3" s="120" t="s">
        <v>18</v>
      </c>
      <c r="C3" s="121">
        <f>IF(ISBLANK(Case!E25),"",Case!E25)</f>
        <v>40</v>
      </c>
      <c r="D3" s="65">
        <v>30</v>
      </c>
      <c r="E3" s="24"/>
      <c r="F3" s="122"/>
      <c r="G3" s="24"/>
      <c r="H3" s="24"/>
      <c r="I3" s="24"/>
      <c r="J3" s="24"/>
      <c r="K3" s="24"/>
      <c r="L3" s="24"/>
      <c r="M3" s="24"/>
      <c r="N3" s="24"/>
      <c r="O3" s="24"/>
      <c r="P3" s="24"/>
      <c r="Q3" s="24"/>
      <c r="R3" s="24"/>
      <c r="S3" s="24"/>
      <c r="T3" s="24"/>
      <c r="U3" s="24"/>
      <c r="V3" s="24"/>
      <c r="W3" s="24"/>
      <c r="X3" s="24"/>
      <c r="Y3" s="24"/>
    </row>
    <row r="4" spans="2:25" ht="23.25" customHeight="1">
      <c r="B4" s="123" t="s">
        <v>21</v>
      </c>
      <c r="C4" s="121">
        <f>IF(ISBLANK(Case!E26),"",Case!E26)</f>
        <v>11</v>
      </c>
      <c r="D4" s="68">
        <v>40</v>
      </c>
      <c r="E4" s="24"/>
      <c r="F4" s="122"/>
      <c r="G4" s="24"/>
      <c r="H4" s="24"/>
      <c r="I4" s="24"/>
      <c r="J4" s="24"/>
      <c r="K4" s="24"/>
      <c r="L4" s="24"/>
      <c r="M4" s="24"/>
      <c r="N4" s="24"/>
      <c r="O4" s="24"/>
      <c r="P4" s="24"/>
      <c r="Q4" s="24"/>
      <c r="R4" s="24"/>
      <c r="S4" s="24"/>
      <c r="T4" s="24"/>
      <c r="U4" s="24"/>
      <c r="V4" s="24"/>
      <c r="W4" s="24"/>
      <c r="X4" s="24"/>
      <c r="Y4" s="24"/>
    </row>
    <row r="5" spans="2:25" ht="23.25" customHeight="1">
      <c r="B5" s="123" t="s">
        <v>23</v>
      </c>
      <c r="C5" s="121" t="str">
        <f>IF(ISBLANK(Case!E27),"",Case!E27)</f>
        <v>K17</v>
      </c>
      <c r="D5" s="68">
        <v>50</v>
      </c>
      <c r="E5" s="24"/>
      <c r="F5" s="122"/>
      <c r="G5" s="24"/>
      <c r="H5" s="24"/>
      <c r="I5" s="24"/>
      <c r="J5" s="24"/>
      <c r="K5" s="24"/>
      <c r="L5" s="24"/>
      <c r="M5" s="24"/>
      <c r="N5" s="24"/>
      <c r="O5" s="24"/>
      <c r="P5" s="24"/>
      <c r="Q5" s="24"/>
      <c r="R5" s="24"/>
      <c r="S5" s="24"/>
      <c r="T5" s="24"/>
      <c r="U5" s="24"/>
      <c r="V5" s="24"/>
      <c r="W5" s="24"/>
      <c r="X5" s="24"/>
      <c r="Y5" s="24"/>
    </row>
    <row r="6" spans="2:25" ht="23.25" customHeight="1">
      <c r="B6" s="123" t="s">
        <v>25</v>
      </c>
      <c r="C6" s="121">
        <f>IF(ISBLANK(Case!E28),"",Case!E28)</f>
        <v>21</v>
      </c>
      <c r="D6" s="68">
        <v>60</v>
      </c>
      <c r="E6" s="24"/>
      <c r="F6" s="122"/>
      <c r="G6" s="24"/>
      <c r="H6" s="24"/>
      <c r="I6" s="24"/>
      <c r="J6" s="24"/>
      <c r="K6" s="24"/>
      <c r="L6" s="24"/>
      <c r="M6" s="24"/>
      <c r="N6" s="24"/>
      <c r="O6" s="24"/>
      <c r="P6" s="24"/>
      <c r="Q6" s="24"/>
      <c r="R6" s="24"/>
      <c r="S6" s="24"/>
      <c r="T6" s="24"/>
      <c r="U6" s="24"/>
      <c r="V6" s="24"/>
      <c r="W6" s="24"/>
      <c r="X6" s="24"/>
      <c r="Y6" s="24"/>
    </row>
    <row r="7" spans="2:25" ht="23.25" customHeight="1">
      <c r="B7" s="123" t="s">
        <v>27</v>
      </c>
      <c r="C7" s="121">
        <f>IF(ISBLANK(Case!E29),"",Case!E29)</f>
        <v>0</v>
      </c>
      <c r="D7" s="68">
        <v>70</v>
      </c>
      <c r="E7" s="24"/>
      <c r="F7" s="122"/>
      <c r="G7" s="24"/>
      <c r="H7" s="24"/>
      <c r="I7" s="24"/>
      <c r="J7" s="24"/>
      <c r="K7" s="24"/>
      <c r="L7" s="24"/>
      <c r="M7" s="24"/>
      <c r="N7" s="24"/>
      <c r="O7" s="24"/>
      <c r="P7" s="24"/>
      <c r="Q7" s="24"/>
      <c r="R7" s="24"/>
      <c r="S7" s="24"/>
      <c r="T7" s="24"/>
      <c r="U7" s="24"/>
      <c r="V7" s="24"/>
      <c r="W7" s="24"/>
      <c r="X7" s="24"/>
      <c r="Y7" s="24"/>
    </row>
    <row r="8" spans="2:25" ht="23.25" customHeight="1">
      <c r="B8" s="32">
        <v>1</v>
      </c>
      <c r="C8" s="121" t="str">
        <f ca="1">IF(ISBLANK(Case!E52),"",Case!E52)</f>
        <v>K10</v>
      </c>
      <c r="D8" s="120">
        <v>4</v>
      </c>
      <c r="E8" s="24"/>
      <c r="F8" s="122"/>
      <c r="G8" s="24"/>
      <c r="H8" s="24"/>
      <c r="I8" s="24"/>
      <c r="J8" s="24"/>
      <c r="K8" s="24"/>
      <c r="L8" s="24"/>
      <c r="M8" s="24"/>
      <c r="N8" s="24"/>
      <c r="O8" s="24"/>
      <c r="P8" s="24"/>
      <c r="Q8" s="24"/>
      <c r="R8" s="24"/>
      <c r="S8" s="24"/>
      <c r="T8" s="24"/>
      <c r="U8" s="24"/>
      <c r="V8" s="24"/>
      <c r="W8" s="24"/>
      <c r="X8" s="24"/>
      <c r="Y8" s="24"/>
    </row>
    <row r="9" spans="2:25" ht="23.25" customHeight="1">
      <c r="B9" s="32">
        <f t="shared" ref="B9:B72" si="0">B8+1</f>
        <v>2</v>
      </c>
      <c r="C9" s="121" t="str">
        <f ca="1">IF(ISBLANK(Case!E53),"",Case!E53)</f>
        <v>S25</v>
      </c>
      <c r="D9" s="120">
        <v>4</v>
      </c>
      <c r="E9" s="24"/>
      <c r="F9" s="122"/>
      <c r="G9" s="24"/>
      <c r="H9" s="24"/>
      <c r="I9" s="24"/>
      <c r="J9" s="24"/>
      <c r="K9" s="24"/>
      <c r="L9" s="24"/>
      <c r="M9" s="24"/>
      <c r="N9" s="24"/>
      <c r="O9" s="24"/>
      <c r="P9" s="24"/>
      <c r="Q9" s="24"/>
      <c r="R9" s="24"/>
      <c r="S9" s="24"/>
      <c r="T9" s="24"/>
      <c r="U9" s="24"/>
      <c r="V9" s="24"/>
      <c r="W9" s="24"/>
      <c r="X9" s="24"/>
      <c r="Y9" s="24"/>
    </row>
    <row r="10" spans="2:25" ht="23.25" customHeight="1">
      <c r="B10" s="32">
        <f t="shared" si="0"/>
        <v>3</v>
      </c>
      <c r="C10" s="121" t="str">
        <f ca="1">IF(ISBLANK(Case!E54),"",Case!E54)</f>
        <v>E4</v>
      </c>
      <c r="D10" s="120">
        <v>4</v>
      </c>
      <c r="E10" s="24"/>
      <c r="F10" s="122"/>
      <c r="G10" s="24"/>
      <c r="H10" s="24"/>
      <c r="I10" s="24"/>
      <c r="J10" s="24"/>
      <c r="K10" s="24"/>
      <c r="L10" s="24"/>
      <c r="M10" s="24"/>
      <c r="N10" s="24"/>
      <c r="O10" s="24"/>
      <c r="P10" s="24"/>
      <c r="Q10" s="24"/>
      <c r="R10" s="24"/>
      <c r="S10" s="24"/>
      <c r="T10" s="24"/>
      <c r="U10" s="24"/>
      <c r="V10" s="24"/>
      <c r="W10" s="24"/>
      <c r="X10" s="24"/>
      <c r="Y10" s="24"/>
    </row>
    <row r="11" spans="2:25" ht="23.25" customHeight="1">
      <c r="B11" s="32">
        <f t="shared" si="0"/>
        <v>4</v>
      </c>
      <c r="C11" s="121" t="str">
        <f ca="1">IF(ISBLANK(Case!E55),"",Case!E55)</f>
        <v>C19</v>
      </c>
      <c r="D11" s="120">
        <v>4</v>
      </c>
      <c r="E11" s="24"/>
      <c r="F11" s="122"/>
      <c r="G11" s="24"/>
      <c r="H11" s="24"/>
      <c r="I11" s="24"/>
      <c r="J11" s="24"/>
      <c r="K11" s="24"/>
      <c r="L11" s="24"/>
      <c r="M11" s="24"/>
      <c r="N11" s="24"/>
      <c r="O11" s="24"/>
      <c r="P11" s="24"/>
      <c r="Q11" s="24"/>
      <c r="R11" s="24"/>
      <c r="S11" s="24"/>
      <c r="T11" s="24"/>
      <c r="U11" s="24"/>
      <c r="V11" s="24"/>
      <c r="W11" s="24"/>
      <c r="X11" s="24"/>
      <c r="Y11" s="24"/>
    </row>
    <row r="12" spans="2:25" ht="23.25" customHeight="1">
      <c r="B12" s="32">
        <f t="shared" si="0"/>
        <v>5</v>
      </c>
      <c r="C12" s="121" t="str">
        <f ca="1">IF(ISBLANK(Case!E56),"",Case!E56)</f>
        <v>P26</v>
      </c>
      <c r="D12" s="120">
        <v>4</v>
      </c>
      <c r="E12" s="24"/>
      <c r="F12" s="122"/>
      <c r="G12" s="24"/>
      <c r="H12" s="24"/>
      <c r="I12" s="24"/>
      <c r="J12" s="24"/>
      <c r="K12" s="24"/>
      <c r="L12" s="24"/>
      <c r="M12" s="24"/>
      <c r="N12" s="24"/>
      <c r="O12" s="24"/>
      <c r="P12" s="24"/>
      <c r="Q12" s="24"/>
      <c r="R12" s="24"/>
      <c r="S12" s="24"/>
      <c r="T12" s="24"/>
      <c r="U12" s="24"/>
      <c r="V12" s="24"/>
      <c r="W12" s="24"/>
      <c r="X12" s="24"/>
      <c r="Y12" s="24"/>
    </row>
    <row r="13" spans="2:25" ht="23.25" customHeight="1">
      <c r="B13" s="32">
        <f t="shared" si="0"/>
        <v>6</v>
      </c>
      <c r="C13" s="121" t="str">
        <f ca="1">IF(ISBLANK(Case!E57),"",Case!E57)</f>
        <v>C3</v>
      </c>
      <c r="D13" s="120">
        <v>4</v>
      </c>
      <c r="E13" s="24"/>
      <c r="F13" s="122"/>
      <c r="G13" s="24"/>
      <c r="H13" s="24"/>
      <c r="I13" s="24"/>
      <c r="J13" s="24"/>
      <c r="K13" s="24"/>
      <c r="L13" s="24"/>
      <c r="M13" s="24"/>
      <c r="N13" s="24"/>
      <c r="O13" s="24"/>
      <c r="P13" s="24"/>
      <c r="Q13" s="24"/>
      <c r="R13" s="24"/>
      <c r="S13" s="24"/>
      <c r="T13" s="24"/>
      <c r="U13" s="24"/>
      <c r="V13" s="24"/>
      <c r="W13" s="24"/>
      <c r="X13" s="24"/>
      <c r="Y13" s="24"/>
    </row>
    <row r="14" spans="2:25" ht="23.25" customHeight="1">
      <c r="B14" s="32">
        <f t="shared" si="0"/>
        <v>7</v>
      </c>
      <c r="C14" s="121" t="str">
        <f ca="1">IF(ISBLANK(Case!E58),"",Case!E58)</f>
        <v>Q17</v>
      </c>
      <c r="D14" s="120">
        <v>4</v>
      </c>
      <c r="E14" s="24"/>
      <c r="F14" s="122"/>
      <c r="G14" s="24"/>
      <c r="H14" s="24"/>
      <c r="I14" s="24"/>
      <c r="J14" s="24"/>
      <c r="K14" s="24"/>
      <c r="L14" s="24"/>
      <c r="M14" s="24"/>
      <c r="N14" s="24"/>
      <c r="O14" s="24"/>
      <c r="P14" s="24"/>
      <c r="Q14" s="24"/>
      <c r="R14" s="24"/>
      <c r="S14" s="24"/>
      <c r="T14" s="24"/>
      <c r="U14" s="24"/>
      <c r="V14" s="24"/>
      <c r="W14" s="24"/>
      <c r="X14" s="24"/>
      <c r="Y14" s="24"/>
    </row>
    <row r="15" spans="2:25" ht="23.25" customHeight="1">
      <c r="B15" s="32">
        <f t="shared" si="0"/>
        <v>8</v>
      </c>
      <c r="C15" s="121" t="str">
        <f ca="1">IF(ISBLANK(Case!E59),"",Case!E59)</f>
        <v>C4</v>
      </c>
      <c r="D15" s="120">
        <v>4</v>
      </c>
      <c r="E15" s="24"/>
      <c r="F15" s="122"/>
      <c r="G15" s="24"/>
      <c r="H15" s="24"/>
      <c r="I15" s="24"/>
      <c r="J15" s="24"/>
      <c r="K15" s="24"/>
      <c r="L15" s="24"/>
      <c r="M15" s="24"/>
      <c r="N15" s="24"/>
      <c r="O15" s="24"/>
      <c r="P15" s="24"/>
      <c r="Q15" s="24"/>
      <c r="R15" s="24"/>
      <c r="S15" s="24"/>
      <c r="T15" s="24"/>
      <c r="U15" s="24"/>
      <c r="V15" s="24"/>
      <c r="W15" s="24"/>
      <c r="X15" s="24"/>
      <c r="Y15" s="24"/>
    </row>
    <row r="16" spans="2:25" ht="23.25" customHeight="1">
      <c r="B16" s="32">
        <f t="shared" si="0"/>
        <v>9</v>
      </c>
      <c r="C16" s="121" t="str">
        <f ca="1">IF(ISBLANK(Case!E60),"",Case!E60)</f>
        <v>L3</v>
      </c>
      <c r="D16" s="120">
        <v>4</v>
      </c>
      <c r="E16" s="24"/>
      <c r="F16" s="122"/>
      <c r="G16" s="24"/>
      <c r="H16" s="24"/>
      <c r="I16" s="24"/>
      <c r="J16" s="24"/>
      <c r="K16" s="24"/>
      <c r="L16" s="24"/>
      <c r="M16" s="24"/>
      <c r="N16" s="24"/>
      <c r="O16" s="24"/>
      <c r="P16" s="24"/>
      <c r="Q16" s="24"/>
      <c r="R16" s="24"/>
      <c r="S16" s="24"/>
      <c r="T16" s="24"/>
      <c r="U16" s="24"/>
      <c r="V16" s="24"/>
      <c r="W16" s="24"/>
      <c r="X16" s="24"/>
      <c r="Y16" s="24"/>
    </row>
    <row r="17" spans="2:25" ht="23.25" customHeight="1">
      <c r="B17" s="32">
        <f t="shared" si="0"/>
        <v>10</v>
      </c>
      <c r="C17" s="121" t="str">
        <f ca="1">IF(ISBLANK(Case!E61),"",Case!E61)</f>
        <v>O16</v>
      </c>
      <c r="D17" s="120">
        <v>4</v>
      </c>
      <c r="E17" s="24"/>
      <c r="F17" s="122"/>
      <c r="G17" s="24"/>
      <c r="H17" s="24"/>
      <c r="I17" s="24"/>
      <c r="J17" s="24"/>
      <c r="K17" s="24"/>
      <c r="L17" s="24"/>
      <c r="M17" s="24"/>
      <c r="N17" s="24"/>
      <c r="O17" s="24"/>
      <c r="P17" s="24"/>
      <c r="Q17" s="24"/>
      <c r="R17" s="24"/>
      <c r="S17" s="24"/>
      <c r="T17" s="24"/>
      <c r="U17" s="24"/>
      <c r="V17" s="24"/>
      <c r="W17" s="24"/>
      <c r="X17" s="24"/>
      <c r="Y17" s="24"/>
    </row>
    <row r="18" spans="2:25" ht="23.25" customHeight="1">
      <c r="B18" s="32">
        <f t="shared" si="0"/>
        <v>11</v>
      </c>
      <c r="C18" s="121" t="str">
        <f ca="1">IF(ISBLANK(Case!E62),"",Case!E62)</f>
        <v>D7</v>
      </c>
      <c r="D18" s="120">
        <v>4</v>
      </c>
      <c r="E18" s="24"/>
      <c r="F18" s="122"/>
      <c r="G18" s="24"/>
      <c r="H18" s="24"/>
      <c r="I18" s="24"/>
      <c r="J18" s="24"/>
      <c r="K18" s="24"/>
      <c r="L18" s="24"/>
      <c r="M18" s="24"/>
      <c r="N18" s="24"/>
      <c r="O18" s="24"/>
      <c r="P18" s="24"/>
      <c r="Q18" s="24"/>
      <c r="R18" s="24"/>
      <c r="S18" s="24"/>
      <c r="T18" s="24"/>
      <c r="U18" s="24"/>
      <c r="V18" s="24"/>
      <c r="W18" s="24"/>
      <c r="X18" s="24"/>
      <c r="Y18" s="24"/>
    </row>
    <row r="19" spans="2:25" ht="23.25" customHeight="1">
      <c r="B19" s="32">
        <f t="shared" si="0"/>
        <v>12</v>
      </c>
      <c r="C19" s="121" t="str">
        <f ca="1">IF(ISBLANK(Case!E63),"",Case!E63)</f>
        <v>I21</v>
      </c>
      <c r="D19" s="120">
        <v>4</v>
      </c>
      <c r="E19" s="24"/>
      <c r="F19" s="122"/>
      <c r="G19" s="24"/>
      <c r="H19" s="24"/>
      <c r="I19" s="24"/>
      <c r="J19" s="24"/>
      <c r="K19" s="24"/>
      <c r="L19" s="24"/>
      <c r="M19" s="24"/>
      <c r="N19" s="24"/>
      <c r="O19" s="24"/>
      <c r="P19" s="24"/>
      <c r="Q19" s="24"/>
      <c r="R19" s="24"/>
      <c r="S19" s="24"/>
      <c r="T19" s="24"/>
      <c r="U19" s="24"/>
      <c r="V19" s="24"/>
      <c r="W19" s="24"/>
      <c r="X19" s="24"/>
      <c r="Y19" s="24"/>
    </row>
    <row r="20" spans="2:25" ht="23.25" customHeight="1">
      <c r="B20" s="32">
        <f t="shared" si="0"/>
        <v>13</v>
      </c>
      <c r="C20" s="121" t="str">
        <f ca="1">IF(ISBLANK(Case!E64),"",Case!E64)</f>
        <v>D8</v>
      </c>
      <c r="D20" s="120">
        <v>4</v>
      </c>
      <c r="E20" s="24"/>
      <c r="F20" s="122"/>
      <c r="G20" s="24"/>
      <c r="H20" s="24"/>
      <c r="I20" s="24"/>
      <c r="J20" s="24"/>
      <c r="K20" s="24"/>
      <c r="L20" s="24"/>
      <c r="M20" s="24"/>
      <c r="N20" s="24"/>
      <c r="O20" s="24"/>
      <c r="P20" s="24"/>
      <c r="Q20" s="24"/>
      <c r="R20" s="24"/>
      <c r="S20" s="24"/>
      <c r="T20" s="24"/>
      <c r="U20" s="24"/>
      <c r="V20" s="24"/>
      <c r="W20" s="24"/>
      <c r="X20" s="24"/>
      <c r="Y20" s="24"/>
    </row>
    <row r="21" spans="2:25" ht="23.25" customHeight="1">
      <c r="B21" s="32">
        <f t="shared" si="0"/>
        <v>14</v>
      </c>
      <c r="C21" s="121" t="str">
        <f ca="1">IF(ISBLANK(Case!E65),"",Case!E65)</f>
        <v>Q6</v>
      </c>
      <c r="D21" s="120">
        <v>4</v>
      </c>
      <c r="E21" s="24"/>
      <c r="F21" s="122"/>
      <c r="G21" s="24"/>
      <c r="H21" s="24"/>
      <c r="I21" s="24"/>
      <c r="J21" s="24"/>
      <c r="K21" s="24"/>
      <c r="L21" s="24"/>
      <c r="M21" s="24"/>
      <c r="N21" s="24"/>
      <c r="O21" s="24"/>
      <c r="P21" s="24"/>
      <c r="Q21" s="24"/>
      <c r="R21" s="24"/>
      <c r="S21" s="24"/>
      <c r="T21" s="24"/>
      <c r="U21" s="24"/>
      <c r="V21" s="24"/>
      <c r="W21" s="24"/>
      <c r="X21" s="24"/>
      <c r="Y21" s="24"/>
    </row>
    <row r="22" spans="2:25" ht="23.25" customHeight="1">
      <c r="B22" s="32">
        <f t="shared" si="0"/>
        <v>15</v>
      </c>
      <c r="C22" s="121" t="str">
        <f ca="1">IF(ISBLANK(Case!E66),"",Case!E66)</f>
        <v>M22</v>
      </c>
      <c r="D22" s="120">
        <v>4</v>
      </c>
      <c r="E22" s="24"/>
      <c r="F22" s="122"/>
      <c r="G22" s="24"/>
      <c r="H22" s="24"/>
      <c r="I22" s="24"/>
      <c r="J22" s="24"/>
      <c r="K22" s="24"/>
      <c r="L22" s="24"/>
      <c r="M22" s="24"/>
      <c r="N22" s="24"/>
      <c r="O22" s="24"/>
      <c r="P22" s="24"/>
      <c r="Q22" s="24"/>
      <c r="R22" s="24"/>
      <c r="S22" s="24"/>
      <c r="T22" s="24"/>
      <c r="U22" s="24"/>
      <c r="V22" s="24"/>
      <c r="W22" s="24"/>
      <c r="X22" s="24"/>
      <c r="Y22" s="24"/>
    </row>
    <row r="23" spans="2:25" ht="23.25" customHeight="1">
      <c r="B23" s="32">
        <f t="shared" si="0"/>
        <v>16</v>
      </c>
      <c r="C23" s="121" t="str">
        <f ca="1">IF(ISBLANK(Case!E67),"",Case!E67)</f>
        <v>U9</v>
      </c>
      <c r="D23" s="120">
        <v>4</v>
      </c>
      <c r="E23" s="24"/>
      <c r="F23" s="122"/>
      <c r="G23" s="24"/>
      <c r="H23" s="24"/>
      <c r="I23" s="24"/>
      <c r="J23" s="24"/>
      <c r="K23" s="24"/>
      <c r="L23" s="24"/>
      <c r="M23" s="24"/>
      <c r="N23" s="24"/>
      <c r="O23" s="24"/>
      <c r="P23" s="24"/>
      <c r="Q23" s="24"/>
      <c r="R23" s="24"/>
      <c r="S23" s="24"/>
      <c r="T23" s="24"/>
      <c r="U23" s="24"/>
      <c r="V23" s="24"/>
      <c r="W23" s="24"/>
      <c r="X23" s="24"/>
      <c r="Y23" s="24"/>
    </row>
    <row r="24" spans="2:25" ht="23.25" customHeight="1">
      <c r="B24" s="32">
        <f t="shared" si="0"/>
        <v>17</v>
      </c>
      <c r="C24" s="121" t="str">
        <f ca="1">IF(ISBLANK(Case!E68),"",Case!E68)</f>
        <v>C12</v>
      </c>
      <c r="D24" s="120">
        <v>4</v>
      </c>
      <c r="E24" s="24"/>
      <c r="F24" s="122"/>
      <c r="G24" s="24"/>
      <c r="H24" s="24"/>
      <c r="I24" s="24"/>
      <c r="J24" s="24"/>
      <c r="K24" s="24"/>
      <c r="L24" s="24"/>
      <c r="M24" s="24"/>
      <c r="N24" s="24"/>
      <c r="O24" s="24"/>
      <c r="P24" s="24"/>
      <c r="Q24" s="24"/>
      <c r="R24" s="24"/>
      <c r="S24" s="24"/>
      <c r="T24" s="24"/>
      <c r="U24" s="24"/>
      <c r="V24" s="24"/>
      <c r="W24" s="24"/>
      <c r="X24" s="24"/>
      <c r="Y24" s="24"/>
    </row>
    <row r="25" spans="2:25" ht="23.25" customHeight="1">
      <c r="B25" s="32">
        <f t="shared" si="0"/>
        <v>18</v>
      </c>
      <c r="C25" s="121" t="str">
        <f ca="1">IF(ISBLANK(Case!E69),"",Case!E69)</f>
        <v>T25</v>
      </c>
      <c r="D25" s="120">
        <v>4</v>
      </c>
      <c r="E25" s="24"/>
      <c r="F25" s="122"/>
      <c r="G25" s="24"/>
      <c r="H25" s="24"/>
      <c r="I25" s="24"/>
      <c r="J25" s="24"/>
      <c r="K25" s="24"/>
      <c r="L25" s="24"/>
      <c r="M25" s="24"/>
      <c r="N25" s="24"/>
      <c r="O25" s="24"/>
      <c r="P25" s="24"/>
      <c r="Q25" s="24"/>
      <c r="R25" s="24"/>
      <c r="S25" s="24"/>
      <c r="T25" s="24"/>
      <c r="U25" s="24"/>
      <c r="V25" s="24"/>
      <c r="W25" s="24"/>
      <c r="X25" s="24"/>
      <c r="Y25" s="24"/>
    </row>
    <row r="26" spans="2:25" ht="23.25" customHeight="1">
      <c r="B26" s="32">
        <f t="shared" si="0"/>
        <v>19</v>
      </c>
      <c r="C26" s="121" t="str">
        <f ca="1">IF(ISBLANK(Case!E70),"",Case!E70)</f>
        <v>C20</v>
      </c>
      <c r="D26" s="120">
        <v>4</v>
      </c>
      <c r="E26" s="24"/>
      <c r="F26" s="122"/>
      <c r="G26" s="24"/>
      <c r="H26" s="24"/>
      <c r="I26" s="24"/>
      <c r="J26" s="24"/>
      <c r="K26" s="24"/>
      <c r="L26" s="24"/>
      <c r="M26" s="24"/>
      <c r="N26" s="24"/>
      <c r="O26" s="24"/>
      <c r="P26" s="24"/>
      <c r="Q26" s="24"/>
      <c r="R26" s="24"/>
      <c r="S26" s="24"/>
      <c r="T26" s="24"/>
      <c r="U26" s="24"/>
      <c r="V26" s="24"/>
      <c r="W26" s="24"/>
      <c r="X26" s="24"/>
      <c r="Y26" s="24"/>
    </row>
    <row r="27" spans="2:25" ht="23.25" customHeight="1">
      <c r="B27" s="32">
        <f t="shared" si="0"/>
        <v>20</v>
      </c>
      <c r="C27" s="121" t="str">
        <f ca="1">IF(ISBLANK(Case!E71),"",Case!E71)</f>
        <v>N13</v>
      </c>
      <c r="D27" s="120">
        <v>4</v>
      </c>
      <c r="E27" s="24"/>
      <c r="F27" s="122"/>
      <c r="G27" s="24"/>
      <c r="H27" s="24"/>
      <c r="I27" s="24"/>
      <c r="J27" s="24"/>
      <c r="K27" s="24"/>
      <c r="L27" s="24"/>
      <c r="M27" s="24"/>
      <c r="N27" s="24"/>
      <c r="O27" s="24"/>
      <c r="P27" s="24"/>
      <c r="Q27" s="24"/>
      <c r="R27" s="24"/>
      <c r="S27" s="24"/>
      <c r="T27" s="24"/>
      <c r="U27" s="24"/>
      <c r="V27" s="24"/>
      <c r="W27" s="24"/>
      <c r="X27" s="24"/>
      <c r="Y27" s="24"/>
    </row>
    <row r="28" spans="2:25" ht="23.25" customHeight="1">
      <c r="B28" s="32">
        <f t="shared" si="0"/>
        <v>21</v>
      </c>
      <c r="C28" s="121" t="str">
        <f ca="1">IF(ISBLANK(Case!E92),"",Case!E92)</f>
        <v>D12</v>
      </c>
      <c r="D28" s="120">
        <v>4</v>
      </c>
      <c r="E28" s="24"/>
      <c r="F28" s="122"/>
    </row>
    <row r="29" spans="2:25" ht="23.25" customHeight="1">
      <c r="B29" s="32">
        <f t="shared" si="0"/>
        <v>22</v>
      </c>
      <c r="C29" s="121" t="str">
        <f ca="1">IF(ISBLANK(Case!E93),"",Case!E93)</f>
        <v>G16</v>
      </c>
      <c r="D29" s="120">
        <v>4</v>
      </c>
      <c r="E29" s="24"/>
      <c r="F29" s="122"/>
    </row>
    <row r="30" spans="2:25" ht="23.25" customHeight="1">
      <c r="B30" s="32">
        <f t="shared" si="0"/>
        <v>23</v>
      </c>
      <c r="C30" s="121" t="str">
        <f ca="1">IF(ISBLANK(Case!E94),"",Case!E94)</f>
        <v>O21</v>
      </c>
      <c r="D30" s="120">
        <v>4</v>
      </c>
      <c r="E30" s="24"/>
      <c r="F30" s="122"/>
    </row>
    <row r="31" spans="2:25" ht="23.25" customHeight="1">
      <c r="B31" s="32">
        <f t="shared" si="0"/>
        <v>24</v>
      </c>
      <c r="C31" s="121" t="str">
        <f ca="1">IF(ISBLANK(Case!E95),"",Case!E95)</f>
        <v>L6</v>
      </c>
      <c r="D31" s="120">
        <v>4</v>
      </c>
      <c r="E31" s="24"/>
      <c r="F31" s="122"/>
    </row>
    <row r="32" spans="2:25" s="23" customFormat="1" ht="23.25" customHeight="1">
      <c r="B32" s="32">
        <f t="shared" si="0"/>
        <v>25</v>
      </c>
      <c r="C32" s="121" t="str">
        <f ca="1">IF(ISBLANK(Case!E96),"",Case!E96)</f>
        <v>Q26</v>
      </c>
      <c r="D32" s="120">
        <v>4</v>
      </c>
      <c r="E32" s="24"/>
      <c r="F32" s="122"/>
    </row>
    <row r="33" spans="2:6" s="23" customFormat="1" ht="23.25" customHeight="1">
      <c r="B33" s="32">
        <f t="shared" si="0"/>
        <v>26</v>
      </c>
      <c r="C33" s="121" t="str">
        <f ca="1">IF(ISBLANK(Case!E97),"",Case!E97)</f>
        <v>F25</v>
      </c>
      <c r="D33" s="120">
        <v>4</v>
      </c>
      <c r="E33" s="24"/>
      <c r="F33" s="122"/>
    </row>
    <row r="34" spans="2:6" s="23" customFormat="1" ht="23.25" customHeight="1">
      <c r="B34" s="32">
        <f t="shared" si="0"/>
        <v>27</v>
      </c>
      <c r="C34" s="121" t="str">
        <f ca="1">IF(ISBLANK(Case!E98),"",Case!E98)</f>
        <v>M26</v>
      </c>
      <c r="D34" s="120">
        <v>4</v>
      </c>
      <c r="E34" s="24"/>
      <c r="F34" s="122"/>
    </row>
    <row r="35" spans="2:6" s="23" customFormat="1" ht="23.25" customHeight="1">
      <c r="B35" s="32">
        <f t="shared" si="0"/>
        <v>28</v>
      </c>
      <c r="C35" s="121" t="str">
        <f ca="1">IF(ISBLANK(Case!E99),"",Case!E99)</f>
        <v>F25</v>
      </c>
      <c r="D35" s="120">
        <v>4</v>
      </c>
      <c r="E35" s="24"/>
      <c r="F35" s="122"/>
    </row>
    <row r="36" spans="2:6" s="23" customFormat="1" ht="23.25" customHeight="1">
      <c r="B36" s="32">
        <f t="shared" si="0"/>
        <v>29</v>
      </c>
      <c r="C36" s="121" t="str">
        <f ca="1">IF(ISBLANK(Case!E100),"",Case!E100)</f>
        <v>B17</v>
      </c>
      <c r="D36" s="120">
        <v>4</v>
      </c>
      <c r="E36" s="24"/>
      <c r="F36" s="122"/>
    </row>
    <row r="37" spans="2:6" s="23" customFormat="1" ht="23.25" customHeight="1">
      <c r="B37" s="32">
        <f t="shared" si="0"/>
        <v>30</v>
      </c>
      <c r="C37" s="121" t="str">
        <f ca="1">IF(ISBLANK(Case!E101),"",Case!E101)</f>
        <v>D8</v>
      </c>
      <c r="D37" s="120">
        <v>4</v>
      </c>
      <c r="E37" s="24"/>
      <c r="F37" s="122"/>
    </row>
    <row r="38" spans="2:6" s="23" customFormat="1" ht="23.25" customHeight="1">
      <c r="B38" s="32">
        <f t="shared" si="0"/>
        <v>31</v>
      </c>
      <c r="C38" s="121" t="str">
        <f ca="1">IF(ISBLANK(Case!E102),"",Case!E102)</f>
        <v>N9</v>
      </c>
      <c r="D38" s="120">
        <v>4</v>
      </c>
      <c r="E38" s="24"/>
      <c r="F38" s="122"/>
    </row>
    <row r="39" spans="2:6" s="23" customFormat="1" ht="23.25" customHeight="1">
      <c r="B39" s="32">
        <f t="shared" si="0"/>
        <v>32</v>
      </c>
      <c r="C39" s="121" t="str">
        <f ca="1">IF(ISBLANK(Case!E103),"",Case!E103)</f>
        <v>R8</v>
      </c>
      <c r="D39" s="120">
        <v>4</v>
      </c>
      <c r="E39" s="24"/>
      <c r="F39" s="122"/>
    </row>
    <row r="40" spans="2:6" s="23" customFormat="1" ht="23.25" customHeight="1">
      <c r="B40" s="32">
        <f t="shared" si="0"/>
        <v>33</v>
      </c>
      <c r="C40" s="121" t="str">
        <f ca="1">IF(ISBLANK(Case!E104),"",Case!E104)</f>
        <v>P22</v>
      </c>
      <c r="D40" s="120">
        <v>4</v>
      </c>
      <c r="E40" s="24"/>
      <c r="F40" s="122"/>
    </row>
    <row r="41" spans="2:6" s="23" customFormat="1" ht="23.25" customHeight="1">
      <c r="B41" s="32">
        <f t="shared" si="0"/>
        <v>34</v>
      </c>
      <c r="C41" s="121" t="str">
        <f ca="1">IF(ISBLANK(Case!E105),"",Case!E105)</f>
        <v>B24</v>
      </c>
      <c r="D41" s="120">
        <v>4</v>
      </c>
      <c r="E41" s="24"/>
      <c r="F41" s="122"/>
    </row>
    <row r="42" spans="2:6" s="23" customFormat="1" ht="23.25" customHeight="1">
      <c r="B42" s="32">
        <f t="shared" si="0"/>
        <v>35</v>
      </c>
      <c r="C42" s="121" t="str">
        <f ca="1">IF(ISBLANK(Case!E106),"",Case!E106)</f>
        <v>J12</v>
      </c>
      <c r="D42" s="120">
        <v>4</v>
      </c>
      <c r="E42" s="24"/>
      <c r="F42" s="122"/>
    </row>
    <row r="43" spans="2:6" s="23" customFormat="1" ht="23.25" customHeight="1">
      <c r="B43" s="32">
        <f t="shared" si="0"/>
        <v>36</v>
      </c>
      <c r="C43" s="121" t="str">
        <f ca="1">IF(ISBLANK(Case!E107),"",Case!E107)</f>
        <v>T3</v>
      </c>
      <c r="D43" s="120">
        <v>4</v>
      </c>
      <c r="E43" s="24"/>
      <c r="F43" s="122"/>
    </row>
    <row r="44" spans="2:6" s="23" customFormat="1" ht="23.25" customHeight="1">
      <c r="B44" s="32">
        <f t="shared" si="0"/>
        <v>37</v>
      </c>
      <c r="C44" s="121" t="str">
        <f ca="1">IF(ISBLANK(Case!E108),"",Case!E108)</f>
        <v>P9</v>
      </c>
      <c r="D44" s="120">
        <v>4</v>
      </c>
      <c r="E44" s="24"/>
      <c r="F44" s="122"/>
    </row>
    <row r="45" spans="2:6" s="23" customFormat="1" ht="23.25" customHeight="1">
      <c r="B45" s="32">
        <f t="shared" si="0"/>
        <v>38</v>
      </c>
      <c r="C45" s="121" t="str">
        <f ca="1">IF(ISBLANK(Case!E109),"",Case!E109)</f>
        <v>G5</v>
      </c>
      <c r="D45" s="120">
        <v>4</v>
      </c>
      <c r="E45" s="24"/>
      <c r="F45" s="122"/>
    </row>
    <row r="46" spans="2:6" s="23" customFormat="1" ht="23.25" customHeight="1">
      <c r="B46" s="32">
        <f t="shared" si="0"/>
        <v>39</v>
      </c>
      <c r="C46" s="121" t="str">
        <f ca="1">IF(ISBLANK(Case!E110),"",Case!E110)</f>
        <v>J10</v>
      </c>
      <c r="D46" s="120">
        <v>4</v>
      </c>
      <c r="E46" s="24"/>
      <c r="F46" s="122"/>
    </row>
    <row r="47" spans="2:6" s="23" customFormat="1" ht="23.25" customHeight="1">
      <c r="B47" s="32">
        <f t="shared" si="0"/>
        <v>40</v>
      </c>
      <c r="C47" s="121" t="str">
        <f ca="1">IF(ISBLANK(Case!E111),"",Case!E111)</f>
        <v>S17</v>
      </c>
      <c r="D47" s="120">
        <v>4</v>
      </c>
      <c r="E47" s="24"/>
      <c r="F47" s="122"/>
    </row>
    <row r="48" spans="2:6" s="23" customFormat="1" ht="23.25" customHeight="1">
      <c r="B48" s="32">
        <f t="shared" si="0"/>
        <v>41</v>
      </c>
      <c r="C48" s="121" t="str">
        <f ca="1">IF(ISBLANK(Case!E134),"",Case!E134)</f>
        <v>G17</v>
      </c>
      <c r="D48" s="120">
        <v>5</v>
      </c>
      <c r="E48" s="24"/>
      <c r="F48" s="122"/>
    </row>
    <row r="49" spans="2:6" s="23" customFormat="1" ht="23.25" customHeight="1">
      <c r="B49" s="32">
        <f t="shared" si="0"/>
        <v>42</v>
      </c>
      <c r="C49" s="121" t="str">
        <f ca="1">IF(ISBLANK(Case!E135),"",Case!E135)</f>
        <v>S6</v>
      </c>
      <c r="D49" s="120">
        <v>5</v>
      </c>
      <c r="E49" s="24"/>
      <c r="F49" s="122"/>
    </row>
    <row r="50" spans="2:6" s="23" customFormat="1" ht="23.25" customHeight="1">
      <c r="B50" s="32">
        <f t="shared" si="0"/>
        <v>43</v>
      </c>
      <c r="C50" s="121" t="str">
        <f ca="1">IF(ISBLANK(Case!E136),"",Case!E136)</f>
        <v>J5</v>
      </c>
      <c r="D50" s="120">
        <v>5</v>
      </c>
      <c r="E50" s="24"/>
      <c r="F50" s="122"/>
    </row>
    <row r="51" spans="2:6" s="23" customFormat="1" ht="23.25" customHeight="1">
      <c r="B51" s="32">
        <f t="shared" si="0"/>
        <v>44</v>
      </c>
      <c r="C51" s="121" t="str">
        <f ca="1">IF(ISBLANK(Case!E137),"",Case!E137)</f>
        <v>E11</v>
      </c>
      <c r="D51" s="120">
        <v>5</v>
      </c>
      <c r="E51" s="24"/>
      <c r="F51" s="122"/>
    </row>
    <row r="52" spans="2:6" s="23" customFormat="1" ht="23.25" customHeight="1">
      <c r="B52" s="32">
        <f t="shared" si="0"/>
        <v>45</v>
      </c>
      <c r="C52" s="121" t="str">
        <f ca="1">IF(ISBLANK(Case!E138),"",Case!E138)</f>
        <v>F26</v>
      </c>
      <c r="D52" s="120">
        <v>5</v>
      </c>
      <c r="E52" s="24"/>
      <c r="F52" s="122"/>
    </row>
    <row r="53" spans="2:6" s="23" customFormat="1" ht="23.25" customHeight="1">
      <c r="B53" s="32">
        <f t="shared" si="0"/>
        <v>46</v>
      </c>
      <c r="C53" s="121" t="str">
        <f ca="1">IF(ISBLANK(Case!E139),"",Case!E139)</f>
        <v>H26</v>
      </c>
      <c r="D53" s="120">
        <v>5</v>
      </c>
      <c r="E53" s="24"/>
      <c r="F53" s="122"/>
    </row>
    <row r="54" spans="2:6" s="23" customFormat="1" ht="23.25" customHeight="1">
      <c r="B54" s="32">
        <f t="shared" si="0"/>
        <v>47</v>
      </c>
      <c r="C54" s="121" t="str">
        <f ca="1">IF(ISBLANK(Case!E140),"",Case!E140)</f>
        <v>K6</v>
      </c>
      <c r="D54" s="120">
        <v>5</v>
      </c>
      <c r="E54" s="24"/>
      <c r="F54" s="122"/>
    </row>
    <row r="55" spans="2:6" s="23" customFormat="1" ht="23.25" customHeight="1">
      <c r="B55" s="32">
        <f t="shared" si="0"/>
        <v>48</v>
      </c>
      <c r="C55" s="121" t="str">
        <f ca="1">IF(ISBLANK(Case!E141),"",Case!E141)</f>
        <v>O16</v>
      </c>
      <c r="D55" s="120">
        <v>5</v>
      </c>
      <c r="E55" s="24"/>
      <c r="F55" s="122"/>
    </row>
    <row r="56" spans="2:6" s="23" customFormat="1" ht="23.25" customHeight="1">
      <c r="B56" s="32">
        <f t="shared" si="0"/>
        <v>49</v>
      </c>
      <c r="C56" s="121" t="str">
        <f ca="1">IF(ISBLANK(Case!E142),"",Case!E142)</f>
        <v>N21</v>
      </c>
      <c r="D56" s="120">
        <v>5</v>
      </c>
      <c r="E56" s="24"/>
      <c r="F56" s="122"/>
    </row>
    <row r="57" spans="2:6" s="23" customFormat="1" ht="23.25" customHeight="1">
      <c r="B57" s="32">
        <f t="shared" si="0"/>
        <v>50</v>
      </c>
      <c r="C57" s="121" t="str">
        <f ca="1">IF(ISBLANK(Case!E143),"",Case!E143)</f>
        <v>R18</v>
      </c>
      <c r="D57" s="120">
        <v>5</v>
      </c>
      <c r="E57" s="24"/>
      <c r="F57" s="122"/>
    </row>
    <row r="58" spans="2:6" s="23" customFormat="1" ht="23.25" customHeight="1">
      <c r="B58" s="32">
        <f t="shared" si="0"/>
        <v>51</v>
      </c>
      <c r="C58" s="121" t="str">
        <f ca="1">IF(ISBLANK(Case!E144),"",Case!E144)</f>
        <v>D10</v>
      </c>
      <c r="D58" s="120">
        <v>5</v>
      </c>
      <c r="E58" s="24"/>
      <c r="F58" s="122"/>
    </row>
    <row r="59" spans="2:6" s="23" customFormat="1" ht="23.25" customHeight="1">
      <c r="B59" s="32">
        <f t="shared" si="0"/>
        <v>52</v>
      </c>
      <c r="C59" s="121" t="str">
        <f ca="1">IF(ISBLANK(Case!E145),"",Case!E145)</f>
        <v>P12</v>
      </c>
      <c r="D59" s="120">
        <v>5</v>
      </c>
      <c r="E59" s="24"/>
      <c r="F59" s="122"/>
    </row>
    <row r="60" spans="2:6" s="23" customFormat="1" ht="23.25" customHeight="1">
      <c r="B60" s="32">
        <f t="shared" si="0"/>
        <v>53</v>
      </c>
      <c r="C60" s="121" t="str">
        <f ca="1">IF(ISBLANK(Case!E146),"",Case!E146)</f>
        <v>R2</v>
      </c>
      <c r="D60" s="120">
        <v>5</v>
      </c>
      <c r="E60" s="24"/>
      <c r="F60" s="122"/>
    </row>
    <row r="61" spans="2:6" s="23" customFormat="1" ht="23.25" customHeight="1">
      <c r="B61" s="32">
        <f t="shared" si="0"/>
        <v>54</v>
      </c>
      <c r="C61" s="121" t="str">
        <f ca="1">IF(ISBLANK(Case!E147),"",Case!E147)</f>
        <v>U5</v>
      </c>
      <c r="D61" s="120">
        <v>5</v>
      </c>
      <c r="E61" s="24"/>
      <c r="F61" s="122"/>
    </row>
    <row r="62" spans="2:6" s="23" customFormat="1" ht="23.25" customHeight="1">
      <c r="B62" s="32">
        <f t="shared" si="0"/>
        <v>55</v>
      </c>
      <c r="C62" s="121" t="str">
        <f ca="1">IF(ISBLANK(Case!E148),"",Case!E148)</f>
        <v>F22</v>
      </c>
      <c r="D62" s="120">
        <v>5</v>
      </c>
      <c r="E62" s="24"/>
      <c r="F62" s="122"/>
    </row>
    <row r="63" spans="2:6" s="23" customFormat="1" ht="23.25" customHeight="1">
      <c r="B63" s="32">
        <f t="shared" si="0"/>
        <v>56</v>
      </c>
      <c r="C63" s="121" t="str">
        <f ca="1">IF(ISBLANK(Case!E149),"",Case!E149)</f>
        <v>B26</v>
      </c>
      <c r="D63" s="120">
        <v>5</v>
      </c>
      <c r="E63" s="24"/>
      <c r="F63" s="122"/>
    </row>
    <row r="64" spans="2:6" s="23" customFormat="1" ht="23.25" customHeight="1">
      <c r="B64" s="32">
        <f t="shared" si="0"/>
        <v>57</v>
      </c>
      <c r="C64" s="121" t="str">
        <f ca="1">IF(ISBLANK(Case!E150),"",Case!E150)</f>
        <v>T14</v>
      </c>
      <c r="D64" s="120">
        <v>5</v>
      </c>
      <c r="E64" s="24"/>
      <c r="F64" s="122"/>
    </row>
    <row r="65" spans="2:6" s="23" customFormat="1" ht="23.25" customHeight="1">
      <c r="B65" s="32">
        <f t="shared" si="0"/>
        <v>58</v>
      </c>
      <c r="C65" s="121" t="str">
        <f ca="1">IF(ISBLANK(Case!E151),"",Case!E151)</f>
        <v>H13</v>
      </c>
      <c r="D65" s="120">
        <v>5</v>
      </c>
      <c r="E65" s="24"/>
      <c r="F65" s="122"/>
    </row>
    <row r="66" spans="2:6" s="23" customFormat="1" ht="23.25" customHeight="1">
      <c r="B66" s="32">
        <f t="shared" si="0"/>
        <v>59</v>
      </c>
      <c r="C66" s="121" t="str">
        <f ca="1">IF(ISBLANK(Case!E152),"",Case!E152)</f>
        <v>C13</v>
      </c>
      <c r="D66" s="120">
        <v>5</v>
      </c>
      <c r="E66" s="24"/>
      <c r="F66" s="122"/>
    </row>
    <row r="67" spans="2:6" s="23" customFormat="1" ht="23.25" customHeight="1">
      <c r="B67" s="32">
        <f t="shared" si="0"/>
        <v>60</v>
      </c>
      <c r="C67" s="121" t="str">
        <f ca="1">IF(ISBLANK(Case!E153),"",Case!E153)</f>
        <v>M2</v>
      </c>
      <c r="D67" s="120">
        <v>5</v>
      </c>
      <c r="E67" s="24"/>
      <c r="F67" s="122"/>
    </row>
    <row r="68" spans="2:6" s="23" customFormat="1" ht="23.25" customHeight="1">
      <c r="B68" s="32">
        <f t="shared" si="0"/>
        <v>61</v>
      </c>
      <c r="C68" s="121">
        <f ca="1">IF(ISBLANK(Case!E177),"",Case!E177)</f>
        <v>3</v>
      </c>
      <c r="D68" s="120">
        <v>7</v>
      </c>
      <c r="E68" s="24"/>
      <c r="F68" s="122"/>
    </row>
    <row r="69" spans="2:6" s="23" customFormat="1" ht="23.25" customHeight="1">
      <c r="B69" s="32">
        <f t="shared" si="0"/>
        <v>62</v>
      </c>
      <c r="C69" s="121">
        <f ca="1">IF(ISBLANK(Case!E178),"",Case!E178)</f>
        <v>6</v>
      </c>
      <c r="D69" s="120">
        <v>7</v>
      </c>
      <c r="E69" s="24"/>
      <c r="F69" s="122"/>
    </row>
    <row r="70" spans="2:6" s="23" customFormat="1" ht="23.25" customHeight="1">
      <c r="B70" s="32">
        <f t="shared" si="0"/>
        <v>63</v>
      </c>
      <c r="C70" s="121">
        <f ca="1">IF(ISBLANK(Case!E179),"",Case!E179)</f>
        <v>15</v>
      </c>
      <c r="D70" s="120">
        <v>7</v>
      </c>
      <c r="E70" s="24"/>
      <c r="F70" s="122"/>
    </row>
    <row r="71" spans="2:6" s="23" customFormat="1" ht="23.25" customHeight="1">
      <c r="B71" s="32">
        <f t="shared" si="0"/>
        <v>64</v>
      </c>
      <c r="C71" s="121">
        <f ca="1">IF(ISBLANK(Case!E180),"",Case!E180)</f>
        <v>4</v>
      </c>
      <c r="D71" s="120">
        <v>7</v>
      </c>
      <c r="E71" s="24"/>
      <c r="F71" s="122"/>
    </row>
    <row r="72" spans="2:6" s="23" customFormat="1" ht="23.25" customHeight="1">
      <c r="B72" s="32">
        <f t="shared" si="0"/>
        <v>65</v>
      </c>
      <c r="C72" s="121">
        <f ca="1">IF(ISBLANK(Case!E181),"",Case!E181)</f>
        <v>6</v>
      </c>
      <c r="D72" s="120">
        <v>7</v>
      </c>
      <c r="E72" s="24"/>
      <c r="F72" s="122"/>
    </row>
    <row r="73" spans="2:6" s="23" customFormat="1" ht="23.25" customHeight="1">
      <c r="B73" s="32">
        <f t="shared" ref="B73:B136" si="1">B72+1</f>
        <v>66</v>
      </c>
      <c r="C73" s="121">
        <f ca="1">IF(ISBLANK(Case!E182),"",Case!E182)</f>
        <v>3</v>
      </c>
      <c r="D73" s="120">
        <v>7</v>
      </c>
      <c r="E73" s="24"/>
      <c r="F73" s="122"/>
    </row>
    <row r="74" spans="2:6" s="23" customFormat="1" ht="23.25" customHeight="1">
      <c r="B74" s="32">
        <f t="shared" si="1"/>
        <v>67</v>
      </c>
      <c r="C74" s="121">
        <f ca="1">IF(ISBLANK(Case!E183),"",Case!E183)</f>
        <v>5</v>
      </c>
      <c r="D74" s="120">
        <v>7</v>
      </c>
      <c r="E74" s="24"/>
      <c r="F74" s="122"/>
    </row>
    <row r="75" spans="2:6" s="23" customFormat="1" ht="23.25" customHeight="1">
      <c r="B75" s="32">
        <f t="shared" si="1"/>
        <v>68</v>
      </c>
      <c r="C75" s="121">
        <f ca="1">IF(ISBLANK(Case!E184),"",Case!E184)</f>
        <v>3</v>
      </c>
      <c r="D75" s="120">
        <v>7</v>
      </c>
      <c r="E75" s="24"/>
      <c r="F75" s="122"/>
    </row>
    <row r="76" spans="2:6" s="23" customFormat="1" ht="23.25" customHeight="1">
      <c r="B76" s="32">
        <f t="shared" si="1"/>
        <v>69</v>
      </c>
      <c r="C76" s="121">
        <f ca="1">IF(ISBLANK(Case!E185),"",Case!E185)</f>
        <v>7</v>
      </c>
      <c r="D76" s="120">
        <v>7</v>
      </c>
      <c r="E76" s="24"/>
      <c r="F76" s="122"/>
    </row>
    <row r="77" spans="2:6" s="23" customFormat="1" ht="23.25" customHeight="1">
      <c r="B77" s="32">
        <f t="shared" si="1"/>
        <v>70</v>
      </c>
      <c r="C77" s="121">
        <f ca="1">IF(ISBLANK(Case!E186),"",Case!E186)</f>
        <v>8</v>
      </c>
      <c r="D77" s="120">
        <v>7</v>
      </c>
      <c r="E77" s="24"/>
      <c r="F77" s="122"/>
    </row>
    <row r="78" spans="2:6" s="23" customFormat="1" ht="23.25" customHeight="1">
      <c r="B78" s="32">
        <f t="shared" si="1"/>
        <v>71</v>
      </c>
      <c r="C78" s="121">
        <f ca="1">IF(ISBLANK(Case!E187),"",Case!E187)</f>
        <v>1</v>
      </c>
      <c r="D78" s="120">
        <v>7</v>
      </c>
      <c r="E78" s="24"/>
      <c r="F78" s="122"/>
    </row>
    <row r="79" spans="2:6" s="23" customFormat="1" ht="23.25" customHeight="1">
      <c r="B79" s="32">
        <f t="shared" si="1"/>
        <v>72</v>
      </c>
      <c r="C79" s="121">
        <f ca="1">IF(ISBLANK(Case!E188),"",Case!E188)</f>
        <v>7</v>
      </c>
      <c r="D79" s="120">
        <v>7</v>
      </c>
      <c r="E79" s="24"/>
      <c r="F79" s="122"/>
    </row>
    <row r="80" spans="2:6" s="23" customFormat="1" ht="23.25" customHeight="1">
      <c r="B80" s="32">
        <f t="shared" si="1"/>
        <v>73</v>
      </c>
      <c r="C80" s="121">
        <f ca="1">IF(ISBLANK(Case!E189),"",Case!E189)</f>
        <v>6</v>
      </c>
      <c r="D80" s="120">
        <v>7</v>
      </c>
      <c r="E80" s="24"/>
      <c r="F80" s="122"/>
    </row>
    <row r="81" spans="2:6" s="23" customFormat="1" ht="23.25" customHeight="1">
      <c r="B81" s="32">
        <f t="shared" si="1"/>
        <v>74</v>
      </c>
      <c r="C81" s="121">
        <f ca="1">IF(ISBLANK(Case!E190),"",Case!E190)</f>
        <v>7</v>
      </c>
      <c r="D81" s="120">
        <v>7</v>
      </c>
      <c r="E81" s="24"/>
      <c r="F81" s="122"/>
    </row>
    <row r="82" spans="2:6" s="23" customFormat="1" ht="23.25" customHeight="1">
      <c r="B82" s="32">
        <f t="shared" si="1"/>
        <v>75</v>
      </c>
      <c r="C82" s="121">
        <f ca="1">IF(ISBLANK(Case!E191),"",Case!E191)</f>
        <v>5</v>
      </c>
      <c r="D82" s="120">
        <v>7</v>
      </c>
      <c r="E82" s="24"/>
      <c r="F82" s="122"/>
    </row>
    <row r="83" spans="2:6" s="23" customFormat="1" ht="23.25" customHeight="1">
      <c r="B83" s="32">
        <f t="shared" si="1"/>
        <v>76</v>
      </c>
      <c r="C83" s="121">
        <f ca="1">IF(ISBLANK(Case!E192),"",Case!E192)</f>
        <v>13</v>
      </c>
      <c r="D83" s="120">
        <v>7</v>
      </c>
      <c r="E83" s="24"/>
      <c r="F83" s="122"/>
    </row>
    <row r="84" spans="2:6" s="23" customFormat="1" ht="23.25" customHeight="1">
      <c r="B84" s="32">
        <f t="shared" si="1"/>
        <v>77</v>
      </c>
      <c r="C84" s="121">
        <f ca="1">IF(ISBLANK(Case!E193),"",Case!E193)</f>
        <v>6</v>
      </c>
      <c r="D84" s="120">
        <v>7</v>
      </c>
      <c r="E84" s="24"/>
      <c r="F84" s="122"/>
    </row>
    <row r="85" spans="2:6" s="23" customFormat="1" ht="23.25" customHeight="1">
      <c r="B85" s="32">
        <f t="shared" si="1"/>
        <v>78</v>
      </c>
      <c r="C85" s="121">
        <f ca="1">IF(ISBLANK(Case!E194),"",Case!E194)</f>
        <v>6</v>
      </c>
      <c r="D85" s="120">
        <v>7</v>
      </c>
      <c r="E85" s="24"/>
      <c r="F85" s="122"/>
    </row>
    <row r="86" spans="2:6" s="23" customFormat="1" ht="23.25" customHeight="1">
      <c r="B86" s="32">
        <f t="shared" si="1"/>
        <v>79</v>
      </c>
      <c r="C86" s="121">
        <f ca="1">IF(ISBLANK(Case!E195),"",Case!E195)</f>
        <v>7</v>
      </c>
      <c r="D86" s="120">
        <v>7</v>
      </c>
      <c r="E86" s="24"/>
      <c r="F86" s="122"/>
    </row>
    <row r="87" spans="2:6" s="23" customFormat="1" ht="23.25" customHeight="1">
      <c r="B87" s="32">
        <f t="shared" si="1"/>
        <v>80</v>
      </c>
      <c r="C87" s="121">
        <f ca="1">IF(ISBLANK(Case!E196),"",Case!E196)</f>
        <v>8</v>
      </c>
      <c r="D87" s="120">
        <v>7</v>
      </c>
      <c r="E87" s="24"/>
      <c r="F87" s="122"/>
    </row>
    <row r="88" spans="2:6" s="23" customFormat="1" ht="23.25" customHeight="1">
      <c r="B88" s="32">
        <f t="shared" si="1"/>
        <v>81</v>
      </c>
      <c r="C88" s="121">
        <f>IF(ISBLANK(Case!E219),"",Case!E219)</f>
        <v>2</v>
      </c>
      <c r="D88" s="120">
        <v>8</v>
      </c>
      <c r="E88" s="24"/>
      <c r="F88" s="122"/>
    </row>
    <row r="89" spans="2:6" s="23" customFormat="1" ht="23.25" customHeight="1">
      <c r="B89" s="32">
        <f t="shared" si="1"/>
        <v>82</v>
      </c>
      <c r="C89" s="121">
        <f>IF(ISBLANK(Case!E220),"",Case!E220)</f>
        <v>9</v>
      </c>
      <c r="D89" s="120">
        <v>8</v>
      </c>
      <c r="E89" s="24"/>
      <c r="F89" s="122"/>
    </row>
    <row r="90" spans="2:6" s="23" customFormat="1" ht="23.25" customHeight="1">
      <c r="B90" s="32">
        <f t="shared" si="1"/>
        <v>83</v>
      </c>
      <c r="C90" s="121">
        <f>IF(ISBLANK(Case!E221),"",Case!E221)</f>
        <v>11</v>
      </c>
      <c r="D90" s="120">
        <v>8</v>
      </c>
      <c r="E90" s="24"/>
      <c r="F90" s="122"/>
    </row>
    <row r="91" spans="2:6" s="23" customFormat="1" ht="23.25" customHeight="1">
      <c r="B91" s="32">
        <f t="shared" si="1"/>
        <v>84</v>
      </c>
      <c r="C91" s="121">
        <f>IF(ISBLANK(Case!E222),"",Case!E222)</f>
        <v>3</v>
      </c>
      <c r="D91" s="120">
        <v>8</v>
      </c>
      <c r="E91" s="24"/>
      <c r="F91" s="122"/>
    </row>
    <row r="92" spans="2:6" s="23" customFormat="1" ht="23.25" customHeight="1">
      <c r="B92" s="32">
        <f t="shared" si="1"/>
        <v>85</v>
      </c>
      <c r="C92" s="121">
        <f>IF(ISBLANK(Case!E223),"",Case!E223)</f>
        <v>4</v>
      </c>
      <c r="D92" s="120">
        <v>8</v>
      </c>
      <c r="E92" s="24"/>
      <c r="F92" s="122"/>
    </row>
    <row r="93" spans="2:6" s="23" customFormat="1" ht="23.25" customHeight="1">
      <c r="B93" s="32">
        <f t="shared" si="1"/>
        <v>86</v>
      </c>
      <c r="C93" s="121">
        <f>IF(ISBLANK(Case!E224),"",Case!E224)</f>
        <v>3</v>
      </c>
      <c r="D93" s="120">
        <v>8</v>
      </c>
      <c r="E93" s="24"/>
      <c r="F93" s="122"/>
    </row>
    <row r="94" spans="2:6" s="23" customFormat="1" ht="23.25" customHeight="1">
      <c r="B94" s="32">
        <f t="shared" si="1"/>
        <v>87</v>
      </c>
      <c r="C94" s="121">
        <f>IF(ISBLANK(Case!E225),"",Case!E225)</f>
        <v>9</v>
      </c>
      <c r="D94" s="120">
        <v>8</v>
      </c>
      <c r="E94" s="24"/>
      <c r="F94" s="122"/>
    </row>
    <row r="95" spans="2:6" s="23" customFormat="1" ht="23.25" customHeight="1">
      <c r="B95" s="32">
        <f t="shared" si="1"/>
        <v>88</v>
      </c>
      <c r="C95" s="121">
        <f>IF(ISBLANK(Case!E226),"",Case!E226)</f>
        <v>3</v>
      </c>
      <c r="D95" s="120">
        <v>8</v>
      </c>
      <c r="E95" s="24"/>
      <c r="F95" s="122"/>
    </row>
    <row r="96" spans="2:6" s="23" customFormat="1" ht="23.25" customHeight="1">
      <c r="B96" s="32">
        <f t="shared" si="1"/>
        <v>89</v>
      </c>
      <c r="C96" s="121">
        <f>IF(ISBLANK(Case!E227),"",Case!E227)</f>
        <v>6</v>
      </c>
      <c r="D96" s="120">
        <v>8</v>
      </c>
      <c r="E96" s="24"/>
      <c r="F96" s="122"/>
    </row>
    <row r="97" spans="2:6" s="23" customFormat="1" ht="23.25" customHeight="1">
      <c r="B97" s="32">
        <f t="shared" si="1"/>
        <v>90</v>
      </c>
      <c r="C97" s="121">
        <f>IF(ISBLANK(Case!E228),"",Case!E228)</f>
        <v>6</v>
      </c>
      <c r="D97" s="120">
        <v>8</v>
      </c>
      <c r="E97" s="24"/>
      <c r="F97" s="122"/>
    </row>
    <row r="98" spans="2:6" s="23" customFormat="1" ht="23.25" customHeight="1">
      <c r="B98" s="32">
        <f t="shared" si="1"/>
        <v>91</v>
      </c>
      <c r="C98" s="121">
        <f>IF(ISBLANK(Case!E229),"",Case!E229)</f>
        <v>1</v>
      </c>
      <c r="D98" s="120">
        <v>8</v>
      </c>
      <c r="E98" s="24"/>
      <c r="F98" s="122"/>
    </row>
    <row r="99" spans="2:6" s="23" customFormat="1" ht="23.25" customHeight="1">
      <c r="B99" s="32">
        <f t="shared" si="1"/>
        <v>92</v>
      </c>
      <c r="C99" s="121">
        <f>IF(ISBLANK(Case!E230),"",Case!E230)</f>
        <v>3</v>
      </c>
      <c r="D99" s="120">
        <v>8</v>
      </c>
      <c r="E99" s="24"/>
      <c r="F99" s="122"/>
    </row>
    <row r="100" spans="2:6" s="23" customFormat="1" ht="23.25" customHeight="1">
      <c r="B100" s="32">
        <f t="shared" si="1"/>
        <v>93</v>
      </c>
      <c r="C100" s="121">
        <f>IF(ISBLANK(Case!E231),"",Case!E231)</f>
        <v>6</v>
      </c>
      <c r="D100" s="120">
        <v>8</v>
      </c>
      <c r="E100" s="24"/>
      <c r="F100" s="122"/>
    </row>
    <row r="101" spans="2:6" s="23" customFormat="1" ht="23.25" customHeight="1">
      <c r="B101" s="32">
        <f t="shared" si="1"/>
        <v>94</v>
      </c>
      <c r="C101" s="121">
        <f>IF(ISBLANK(Case!E232),"",Case!E232)</f>
        <v>3</v>
      </c>
      <c r="D101" s="120">
        <v>8</v>
      </c>
      <c r="E101" s="24"/>
      <c r="F101" s="122"/>
    </row>
    <row r="102" spans="2:6" s="23" customFormat="1" ht="23.25" customHeight="1">
      <c r="B102" s="32">
        <f t="shared" si="1"/>
        <v>95</v>
      </c>
      <c r="C102" s="121">
        <f>IF(ISBLANK(Case!E233),"",Case!E233)</f>
        <v>2</v>
      </c>
      <c r="D102" s="120">
        <v>8</v>
      </c>
      <c r="E102" s="24"/>
      <c r="F102" s="122"/>
    </row>
    <row r="103" spans="2:6" s="23" customFormat="1" ht="23.25" customHeight="1">
      <c r="B103" s="32">
        <f t="shared" si="1"/>
        <v>96</v>
      </c>
      <c r="C103" s="121">
        <f>IF(ISBLANK(Case!E234),"",Case!E234)</f>
        <v>5</v>
      </c>
      <c r="D103" s="120">
        <v>8</v>
      </c>
      <c r="E103" s="24"/>
      <c r="F103" s="122"/>
    </row>
    <row r="104" spans="2:6" s="23" customFormat="1" ht="23.25" customHeight="1">
      <c r="B104" s="32">
        <f t="shared" si="1"/>
        <v>97</v>
      </c>
      <c r="C104" s="121">
        <f>IF(ISBLANK(Case!E235),"",Case!E235)</f>
        <v>2</v>
      </c>
      <c r="D104" s="120">
        <v>8</v>
      </c>
      <c r="E104" s="24"/>
      <c r="F104" s="122"/>
    </row>
    <row r="105" spans="2:6" s="23" customFormat="1" ht="23.25" customHeight="1">
      <c r="B105" s="32">
        <f t="shared" si="1"/>
        <v>98</v>
      </c>
      <c r="C105" s="121">
        <f>IF(ISBLANK(Case!E236),"",Case!E236)</f>
        <v>4</v>
      </c>
      <c r="D105" s="120">
        <v>8</v>
      </c>
      <c r="E105" s="24"/>
      <c r="F105" s="122"/>
    </row>
    <row r="106" spans="2:6" s="23" customFormat="1" ht="23.25" customHeight="1">
      <c r="B106" s="32">
        <f t="shared" si="1"/>
        <v>99</v>
      </c>
      <c r="C106" s="121">
        <f>IF(ISBLANK(Case!E237),"",Case!E237)</f>
        <v>2</v>
      </c>
      <c r="D106" s="120">
        <v>8</v>
      </c>
      <c r="E106" s="24"/>
      <c r="F106" s="122"/>
    </row>
    <row r="107" spans="2:6" s="23" customFormat="1" ht="23.25" customHeight="1">
      <c r="B107" s="32">
        <f t="shared" si="1"/>
        <v>100</v>
      </c>
      <c r="C107" s="121">
        <f>IF(ISBLANK(Case!E238),"",Case!E238)</f>
        <v>5</v>
      </c>
      <c r="D107" s="120">
        <v>8</v>
      </c>
      <c r="E107" s="24"/>
      <c r="F107" s="122"/>
    </row>
    <row r="108" spans="2:6" s="23" customFormat="1" ht="23.25" customHeight="1">
      <c r="B108" s="32">
        <f t="shared" si="1"/>
        <v>101</v>
      </c>
      <c r="C108" s="121" t="str">
        <f ca="1">IF(ISBLANK(Case!E264),"",Case!E264)</f>
        <v>H6</v>
      </c>
      <c r="D108" s="120">
        <v>10</v>
      </c>
      <c r="E108" s="24"/>
      <c r="F108" s="122"/>
    </row>
    <row r="109" spans="2:6" s="23" customFormat="1" ht="23.25" customHeight="1">
      <c r="B109" s="32">
        <f t="shared" si="1"/>
        <v>102</v>
      </c>
      <c r="C109" s="121" t="str">
        <f ca="1">IF(ISBLANK(Case!E265),"",Case!E265)</f>
        <v>U11</v>
      </c>
      <c r="D109" s="120">
        <v>10</v>
      </c>
      <c r="E109" s="24"/>
      <c r="F109" s="122"/>
    </row>
    <row r="110" spans="2:6" s="23" customFormat="1" ht="23.25" customHeight="1">
      <c r="B110" s="32">
        <f t="shared" si="1"/>
        <v>103</v>
      </c>
      <c r="C110" s="121" t="str">
        <f ca="1">IF(ISBLANK(Case!E266),"",Case!E266)</f>
        <v>F6</v>
      </c>
      <c r="D110" s="120">
        <v>10</v>
      </c>
      <c r="E110" s="24"/>
      <c r="F110" s="122"/>
    </row>
    <row r="111" spans="2:6" s="23" customFormat="1" ht="23.25" customHeight="1">
      <c r="B111" s="32">
        <f t="shared" si="1"/>
        <v>104</v>
      </c>
      <c r="C111" s="121" t="str">
        <f ca="1">IF(ISBLANK(Case!E267),"",Case!E267)</f>
        <v>N13</v>
      </c>
      <c r="D111" s="120">
        <v>10</v>
      </c>
      <c r="E111" s="24"/>
      <c r="F111" s="122"/>
    </row>
    <row r="112" spans="2:6" s="23" customFormat="1" ht="23.25" customHeight="1">
      <c r="B112" s="32">
        <f t="shared" si="1"/>
        <v>105</v>
      </c>
      <c r="C112" s="121" t="str">
        <f ca="1">IF(ISBLANK(Case!E268),"",Case!E268)</f>
        <v>R13</v>
      </c>
      <c r="D112" s="120">
        <v>10</v>
      </c>
      <c r="E112" s="24"/>
      <c r="F112" s="122"/>
    </row>
    <row r="113" spans="2:6" s="23" customFormat="1" ht="23.25" customHeight="1">
      <c r="B113" s="32">
        <f t="shared" si="1"/>
        <v>106</v>
      </c>
      <c r="C113" s="121" t="str">
        <f ca="1">IF(ISBLANK(Case!E269),"",Case!E269)</f>
        <v>F20</v>
      </c>
      <c r="D113" s="120">
        <v>10</v>
      </c>
      <c r="E113" s="24"/>
      <c r="F113" s="122"/>
    </row>
    <row r="114" spans="2:6" s="23" customFormat="1" ht="23.25" customHeight="1">
      <c r="B114" s="32">
        <f t="shared" si="1"/>
        <v>107</v>
      </c>
      <c r="C114" s="121" t="str">
        <f ca="1">IF(ISBLANK(Case!E270),"",Case!E270)</f>
        <v>F24</v>
      </c>
      <c r="D114" s="120">
        <v>10</v>
      </c>
      <c r="E114" s="24"/>
      <c r="F114" s="122"/>
    </row>
    <row r="115" spans="2:6" s="23" customFormat="1" ht="23.25" customHeight="1">
      <c r="B115" s="32">
        <f t="shared" si="1"/>
        <v>108</v>
      </c>
      <c r="C115" s="121" t="str">
        <f ca="1">IF(ISBLANK(Case!E271),"",Case!E271)</f>
        <v>T3</v>
      </c>
      <c r="D115" s="120">
        <v>10</v>
      </c>
      <c r="E115" s="24"/>
      <c r="F115" s="122"/>
    </row>
    <row r="116" spans="2:6" s="23" customFormat="1" ht="23.25" customHeight="1">
      <c r="B116" s="32">
        <f t="shared" si="1"/>
        <v>109</v>
      </c>
      <c r="C116" s="121" t="str">
        <f ca="1">IF(ISBLANK(Case!E272),"",Case!E272)</f>
        <v>R18</v>
      </c>
      <c r="D116" s="120">
        <v>10</v>
      </c>
      <c r="E116" s="24"/>
      <c r="F116" s="122"/>
    </row>
    <row r="117" spans="2:6" s="23" customFormat="1" ht="23.25" customHeight="1">
      <c r="B117" s="32">
        <f t="shared" si="1"/>
        <v>110</v>
      </c>
      <c r="C117" s="121" t="str">
        <f ca="1">IF(ISBLANK(Case!E273),"",Case!E273)</f>
        <v>C23</v>
      </c>
      <c r="D117" s="120">
        <v>10</v>
      </c>
      <c r="E117" s="24"/>
      <c r="F117" s="122"/>
    </row>
    <row r="118" spans="2:6" s="23" customFormat="1" ht="23.25" customHeight="1">
      <c r="B118" s="32">
        <f t="shared" si="1"/>
        <v>111</v>
      </c>
      <c r="C118" s="121" t="str">
        <f ca="1">IF(ISBLANK(Case!E274),"",Case!E274)</f>
        <v>F17</v>
      </c>
      <c r="D118" s="120">
        <v>10</v>
      </c>
      <c r="E118" s="24"/>
      <c r="F118" s="122"/>
    </row>
    <row r="119" spans="2:6" s="23" customFormat="1" ht="23.25" customHeight="1">
      <c r="B119" s="32">
        <f t="shared" si="1"/>
        <v>112</v>
      </c>
      <c r="C119" s="121" t="str">
        <f ca="1">IF(ISBLANK(Case!E275),"",Case!E275)</f>
        <v>O15</v>
      </c>
      <c r="D119" s="120">
        <v>10</v>
      </c>
      <c r="E119" s="24"/>
      <c r="F119" s="122"/>
    </row>
    <row r="120" spans="2:6" s="23" customFormat="1" ht="23.25" customHeight="1">
      <c r="B120" s="32">
        <f t="shared" si="1"/>
        <v>113</v>
      </c>
      <c r="C120" s="121" t="str">
        <f ca="1">IF(ISBLANK(Case!E276),"",Case!E276)</f>
        <v>C7</v>
      </c>
      <c r="D120" s="120">
        <v>10</v>
      </c>
      <c r="E120" s="24"/>
      <c r="F120" s="122"/>
    </row>
    <row r="121" spans="2:6" s="23" customFormat="1" ht="23.25" customHeight="1">
      <c r="B121" s="32">
        <f t="shared" si="1"/>
        <v>114</v>
      </c>
      <c r="C121" s="121" t="str">
        <f ca="1">IF(ISBLANK(Case!E277),"",Case!E277)</f>
        <v>C10</v>
      </c>
      <c r="D121" s="120">
        <v>10</v>
      </c>
      <c r="E121" s="24"/>
      <c r="F121" s="122"/>
    </row>
    <row r="122" spans="2:6" s="23" customFormat="1" ht="23.25" customHeight="1">
      <c r="B122" s="32">
        <f t="shared" si="1"/>
        <v>115</v>
      </c>
      <c r="C122" s="121" t="str">
        <f ca="1">IF(ISBLANK(Case!E278),"",Case!E278)</f>
        <v>K9</v>
      </c>
      <c r="D122" s="120">
        <v>10</v>
      </c>
      <c r="E122" s="24"/>
      <c r="F122" s="122"/>
    </row>
    <row r="123" spans="2:6" s="23" customFormat="1" ht="23.25" customHeight="1">
      <c r="B123" s="32">
        <f t="shared" si="1"/>
        <v>116</v>
      </c>
      <c r="C123" s="121" t="str">
        <f ca="1">IF(ISBLANK(Case!E279),"",Case!E279)</f>
        <v>P3</v>
      </c>
      <c r="D123" s="120">
        <v>10</v>
      </c>
      <c r="E123" s="24"/>
      <c r="F123" s="122"/>
    </row>
    <row r="124" spans="2:6" s="23" customFormat="1" ht="23.25" customHeight="1">
      <c r="B124" s="32">
        <f t="shared" si="1"/>
        <v>117</v>
      </c>
      <c r="C124" s="121" t="str">
        <f ca="1">IF(ISBLANK(Case!E280),"",Case!E280)</f>
        <v>U4</v>
      </c>
      <c r="D124" s="120">
        <v>10</v>
      </c>
      <c r="E124" s="24"/>
      <c r="F124" s="122"/>
    </row>
    <row r="125" spans="2:6" s="23" customFormat="1" ht="23.25" customHeight="1">
      <c r="B125" s="32">
        <f t="shared" si="1"/>
        <v>118</v>
      </c>
      <c r="C125" s="121" t="str">
        <f ca="1">IF(ISBLANK(Case!E281),"",Case!E281)</f>
        <v>Q10</v>
      </c>
      <c r="D125" s="120">
        <v>10</v>
      </c>
      <c r="E125" s="24"/>
      <c r="F125" s="122"/>
    </row>
    <row r="126" spans="2:6" s="23" customFormat="1" ht="23.25" customHeight="1">
      <c r="B126" s="32">
        <f t="shared" si="1"/>
        <v>119</v>
      </c>
      <c r="C126" s="121" t="str">
        <f ca="1">IF(ISBLANK(Case!E282),"",Case!E282)</f>
        <v>K7</v>
      </c>
      <c r="D126" s="120">
        <v>10</v>
      </c>
      <c r="E126" s="24"/>
      <c r="F126" s="122"/>
    </row>
    <row r="127" spans="2:6" s="23" customFormat="1" ht="23.25" customHeight="1">
      <c r="B127" s="32">
        <f t="shared" si="1"/>
        <v>120</v>
      </c>
      <c r="C127" s="121" t="str">
        <f ca="1">IF(ISBLANK(Case!E283),"",Case!E283)</f>
        <v>J20</v>
      </c>
      <c r="D127" s="120">
        <v>10</v>
      </c>
      <c r="E127" s="24"/>
      <c r="F127" s="122"/>
    </row>
    <row r="128" spans="2:6" s="23" customFormat="1" ht="23.25" customHeight="1">
      <c r="B128" s="32">
        <f t="shared" si="1"/>
        <v>121</v>
      </c>
      <c r="C128" s="121" t="str">
        <f ca="1">IF(ISBLANK(Case!E308),"",Case!E308)</f>
        <v>F17</v>
      </c>
      <c r="D128" s="120">
        <v>12</v>
      </c>
      <c r="E128" s="24"/>
      <c r="F128" s="122"/>
    </row>
    <row r="129" spans="2:6" ht="23.25" customHeight="1">
      <c r="B129" s="32">
        <f t="shared" si="1"/>
        <v>122</v>
      </c>
      <c r="C129" s="121" t="str">
        <f ca="1">IF(ISBLANK(Case!E309),"",Case!E309)</f>
        <v>C13</v>
      </c>
      <c r="D129" s="120">
        <v>12</v>
      </c>
      <c r="E129" s="24"/>
      <c r="F129" s="122"/>
    </row>
    <row r="130" spans="2:6" ht="23.25" customHeight="1">
      <c r="B130" s="32">
        <f t="shared" si="1"/>
        <v>123</v>
      </c>
      <c r="C130" s="121" t="str">
        <f ca="1">IF(ISBLANK(Case!E310),"",Case!E310)</f>
        <v>E12</v>
      </c>
      <c r="D130" s="120">
        <v>12</v>
      </c>
      <c r="E130" s="24"/>
      <c r="F130" s="122"/>
    </row>
    <row r="131" spans="2:6" ht="23.25" customHeight="1">
      <c r="B131" s="32">
        <f t="shared" si="1"/>
        <v>124</v>
      </c>
      <c r="C131" s="121" t="str">
        <f ca="1">IF(ISBLANK(Case!E311),"",Case!E311)</f>
        <v>P26</v>
      </c>
      <c r="D131" s="120">
        <v>12</v>
      </c>
      <c r="E131" s="24"/>
      <c r="F131" s="122"/>
    </row>
    <row r="132" spans="2:6" ht="23.25" customHeight="1">
      <c r="B132" s="32">
        <f t="shared" si="1"/>
        <v>125</v>
      </c>
      <c r="C132" s="121" t="str">
        <f ca="1">IF(ISBLANK(Case!E312),"",Case!E312)</f>
        <v>Q20</v>
      </c>
      <c r="D132" s="120">
        <v>12</v>
      </c>
      <c r="E132" s="24"/>
      <c r="F132" s="122"/>
    </row>
    <row r="133" spans="2:6" ht="23.25" customHeight="1">
      <c r="B133" s="32">
        <f t="shared" si="1"/>
        <v>126</v>
      </c>
      <c r="C133" s="121" t="str">
        <f ca="1">IF(ISBLANK(Case!E313),"",Case!E313)</f>
        <v>S5</v>
      </c>
      <c r="D133" s="120">
        <v>12</v>
      </c>
      <c r="E133" s="24"/>
      <c r="F133" s="122"/>
    </row>
    <row r="134" spans="2:6" ht="23.25" customHeight="1">
      <c r="B134" s="32">
        <f t="shared" si="1"/>
        <v>127</v>
      </c>
      <c r="C134" s="121" t="str">
        <f ca="1">IF(ISBLANK(Case!E314),"",Case!E314)</f>
        <v>S22</v>
      </c>
      <c r="D134" s="120">
        <v>12</v>
      </c>
      <c r="E134" s="24"/>
      <c r="F134" s="122"/>
    </row>
    <row r="135" spans="2:6" ht="23.25" customHeight="1">
      <c r="B135" s="32">
        <f t="shared" si="1"/>
        <v>128</v>
      </c>
      <c r="C135" s="121" t="str">
        <f ca="1">IF(ISBLANK(Case!E315),"",Case!E315)</f>
        <v>R2</v>
      </c>
      <c r="D135" s="120">
        <v>12</v>
      </c>
      <c r="E135" s="24"/>
      <c r="F135" s="122"/>
    </row>
    <row r="136" spans="2:6" ht="23.25" customHeight="1">
      <c r="B136" s="32">
        <f t="shared" si="1"/>
        <v>129</v>
      </c>
      <c r="C136" s="121" t="str">
        <f ca="1">IF(ISBLANK(Case!E316),"",Case!E316)</f>
        <v>T7</v>
      </c>
      <c r="D136" s="120">
        <v>12</v>
      </c>
      <c r="E136" s="24"/>
      <c r="F136" s="122"/>
    </row>
    <row r="137" spans="2:6" ht="23.25" customHeight="1">
      <c r="B137" s="32">
        <f t="shared" ref="B137:B147" si="2">B136+1</f>
        <v>130</v>
      </c>
      <c r="C137" s="121" t="str">
        <f ca="1">IF(ISBLANK(Case!E317),"",Case!E317)</f>
        <v>U24</v>
      </c>
      <c r="D137" s="120">
        <v>12</v>
      </c>
      <c r="E137" s="24"/>
      <c r="F137" s="122"/>
    </row>
    <row r="138" spans="2:6" ht="23.25" customHeight="1">
      <c r="B138" s="32">
        <f t="shared" si="2"/>
        <v>131</v>
      </c>
      <c r="C138" s="121" t="str">
        <f ca="1">IF(ISBLANK(Case!E318),"",Case!E318)</f>
        <v>S21</v>
      </c>
      <c r="D138" s="120">
        <v>12</v>
      </c>
      <c r="E138" s="24"/>
      <c r="F138" s="122"/>
    </row>
    <row r="139" spans="2:6" ht="23.25" customHeight="1">
      <c r="B139" s="32">
        <f t="shared" si="2"/>
        <v>132</v>
      </c>
      <c r="C139" s="121" t="str">
        <f ca="1">IF(ISBLANK(Case!E319),"",Case!E319)</f>
        <v>B7</v>
      </c>
      <c r="D139" s="120">
        <v>12</v>
      </c>
      <c r="E139" s="24"/>
      <c r="F139" s="122"/>
    </row>
    <row r="140" spans="2:6" ht="23.25" customHeight="1">
      <c r="B140" s="32">
        <f t="shared" si="2"/>
        <v>133</v>
      </c>
      <c r="C140" s="121" t="str">
        <f ca="1">IF(ISBLANK(Case!E320),"",Case!E320)</f>
        <v>C23</v>
      </c>
      <c r="D140" s="120">
        <v>12</v>
      </c>
      <c r="E140" s="24"/>
      <c r="F140" s="122"/>
    </row>
    <row r="141" spans="2:6" ht="23.25" customHeight="1">
      <c r="B141" s="32">
        <f t="shared" si="2"/>
        <v>134</v>
      </c>
      <c r="C141" s="121" t="str">
        <f ca="1">IF(ISBLANK(Case!E321),"",Case!E321)</f>
        <v>C11</v>
      </c>
      <c r="D141" s="120">
        <v>12</v>
      </c>
      <c r="E141" s="24"/>
      <c r="F141" s="122"/>
    </row>
    <row r="142" spans="2:6" ht="23.25" customHeight="1">
      <c r="B142" s="32">
        <f t="shared" si="2"/>
        <v>135</v>
      </c>
      <c r="C142" s="121" t="str">
        <f ca="1">IF(ISBLANK(Case!E322),"",Case!E322)</f>
        <v>D16</v>
      </c>
      <c r="D142" s="120">
        <v>12</v>
      </c>
      <c r="E142" s="24"/>
      <c r="F142" s="122"/>
    </row>
    <row r="143" spans="2:6" ht="23.25" customHeight="1">
      <c r="B143" s="32">
        <f t="shared" si="2"/>
        <v>136</v>
      </c>
      <c r="C143" s="121" t="str">
        <f ca="1">IF(ISBLANK(Case!E323),"",Case!E323)</f>
        <v>U10</v>
      </c>
      <c r="D143" s="120">
        <v>12</v>
      </c>
      <c r="E143" s="24"/>
      <c r="F143" s="122"/>
    </row>
    <row r="144" spans="2:6" ht="23.25" customHeight="1">
      <c r="B144" s="32">
        <f t="shared" si="2"/>
        <v>137</v>
      </c>
      <c r="C144" s="121" t="str">
        <f ca="1">IF(ISBLANK(Case!E324),"",Case!E324)</f>
        <v>P16</v>
      </c>
      <c r="D144" s="120">
        <v>12</v>
      </c>
      <c r="E144" s="24"/>
      <c r="F144" s="122"/>
    </row>
    <row r="145" spans="2:6" ht="23.25" customHeight="1">
      <c r="B145" s="32">
        <f t="shared" si="2"/>
        <v>138</v>
      </c>
      <c r="C145" s="121" t="str">
        <f ca="1">IF(ISBLANK(Case!E325),"",Case!E325)</f>
        <v>B26</v>
      </c>
      <c r="D145" s="120">
        <v>12</v>
      </c>
      <c r="E145" s="24"/>
      <c r="F145" s="122"/>
    </row>
    <row r="146" spans="2:6" ht="23.25" customHeight="1">
      <c r="B146" s="32">
        <f t="shared" si="2"/>
        <v>139</v>
      </c>
      <c r="C146" s="121" t="str">
        <f ca="1">IF(ISBLANK(Case!E326),"",Case!E326)</f>
        <v>C13</v>
      </c>
      <c r="D146" s="120">
        <v>12</v>
      </c>
      <c r="E146" s="24"/>
      <c r="F146" s="122"/>
    </row>
    <row r="147" spans="2:6" ht="23.25" customHeight="1">
      <c r="B147" s="32">
        <f t="shared" si="2"/>
        <v>140</v>
      </c>
      <c r="C147" s="121" t="str">
        <f ca="1">IF(ISBLANK(Case!E327),"",Case!E327)</f>
        <v>T10</v>
      </c>
      <c r="D147" s="120">
        <v>12</v>
      </c>
      <c r="E147" s="24"/>
      <c r="F147" s="1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Cover</vt:lpstr>
      <vt:lpstr>Case</vt:lpstr>
      <vt:lpstr>Scene</vt:lpstr>
      <vt:lpstr>Graded Answers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Jack Franken</dc:creator>
  <cp:keywords/>
  <dc:description/>
  <cp:lastModifiedBy>Maciej Kopczyński</cp:lastModifiedBy>
  <cp:revision/>
  <dcterms:created xsi:type="dcterms:W3CDTF">2024-11-05T01:30:33Z</dcterms:created>
  <dcterms:modified xsi:type="dcterms:W3CDTF">2026-03-03T21:41:02Z</dcterms:modified>
  <cp:category/>
  <cp:contentStatus/>
</cp:coreProperties>
</file>