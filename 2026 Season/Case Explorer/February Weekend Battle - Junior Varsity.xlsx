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61" documentId="13_ncr:1_{D3407E23-39E4-BF42-9D02-BEAF3E0034E1}" xr6:coauthVersionLast="47" xr6:coauthVersionMax="47" xr10:uidLastSave="{A87F2D88-1359-4517-8A82-B1E7848C5376}"/>
  <bookViews>
    <workbookView xWindow="25980" yWindow="240" windowWidth="25485" windowHeight="20505" xr2:uid="{114A3ACC-2F61-4F50-A5CF-63A86B2334B2}"/>
  </bookViews>
  <sheets>
    <sheet name="Case" sheetId="113" r:id="rId1"/>
    <sheet name="Graded Answers" sheetId="115" r:id="rId2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61" i="113" l="1"/>
  <c r="K159" i="113" a="1"/>
  <c r="K159" i="113" s="1"/>
  <c r="K158" i="113" a="1"/>
  <c r="K158" i="113" s="1"/>
  <c r="AY185" i="113" a="1"/>
  <c r="AY185" i="113" s="1"/>
  <c r="AY184" i="113" a="1"/>
  <c r="AY184" i="113" s="1"/>
  <c r="AY183" i="113" a="1"/>
  <c r="AY183" i="113" s="1"/>
  <c r="AY182" i="113" a="1"/>
  <c r="AY182" i="113" s="1"/>
  <c r="AY181" i="113" a="1"/>
  <c r="AY181" i="113" s="1"/>
  <c r="AY180" i="113" a="1"/>
  <c r="AY180" i="113" s="1"/>
  <c r="AY179" i="113" a="1"/>
  <c r="AY179" i="113" s="1"/>
  <c r="AY178" i="113" a="1"/>
  <c r="AY178" i="113" s="1"/>
  <c r="AY177" i="113" a="1"/>
  <c r="AY177" i="113" s="1"/>
  <c r="AY176" i="113" a="1"/>
  <c r="AY176" i="113" s="1"/>
  <c r="AY175" i="113" a="1"/>
  <c r="AY175" i="113" s="1"/>
  <c r="AY174" i="113" a="1"/>
  <c r="AY174" i="113" s="1"/>
  <c r="AY172" i="113" a="1"/>
  <c r="AY172" i="113" s="1"/>
  <c r="AY171" i="113" a="1"/>
  <c r="AY171" i="113" s="1"/>
  <c r="AY170" i="113" a="1"/>
  <c r="AY170" i="113" s="1"/>
  <c r="AY169" i="113" a="1"/>
  <c r="AY169" i="113" s="1"/>
  <c r="P6" i="115"/>
  <c r="O6" i="115"/>
  <c r="AV221" i="113"/>
  <c r="AV231" i="113"/>
  <c r="AV230" i="113"/>
  <c r="AV229" i="113"/>
  <c r="AV228" i="113"/>
  <c r="AV227" i="113"/>
  <c r="AV226" i="113"/>
  <c r="AV225" i="113"/>
  <c r="AV224" i="113"/>
  <c r="AV223" i="113"/>
  <c r="AV222" i="113"/>
  <c r="AV220" i="113"/>
  <c r="AV219" i="113"/>
  <c r="AV218" i="113"/>
  <c r="AV217" i="113"/>
  <c r="AV216" i="113"/>
  <c r="AV215" i="113"/>
  <c r="AV214" i="113"/>
  <c r="AV213" i="113"/>
  <c r="AV212" i="113"/>
  <c r="AW213" i="113" a="1"/>
  <c r="AW213" i="113" s="1"/>
  <c r="AW214" i="113" a="1"/>
  <c r="AW214" i="113" s="1"/>
  <c r="AW215" i="113" a="1"/>
  <c r="AW215" i="113" s="1"/>
  <c r="AW216" i="113" a="1"/>
  <c r="AW216" i="113" s="1"/>
  <c r="AW217" i="113" a="1"/>
  <c r="AW217" i="113" s="1"/>
  <c r="AW218" i="113" a="1"/>
  <c r="AW218" i="113" s="1"/>
  <c r="AW219" i="113" a="1"/>
  <c r="AW219" i="113" s="1"/>
  <c r="AW220" i="113" a="1"/>
  <c r="AW220" i="113" s="1"/>
  <c r="AW221" i="113" a="1"/>
  <c r="AW221" i="113" s="1"/>
  <c r="AW222" i="113" a="1"/>
  <c r="AW222" i="113" s="1"/>
  <c r="AW223" i="113" a="1"/>
  <c r="AW223" i="113" s="1"/>
  <c r="AW224" i="113" a="1"/>
  <c r="AW224" i="113" s="1"/>
  <c r="AW225" i="113" a="1"/>
  <c r="AW225" i="113" s="1"/>
  <c r="AW226" i="113" a="1"/>
  <c r="AW226" i="113" s="1"/>
  <c r="AW227" i="113" a="1"/>
  <c r="AW227" i="113" s="1"/>
  <c r="AW228" i="113" a="1"/>
  <c r="AW228" i="113" s="1"/>
  <c r="AW229" i="113" a="1"/>
  <c r="AW229" i="113" s="1"/>
  <c r="AW230" i="113" a="1"/>
  <c r="AW230" i="113" s="1"/>
  <c r="AW231" i="113" a="1"/>
  <c r="AW231" i="113" s="1"/>
  <c r="AW212" i="113" a="1"/>
  <c r="AW212" i="113" s="1"/>
  <c r="P51" i="113" a="1"/>
  <c r="P51" i="113" s="1"/>
  <c r="P49" i="113"/>
  <c r="E24" i="113" a="1"/>
  <c r="E24" i="113"/>
  <c r="C3" i="115" s="1"/>
  <c r="J299" i="113" a="1"/>
  <c r="J299" i="113" s="1"/>
  <c r="J300" i="113" a="1"/>
  <c r="J300" i="113" s="1"/>
  <c r="J301" i="113" a="1"/>
  <c r="J301" i="113" s="1"/>
  <c r="J302" i="113" a="1"/>
  <c r="J302" i="113" s="1"/>
  <c r="J303" i="113" a="1"/>
  <c r="J303" i="113" s="1"/>
  <c r="J304" i="113" a="1"/>
  <c r="J304" i="113" s="1"/>
  <c r="J305" i="113" a="1"/>
  <c r="J305" i="113" s="1"/>
  <c r="J306" i="113" a="1"/>
  <c r="J306" i="113"/>
  <c r="J307" i="113" a="1"/>
  <c r="J307" i="113" s="1"/>
  <c r="J308" i="113" a="1"/>
  <c r="J308" i="113" s="1"/>
  <c r="J309" i="113" a="1"/>
  <c r="J309" i="113" s="1"/>
  <c r="J310" i="113" a="1"/>
  <c r="J310" i="113" s="1"/>
  <c r="J311" i="113" a="1"/>
  <c r="J311" i="113" s="1"/>
  <c r="J312" i="113" a="1"/>
  <c r="J312" i="113" s="1"/>
  <c r="J313" i="113" a="1"/>
  <c r="J313" i="113"/>
  <c r="J314" i="113" a="1"/>
  <c r="J314" i="113"/>
  <c r="J315" i="113" a="1"/>
  <c r="J315" i="113" s="1"/>
  <c r="J316" i="113" a="1"/>
  <c r="J316" i="113" s="1"/>
  <c r="J317" i="113" a="1"/>
  <c r="J317" i="113"/>
  <c r="J298" i="113" a="1"/>
  <c r="J298" i="113" s="1"/>
  <c r="AY173" i="113" a="1"/>
  <c r="AY173" i="113" s="1"/>
  <c r="AY186" i="113" a="1"/>
  <c r="AY186" i="113" s="1"/>
  <c r="AY187" i="113" a="1"/>
  <c r="AY187" i="113" s="1"/>
  <c r="AY188" i="113" a="1"/>
  <c r="AY188" i="113" s="1"/>
  <c r="E25" i="113"/>
  <c r="C4" i="115" s="1"/>
  <c r="E299" i="113" a="1"/>
  <c r="E299" i="113" s="1"/>
  <c r="C129" i="115" s="1"/>
  <c r="E300" i="113" a="1"/>
  <c r="E300" i="113" s="1"/>
  <c r="C130" i="115" s="1"/>
  <c r="E301" i="113" a="1"/>
  <c r="E301" i="113" s="1"/>
  <c r="C131" i="115" s="1"/>
  <c r="E302" i="113" a="1"/>
  <c r="E302" i="113" s="1"/>
  <c r="C132" i="115" s="1"/>
  <c r="E303" i="113" a="1"/>
  <c r="E303" i="113" s="1"/>
  <c r="C133" i="115" s="1"/>
  <c r="E304" i="113" a="1"/>
  <c r="E304" i="113" s="1"/>
  <c r="C134" i="115" s="1"/>
  <c r="E305" i="113" a="1"/>
  <c r="E305" i="113" s="1"/>
  <c r="C135" i="115" s="1"/>
  <c r="E306" i="113" a="1"/>
  <c r="E306" i="113" s="1"/>
  <c r="C136" i="115" s="1"/>
  <c r="E307" i="113" a="1"/>
  <c r="E307" i="113" s="1"/>
  <c r="C137" i="115" s="1"/>
  <c r="E308" i="113" a="1"/>
  <c r="E308" i="113" s="1"/>
  <c r="C138" i="115" s="1"/>
  <c r="E309" i="113" a="1"/>
  <c r="E309" i="113" s="1"/>
  <c r="C139" i="115" s="1"/>
  <c r="E310" i="113" a="1"/>
  <c r="E310" i="113" s="1"/>
  <c r="C140" i="115" s="1"/>
  <c r="E311" i="113" a="1"/>
  <c r="E311" i="113" s="1"/>
  <c r="C141" i="115" s="1"/>
  <c r="E312" i="113" a="1"/>
  <c r="E312" i="113" s="1"/>
  <c r="C142" i="115" s="1"/>
  <c r="E313" i="113" a="1"/>
  <c r="E313" i="113" s="1"/>
  <c r="C143" i="115" s="1"/>
  <c r="E314" i="113" a="1"/>
  <c r="E314" i="113" s="1"/>
  <c r="C144" i="115" s="1"/>
  <c r="E315" i="113" a="1"/>
  <c r="E315" i="113"/>
  <c r="C145" i="115" s="1"/>
  <c r="E316" i="113" a="1"/>
  <c r="E316" i="113"/>
  <c r="C146" i="115" s="1"/>
  <c r="E317" i="113" a="1"/>
  <c r="E317" i="113"/>
  <c r="C147" i="115" s="1"/>
  <c r="E298" i="113" a="1"/>
  <c r="E298" i="113" s="1"/>
  <c r="C128" i="115" s="1"/>
  <c r="E256" i="113" a="1"/>
  <c r="E256" i="113" s="1"/>
  <c r="C109" i="115" s="1"/>
  <c r="E257" i="113" a="1"/>
  <c r="E257" i="113" s="1"/>
  <c r="C110" i="115" s="1"/>
  <c r="E258" i="113" a="1"/>
  <c r="E258" i="113" s="1"/>
  <c r="C111" i="115" s="1"/>
  <c r="E259" i="113" a="1"/>
  <c r="E259" i="113" s="1"/>
  <c r="C112" i="115" s="1"/>
  <c r="E260" i="113" a="1"/>
  <c r="E260" i="113" s="1"/>
  <c r="C113" i="115" s="1"/>
  <c r="E261" i="113" a="1"/>
  <c r="E261" i="113" s="1"/>
  <c r="C114" i="115" s="1"/>
  <c r="E262" i="113" a="1"/>
  <c r="E262" i="113" s="1"/>
  <c r="C115" i="115" s="1"/>
  <c r="E263" i="113" a="1"/>
  <c r="E263" i="113" s="1"/>
  <c r="C116" i="115" s="1"/>
  <c r="E264" i="113" a="1"/>
  <c r="E264" i="113" s="1"/>
  <c r="C117" i="115" s="1"/>
  <c r="E265" i="113" a="1"/>
  <c r="E265" i="113" s="1"/>
  <c r="C118" i="115" s="1"/>
  <c r="E266" i="113" a="1"/>
  <c r="E266" i="113" s="1"/>
  <c r="C119" i="115" s="1"/>
  <c r="E267" i="113" a="1"/>
  <c r="E267" i="113" s="1"/>
  <c r="C120" i="115" s="1"/>
  <c r="E268" i="113" a="1"/>
  <c r="E268" i="113" s="1"/>
  <c r="C121" i="115" s="1"/>
  <c r="E269" i="113" a="1"/>
  <c r="E269" i="113" s="1"/>
  <c r="C122" i="115" s="1"/>
  <c r="E270" i="113" a="1"/>
  <c r="E270" i="113" s="1"/>
  <c r="C123" i="115" s="1"/>
  <c r="E271" i="113" a="1"/>
  <c r="E271" i="113" s="1"/>
  <c r="C124" i="115" s="1"/>
  <c r="E272" i="113" a="1"/>
  <c r="E272" i="113" s="1"/>
  <c r="C125" i="115" s="1"/>
  <c r="E273" i="113" a="1"/>
  <c r="E273" i="113" s="1"/>
  <c r="C126" i="115" s="1"/>
  <c r="E274" i="113" a="1"/>
  <c r="E274" i="113" s="1"/>
  <c r="C127" i="115" s="1"/>
  <c r="E255" i="113" a="1"/>
  <c r="E255" i="113" s="1"/>
  <c r="C108" i="115" s="1"/>
  <c r="E213" i="113" a="1"/>
  <c r="E213" i="113"/>
  <c r="C89" i="115" s="1"/>
  <c r="E214" i="113" a="1"/>
  <c r="E214" i="113" s="1"/>
  <c r="C90" i="115" s="1"/>
  <c r="E215" i="113" a="1"/>
  <c r="E215" i="113" s="1"/>
  <c r="C91" i="115" s="1"/>
  <c r="E216" i="113" a="1"/>
  <c r="E216" i="113"/>
  <c r="C92" i="115" s="1"/>
  <c r="E217" i="113" a="1"/>
  <c r="E217" i="113" s="1"/>
  <c r="C93" i="115" s="1"/>
  <c r="E218" i="113" a="1"/>
  <c r="E218" i="113" s="1"/>
  <c r="C94" i="115" s="1"/>
  <c r="E219" i="113" a="1"/>
  <c r="E219" i="113" s="1"/>
  <c r="C95" i="115" s="1"/>
  <c r="E220" i="113" a="1"/>
  <c r="E220" i="113" s="1"/>
  <c r="C96" i="115" s="1"/>
  <c r="E221" i="113" a="1"/>
  <c r="E221" i="113" s="1"/>
  <c r="C97" i="115" s="1"/>
  <c r="E222" i="113" a="1"/>
  <c r="E222" i="113" s="1"/>
  <c r="C98" i="115" s="1"/>
  <c r="E223" i="113" a="1"/>
  <c r="E223" i="113" s="1"/>
  <c r="C99" i="115" s="1"/>
  <c r="E224" i="113" a="1"/>
  <c r="E224" i="113" s="1"/>
  <c r="C100" i="115" s="1"/>
  <c r="E225" i="113" a="1"/>
  <c r="E225" i="113" s="1"/>
  <c r="C101" i="115" s="1"/>
  <c r="E226" i="113" a="1"/>
  <c r="E226" i="113" s="1"/>
  <c r="C102" i="115" s="1"/>
  <c r="E227" i="113" a="1"/>
  <c r="E227" i="113" s="1"/>
  <c r="C103" i="115" s="1"/>
  <c r="E228" i="113" a="1"/>
  <c r="E228" i="113" s="1"/>
  <c r="C104" i="115" s="1"/>
  <c r="E229" i="113" a="1"/>
  <c r="E229" i="113" s="1"/>
  <c r="C105" i="115" s="1"/>
  <c r="E230" i="113" a="1"/>
  <c r="E230" i="113" s="1"/>
  <c r="C106" i="115" s="1"/>
  <c r="E231" i="113" a="1"/>
  <c r="E231" i="113" s="1"/>
  <c r="C107" i="115" s="1"/>
  <c r="E212" i="113" a="1"/>
  <c r="E212" i="113" s="1"/>
  <c r="C88" i="115" s="1"/>
  <c r="E170" i="113"/>
  <c r="E171" i="113"/>
  <c r="E172" i="113"/>
  <c r="E173" i="113"/>
  <c r="E174" i="113"/>
  <c r="E175" i="113"/>
  <c r="C74" i="115" s="1"/>
  <c r="E176" i="113"/>
  <c r="C75" i="115" s="1"/>
  <c r="E177" i="113"/>
  <c r="C76" i="115" s="1"/>
  <c r="E178" i="113"/>
  <c r="C77" i="115" s="1"/>
  <c r="E179" i="113"/>
  <c r="C78" i="115" s="1"/>
  <c r="E180" i="113"/>
  <c r="C79" i="115" s="1"/>
  <c r="E181" i="113"/>
  <c r="C80" i="115" s="1"/>
  <c r="E182" i="113"/>
  <c r="C81" i="115" s="1"/>
  <c r="E183" i="113"/>
  <c r="C82" i="115" s="1"/>
  <c r="E184" i="113"/>
  <c r="C83" i="115" s="1"/>
  <c r="E185" i="113"/>
  <c r="C84" i="115" s="1"/>
  <c r="E186" i="113"/>
  <c r="C85" i="115" s="1"/>
  <c r="E187" i="113"/>
  <c r="C86" i="115" s="1"/>
  <c r="E188" i="113"/>
  <c r="C87" i="115" s="1"/>
  <c r="E169" i="113"/>
  <c r="C68" i="115" s="1"/>
  <c r="E130" i="113" a="1"/>
  <c r="E130" i="113" s="1"/>
  <c r="C49" i="115" s="1"/>
  <c r="E131" i="113" a="1"/>
  <c r="E131" i="113" s="1"/>
  <c r="C50" i="115" s="1"/>
  <c r="E132" i="113" a="1"/>
  <c r="E132" i="113" s="1"/>
  <c r="C51" i="115" s="1"/>
  <c r="E133" i="113" a="1"/>
  <c r="E133" i="113" s="1"/>
  <c r="C52" i="115" s="1"/>
  <c r="E134" i="113" a="1"/>
  <c r="E134" i="113" s="1"/>
  <c r="C53" i="115" s="1"/>
  <c r="E135" i="113" a="1"/>
  <c r="E135" i="113" s="1"/>
  <c r="C54" i="115" s="1"/>
  <c r="E136" i="113" a="1"/>
  <c r="E136" i="113" s="1"/>
  <c r="C55" i="115" s="1"/>
  <c r="E137" i="113" a="1"/>
  <c r="E137" i="113" s="1"/>
  <c r="C56" i="115" s="1"/>
  <c r="E138" i="113" a="1"/>
  <c r="E138" i="113" s="1"/>
  <c r="C57" i="115" s="1"/>
  <c r="E139" i="113" a="1"/>
  <c r="E139" i="113" s="1"/>
  <c r="C58" i="115" s="1"/>
  <c r="E140" i="113" a="1"/>
  <c r="E140" i="113" s="1"/>
  <c r="C59" i="115" s="1"/>
  <c r="E141" i="113" a="1"/>
  <c r="E141" i="113" s="1"/>
  <c r="C60" i="115" s="1"/>
  <c r="E142" i="113" a="1"/>
  <c r="E142" i="113" s="1"/>
  <c r="C61" i="115" s="1"/>
  <c r="E143" i="113" a="1"/>
  <c r="E143" i="113" s="1"/>
  <c r="C62" i="115" s="1"/>
  <c r="E144" i="113" a="1"/>
  <c r="E144" i="113" s="1"/>
  <c r="C63" i="115" s="1"/>
  <c r="E145" i="113" a="1"/>
  <c r="E145" i="113" s="1"/>
  <c r="C64" i="115" s="1"/>
  <c r="E146" i="113" a="1"/>
  <c r="E146" i="113" s="1"/>
  <c r="C65" i="115" s="1"/>
  <c r="E147" i="113" a="1"/>
  <c r="E147" i="113" s="1"/>
  <c r="C66" i="115" s="1"/>
  <c r="E148" i="113" a="1"/>
  <c r="E148" i="113" s="1"/>
  <c r="C67" i="115" s="1"/>
  <c r="E129" i="113" a="1"/>
  <c r="E129" i="113" s="1"/>
  <c r="C48" i="115" s="1"/>
  <c r="E89" i="113" a="1"/>
  <c r="E89" i="113" s="1"/>
  <c r="C29" i="115" s="1"/>
  <c r="E90" i="113" a="1"/>
  <c r="E90" i="113" s="1"/>
  <c r="C30" i="115" s="1"/>
  <c r="E91" i="113" a="1"/>
  <c r="E91" i="113" s="1"/>
  <c r="C31" i="115" s="1"/>
  <c r="E92" i="113" a="1"/>
  <c r="E92" i="113" s="1"/>
  <c r="C32" i="115" s="1"/>
  <c r="E93" i="113" a="1"/>
  <c r="E93" i="113" s="1"/>
  <c r="C33" i="115" s="1"/>
  <c r="E94" i="113" a="1"/>
  <c r="E94" i="113" s="1"/>
  <c r="C34" i="115" s="1"/>
  <c r="E95" i="113" a="1"/>
  <c r="E95" i="113"/>
  <c r="E96" i="113" a="1"/>
  <c r="E96" i="113" s="1"/>
  <c r="C36" i="115" s="1"/>
  <c r="E97" i="113" a="1"/>
  <c r="E97" i="113" s="1"/>
  <c r="C37" i="115" s="1"/>
  <c r="E98" i="113" a="1"/>
  <c r="E98" i="113" s="1"/>
  <c r="C38" i="115" s="1"/>
  <c r="E99" i="113" a="1"/>
  <c r="E99" i="113" s="1"/>
  <c r="C39" i="115" s="1"/>
  <c r="E100" i="113" a="1"/>
  <c r="E100" i="113" s="1"/>
  <c r="C40" i="115" s="1"/>
  <c r="E101" i="113" a="1"/>
  <c r="E101" i="113" s="1"/>
  <c r="C41" i="115" s="1"/>
  <c r="E102" i="113" a="1"/>
  <c r="E102" i="113" s="1"/>
  <c r="C42" i="115" s="1"/>
  <c r="E103" i="113" a="1"/>
  <c r="E103" i="113" s="1"/>
  <c r="C43" i="115" s="1"/>
  <c r="E104" i="113" a="1"/>
  <c r="E104" i="113" s="1"/>
  <c r="C44" i="115" s="1"/>
  <c r="E105" i="113" a="1"/>
  <c r="E105" i="113" s="1"/>
  <c r="C45" i="115" s="1"/>
  <c r="E106" i="113" a="1"/>
  <c r="E106" i="113" s="1"/>
  <c r="C46" i="115" s="1"/>
  <c r="E107" i="113" a="1"/>
  <c r="E107" i="113" s="1"/>
  <c r="C47" i="115" s="1"/>
  <c r="E88" i="113" a="1"/>
  <c r="E88" i="113" s="1"/>
  <c r="C28" i="115" s="1"/>
  <c r="C35" i="115"/>
  <c r="E50" i="113"/>
  <c r="C9" i="115" s="1"/>
  <c r="E51" i="113"/>
  <c r="C10" i="115" s="1"/>
  <c r="E52" i="113"/>
  <c r="C11" i="115" s="1"/>
  <c r="E53" i="113"/>
  <c r="C12" i="115" s="1"/>
  <c r="E54" i="113"/>
  <c r="C13" i="115" s="1"/>
  <c r="E55" i="113"/>
  <c r="C14" i="115" s="1"/>
  <c r="E56" i="113"/>
  <c r="C15" i="115" s="1"/>
  <c r="E57" i="113"/>
  <c r="C16" i="115" s="1"/>
  <c r="E58" i="113"/>
  <c r="C17" i="115" s="1"/>
  <c r="E59" i="113"/>
  <c r="C18" i="115" s="1"/>
  <c r="E60" i="113"/>
  <c r="C19" i="115" s="1"/>
  <c r="E61" i="113"/>
  <c r="C20" i="115" s="1"/>
  <c r="E62" i="113"/>
  <c r="C21" i="115" s="1"/>
  <c r="E63" i="113"/>
  <c r="C22" i="115" s="1"/>
  <c r="E64" i="113"/>
  <c r="C23" i="115" s="1"/>
  <c r="E65" i="113"/>
  <c r="C24" i="115" s="1"/>
  <c r="E66" i="113"/>
  <c r="C25" i="115" s="1"/>
  <c r="E67" i="113"/>
  <c r="C26" i="115" s="1"/>
  <c r="E68" i="113"/>
  <c r="C27" i="115" s="1"/>
  <c r="E49" i="113"/>
  <c r="C8" i="115" s="1"/>
  <c r="C73" i="115"/>
  <c r="C72" i="115"/>
  <c r="C71" i="115"/>
  <c r="C70" i="115"/>
  <c r="C69" i="115"/>
  <c r="C6" i="115"/>
  <c r="C5" i="115"/>
  <c r="B9" i="115"/>
  <c r="B10" i="115" s="1"/>
  <c r="B11" i="115" s="1"/>
  <c r="B12" i="115" s="1"/>
  <c r="B13" i="115" s="1"/>
  <c r="B14" i="115" s="1"/>
  <c r="B15" i="115" s="1"/>
  <c r="B16" i="115" s="1"/>
  <c r="B17" i="115" s="1"/>
  <c r="B18" i="115" s="1"/>
  <c r="B19" i="115" s="1"/>
  <c r="B20" i="115" s="1"/>
  <c r="B21" i="115" s="1"/>
  <c r="B22" i="115" s="1"/>
  <c r="B23" i="115" s="1"/>
  <c r="B24" i="115" s="1"/>
  <c r="B25" i="115" s="1"/>
  <c r="B26" i="115" s="1"/>
  <c r="B27" i="115" s="1"/>
  <c r="B28" i="115" s="1"/>
  <c r="B29" i="115" s="1"/>
  <c r="B30" i="115" s="1"/>
  <c r="B31" i="115" s="1"/>
  <c r="B32" i="115" s="1"/>
  <c r="B33" i="115" s="1"/>
  <c r="B34" i="115" s="1"/>
  <c r="B35" i="115" s="1"/>
  <c r="B36" i="115" s="1"/>
  <c r="B37" i="115" s="1"/>
  <c r="B38" i="115" s="1"/>
  <c r="B39" i="115" s="1"/>
  <c r="B40" i="115" s="1"/>
  <c r="B41" i="115" s="1"/>
  <c r="B42" i="115" s="1"/>
  <c r="B43" i="115" s="1"/>
  <c r="B44" i="115" s="1"/>
  <c r="B45" i="115" s="1"/>
  <c r="B46" i="115" s="1"/>
  <c r="B47" i="115" s="1"/>
  <c r="B48" i="115" s="1"/>
  <c r="B49" i="115" s="1"/>
  <c r="B50" i="115" s="1"/>
  <c r="B51" i="115" s="1"/>
  <c r="B52" i="115" s="1"/>
  <c r="B53" i="115" s="1"/>
  <c r="B54" i="115" s="1"/>
  <c r="B55" i="115" s="1"/>
  <c r="B56" i="115" s="1"/>
  <c r="B57" i="115" s="1"/>
  <c r="B58" i="115" s="1"/>
  <c r="B59" i="115" s="1"/>
  <c r="B60" i="115" s="1"/>
  <c r="B61" i="115" s="1"/>
  <c r="B62" i="115" s="1"/>
  <c r="B63" i="115" s="1"/>
  <c r="B64" i="115" s="1"/>
  <c r="B65" i="115" s="1"/>
  <c r="B66" i="115" s="1"/>
  <c r="B67" i="115" s="1"/>
  <c r="B68" i="115" s="1"/>
  <c r="B69" i="115" s="1"/>
  <c r="B70" i="115" s="1"/>
  <c r="B71" i="115" s="1"/>
  <c r="B72" i="115" s="1"/>
  <c r="B73" i="115" s="1"/>
  <c r="B74" i="115" s="1"/>
  <c r="B75" i="115" s="1"/>
  <c r="B76" i="115" s="1"/>
  <c r="B77" i="115" s="1"/>
  <c r="B78" i="115" s="1"/>
  <c r="B79" i="115" s="1"/>
  <c r="B80" i="115" s="1"/>
  <c r="B81" i="115" s="1"/>
  <c r="B82" i="115" s="1"/>
  <c r="B83" i="115" s="1"/>
  <c r="B84" i="115" s="1"/>
  <c r="B85" i="115" s="1"/>
  <c r="B86" i="115" s="1"/>
  <c r="B87" i="115" s="1"/>
  <c r="B88" i="115" s="1"/>
  <c r="B89" i="115" s="1"/>
  <c r="B90" i="115" s="1"/>
  <c r="B91" i="115" s="1"/>
  <c r="B92" i="115" s="1"/>
  <c r="B93" i="115" s="1"/>
  <c r="B94" i="115" s="1"/>
  <c r="B95" i="115" s="1"/>
  <c r="B96" i="115" s="1"/>
  <c r="B97" i="115" s="1"/>
  <c r="B98" i="115" s="1"/>
  <c r="B99" i="115" s="1"/>
  <c r="B100" i="115" s="1"/>
  <c r="B101" i="115" s="1"/>
  <c r="B102" i="115" s="1"/>
  <c r="B103" i="115" s="1"/>
  <c r="B104" i="115" s="1"/>
  <c r="B105" i="115" s="1"/>
  <c r="B106" i="115" s="1"/>
  <c r="B107" i="115" s="1"/>
  <c r="B108" i="115" s="1"/>
  <c r="B109" i="115" s="1"/>
  <c r="B110" i="115" s="1"/>
  <c r="B111" i="115" s="1"/>
  <c r="B112" i="115" s="1"/>
  <c r="B113" i="115" s="1"/>
  <c r="B114" i="115" s="1"/>
  <c r="B115" i="115" s="1"/>
  <c r="B116" i="115" s="1"/>
  <c r="B117" i="115" s="1"/>
  <c r="B118" i="115" s="1"/>
  <c r="B119" i="115" s="1"/>
  <c r="B120" i="115" s="1"/>
  <c r="B121" i="115" s="1"/>
  <c r="B122" i="115" s="1"/>
  <c r="B123" i="115" s="1"/>
  <c r="B124" i="115" s="1"/>
  <c r="B125" i="115" s="1"/>
  <c r="B126" i="115" s="1"/>
  <c r="B127" i="115" s="1"/>
  <c r="B128" i="115" s="1"/>
  <c r="B129" i="115" s="1"/>
  <c r="B130" i="115" s="1"/>
  <c r="B131" i="115" s="1"/>
  <c r="B132" i="115" s="1"/>
  <c r="B133" i="115" s="1"/>
  <c r="B134" i="115" s="1"/>
  <c r="B135" i="115" s="1"/>
  <c r="B136" i="115" s="1"/>
  <c r="B137" i="115" s="1"/>
  <c r="B138" i="115" s="1"/>
  <c r="B139" i="115" s="1"/>
  <c r="B140" i="115" s="1"/>
  <c r="B141" i="115" s="1"/>
  <c r="B142" i="115" s="1"/>
  <c r="B143" i="115" s="1"/>
  <c r="B144" i="115" s="1"/>
  <c r="B145" i="115" s="1"/>
  <c r="B146" i="115" s="1"/>
  <c r="B147" i="115" s="1"/>
  <c r="AZ158" i="113" l="1" a="1"/>
  <c r="AZ158" i="113" s="1"/>
  <c r="BA158" i="113" s="1" a="1"/>
  <c r="E28" i="113"/>
  <c r="C7" i="115" s="1"/>
  <c r="P53" i="113" a="1"/>
  <c r="BA158" i="113" l="1"/>
  <c r="BC158" i="113"/>
  <c r="P53" i="113"/>
  <c r="P54" i="113" s="1" a="1"/>
  <c r="P54" i="113" l="1"/>
  <c r="P56" i="1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<sst xmlns="http://schemas.openxmlformats.org/spreadsheetml/2006/main" count="2230" uniqueCount="230">
  <si>
    <t>Microsoft Excel Collegiate Challenge 2026</t>
  </si>
  <si>
    <t>This Spreadsheet is a Nightmare - MECC Junior Varsity Edition</t>
  </si>
  <si>
    <t>Case Author</t>
  </si>
  <si>
    <t>Harry Seiders</t>
  </si>
  <si>
    <t>Instructions</t>
  </si>
  <si>
    <t xml:space="preserve">You thought it would be a good idea to sit back and watch the Excel championship while eating pizza, ice cream, and ghost peppers. </t>
  </si>
  <si>
    <t>That crazy combination has lead you here into a waking nightmare, a spread sheet file with all kinds of frightful problems.</t>
  </si>
  <si>
    <t>Bonus Questions</t>
  </si>
  <si>
    <t>To make the game more exciting, we have created 5 bonus questions for you. These questions can be answered at any time during the game.</t>
  </si>
  <si>
    <t>Game #</t>
  </si>
  <si>
    <t>Relates to Level #</t>
  </si>
  <si>
    <t>Points</t>
  </si>
  <si>
    <t>Answer</t>
  </si>
  <si>
    <t>Question</t>
  </si>
  <si>
    <t>Bonus 1</t>
  </si>
  <si>
    <t>In Level 1, excluding the example, how many characters is the longest answer?</t>
  </si>
  <si>
    <t>Bonus 2</t>
  </si>
  <si>
    <t>In Level 2, excluding the example, among the 20x40 Sets of Numbers, what is the sum of the two largest individual numbers?</t>
  </si>
  <si>
    <t>Bonus 3</t>
  </si>
  <si>
    <t>In Level 4, excluding the example, how many times does the most frequently appearing emoji appear within the 20x40 set of emojis? Exclude the 20 Emojis of Interest from the count.</t>
  </si>
  <si>
    <t>Bonus 4</t>
  </si>
  <si>
    <t>In Level 1, excluding the example, how many times does the most frequently appearing letter appear in the answers?</t>
  </si>
  <si>
    <t>Bonus 5</t>
  </si>
  <si>
    <t>In Level 5, excluding the example, how many times does an emoji appear directly after a semi-colon? E.g., ";👽". Important Note: Each emoji has a length of 2 characters.</t>
  </si>
  <si>
    <t>Questions</t>
  </si>
  <si>
    <t>Level 1</t>
  </si>
  <si>
    <t>Easy</t>
  </si>
  <si>
    <t>Dreams and nightmares can have hidden messages.</t>
  </si>
  <si>
    <t>Remove the unwanted character to reveal the hidden word. Pay attention to which cell the word is located in.</t>
  </si>
  <si>
    <t>Hint: Consider using the SUBSTITUTE function.</t>
  </si>
  <si>
    <r>
      <rPr>
        <b/>
        <sz val="12"/>
        <color theme="1"/>
        <rFont val="Roboto"/>
      </rPr>
      <t>Example1:</t>
    </r>
    <r>
      <rPr>
        <sz val="12"/>
        <color theme="1"/>
        <rFont val="Roboto"/>
      </rPr>
      <t xml:space="preserve"> Removing the character ^ reveals the word COUNTIFS.</t>
    </r>
  </si>
  <si>
    <t>Answer Hints:</t>
  </si>
  <si>
    <t>Game 1's answer starts with a T.</t>
  </si>
  <si>
    <t>Game 2's answer starts with an I.</t>
  </si>
  <si>
    <t>Game 3's answer starts with a C.</t>
  </si>
  <si>
    <t>Level</t>
  </si>
  <si>
    <t>Word</t>
  </si>
  <si>
    <t>Unwanted Character</t>
  </si>
  <si>
    <t>Example1</t>
  </si>
  <si>
    <t>COUNTIFS</t>
  </si>
  <si>
    <t>^C^^^O^^^U^^^N^^^T^^^I^^^F^^^S^</t>
  </si>
  <si>
    <t>^</t>
  </si>
  <si>
    <t>)T)))E)))X)))T)))J)))O)))I)))N)</t>
  </si>
  <si>
    <t>)</t>
  </si>
  <si>
    <t>(I(((N(((D(((E(((X(</t>
  </si>
  <si>
    <t>(</t>
  </si>
  <si>
    <t>*C***O***N***C***A***T*</t>
  </si>
  <si>
    <t>*</t>
  </si>
  <si>
    <t>&amp;I&amp;&amp;&amp;N&amp;&amp;&amp;D&amp;&amp;&amp;E&amp;&amp;&amp;X&amp;</t>
  </si>
  <si>
    <t>&amp;</t>
  </si>
  <si>
    <t>^C^^^O^^^U^^^N^^^T^^^A^</t>
  </si>
  <si>
    <t>%I%%%F%%%S%</t>
  </si>
  <si>
    <t>%</t>
  </si>
  <si>
    <t>$L$$$E$$$N$</t>
  </si>
  <si>
    <t>$</t>
  </si>
  <si>
    <t>#I###F###E###R###R###O###R#</t>
  </si>
  <si>
    <t>#</t>
  </si>
  <si>
    <t>@M@@@I@@@N@@@I@@@F@@@S@</t>
  </si>
  <si>
    <t>@</t>
  </si>
  <si>
    <t>#S###U###M###I###F###S#</t>
  </si>
  <si>
    <t>!E!!!O!!!M!!!O!!!N!!!T!!!H!</t>
  </si>
  <si>
    <t>!</t>
  </si>
  <si>
    <t>&gt;V&gt;&gt;&gt;L&gt;&gt;&gt;O&gt;&gt;&gt;O&gt;&gt;&gt;K&gt;&gt;&gt;U&gt;&gt;&gt;P&gt;</t>
  </si>
  <si>
    <t>&gt;</t>
  </si>
  <si>
    <t>?M???A???T???C???H?</t>
  </si>
  <si>
    <t>?</t>
  </si>
  <si>
    <t>;I;;;N;;;D;;;I;;;R;;;E;;;C;;;T;</t>
  </si>
  <si>
    <t>;</t>
  </si>
  <si>
    <t>:A:::V:::E:::R:::A:::G:::E:</t>
  </si>
  <si>
    <t>:</t>
  </si>
  <si>
    <t>{M{{{A{{{X{{{I{{{F{{{S{</t>
  </si>
  <si>
    <t>{</t>
  </si>
  <si>
    <t>}T}}}A}}}B}}}L}}}E}</t>
  </si>
  <si>
    <t>}</t>
  </si>
  <si>
    <t>-X---L---O---O---K---U---P-</t>
  </si>
  <si>
    <t>-</t>
  </si>
  <si>
    <t>+D+++A+++T+++E+</t>
  </si>
  <si>
    <t>+</t>
  </si>
  <si>
    <t>=T===E===X===T=</t>
  </si>
  <si>
    <t>=</t>
  </si>
  <si>
    <t>Level 2</t>
  </si>
  <si>
    <t>A goblin is playing tricks, inserting blank cells in our sets of numbers. Each set has 40 cells.</t>
  </si>
  <si>
    <t>Count the number of non-blank cells in each Set of Numbers.</t>
  </si>
  <si>
    <t>Hint: The COUNT function might come in handy.</t>
  </si>
  <si>
    <r>
      <rPr>
        <b/>
        <sz val="12"/>
        <color theme="1"/>
        <rFont val="Roboto"/>
      </rPr>
      <t>Example2:</t>
    </r>
    <r>
      <rPr>
        <sz val="12"/>
        <color theme="1"/>
        <rFont val="Roboto"/>
      </rPr>
      <t xml:space="preserve"> Cells 2, 7, 8, 9, 10, 11, 18, 22, and 36 are blank. A total of 9 blank cells. 40 cells - 9 blanks = 31.</t>
    </r>
  </si>
  <si>
    <t>Game 21's answer is between 30 and 33, inclusive.</t>
  </si>
  <si>
    <t>Game 22's answer is between 24 and 27, inclusive.</t>
  </si>
  <si>
    <t>Game 23's answer is between 20 and 23, inclusive.</t>
  </si>
  <si>
    <t>Example2</t>
  </si>
  <si>
    <t/>
  </si>
  <si>
    <t>Level 3</t>
  </si>
  <si>
    <t>Medium</t>
  </si>
  <si>
    <t>The goblin has been busy mashing numbers into a single cell.</t>
  </si>
  <si>
    <t>Numbers are separated by a semi-colon. Each game has 40 numbers.</t>
  </si>
  <si>
    <t>Sum the numbers within each Set of Numbers.</t>
  </si>
  <si>
    <t>Hint: Consider using the TEXTSPLIT function.</t>
  </si>
  <si>
    <r>
      <rPr>
        <b/>
        <sz val="12"/>
        <color theme="1"/>
        <rFont val="Roboto"/>
      </rPr>
      <t>Example3:</t>
    </r>
    <r>
      <rPr>
        <sz val="12"/>
        <color theme="1"/>
        <rFont val="Roboto"/>
      </rPr>
      <t xml:space="preserve"> The first 10 numbers are 17617, 19142, 40, 596, 66246, 9530, 5611, 89124, 2637, and 97237.</t>
    </r>
  </si>
  <si>
    <t>The sum of all 40 numbers is 861,767.</t>
  </si>
  <si>
    <t>Game 41's answer is between 1,124,000 and 1,125,000.</t>
  </si>
  <si>
    <t>Game 42's answer is between 1,166,000 and 1,167,000.</t>
  </si>
  <si>
    <t>Game 43's answer is between 765,000 and 766,000.</t>
  </si>
  <si>
    <t>Sets of Numbers</t>
  </si>
  <si>
    <t>Example3</t>
  </si>
  <si>
    <t>17617;19142;40;596;66246;9530;5611;89124;2637;97237;486;6290;9805;3581;739;4337;4170;6487;7352;345;210;133;326;96198;805;96839;235;92777;30129;9922;7394;2066;20191;5316;9732;5676;99133;972;840;31501</t>
  </si>
  <si>
    <t>15807;899;5584;22831;791;7047;78181;31564;26049;44915;75790;56863;18269;31887;46030;7245;74754;2593;84666;14073;4745;5141;625;63534;634;77736;707;1758;43339;55121;83586;638;2838;32862;94944;309;8017;438;716;634</t>
  </si>
  <si>
    <t>9881;337;10997;22819;25055;81918;967;2735;87402;121;176;64436;2051;1796;7782;47737;4337;46621;16860;93223;5460;88493;6948;591;5712;593;796;97380;54730;30163;94;65169;88;4732;7083;27260;41843;48830;87335;66445</t>
  </si>
  <si>
    <t>468;846;27133;32294;623;7089;322;963;9713;4895;39116;5543;4092;4572;22;2421;609;95172;2897;15697;618;41593;90954;71889;84998;611;25;897;64127;106;43488;8764;1407;2080;861;21314;3869;72805;431;113</t>
  </si>
  <si>
    <t>3064;354;377;8007;6433;62695;1529;8022;404;3150;96342;6968;12073;64223;2008;59274;4546;230;739;253;505;819;4313;81521;620;6901;3126;7829;6311;2262;5482;107;5855;4367;92728;761;913;7254;497;3698</t>
  </si>
  <si>
    <t>2130;36881;8856;3374;22425;165;959;2455;4352;5672;63805;971;5100;7661;52736;28387;9831;81910;52136;13686;34778;82262;7262;433;925;9045;8372;188;9101;94137;8011;197;73;5117;28939;1271;7928;389;62131;618</t>
  </si>
  <si>
    <t>738;52191;140;996;35254;5728;1622;5606;29;57774;9219;581;409;4324;2853;4195;750;4664;78187;10;2653;967;61893;46260;324;7987;1738;15527;579;486;92353;174;8136;620;3251;7358;622;79267;45826;724</t>
  </si>
  <si>
    <t>75740;224;54282;936;39968;9009;94088;427;3707;522;1732;7104;2100;304;392;14800;4819;64659;34856;59554;369;51399;820;7336;599;75254;558;28936;473;281;28381;9251;635;29;816;1869;10842;4162;6707;666</t>
  </si>
  <si>
    <t>2893;23157;980;6031;5085;4173;76611;67880;273;5188;56698;2297;909;65207;1485;80955;30601;939;984;65103;6825;177;6334;57670;6818;458;8046;8329;78619;652;6607;2083;76849;6165;120;3686;58;40301;13521;69987</t>
  </si>
  <si>
    <t>575;974;853;566;159;325;77794;43190;93129;39245;15;9198;77334;11759;102;15225;462;90683;875;8960;229;9650;9946;70026;8266;26266;470;140;48233;8226;5168;22626;81046;539;20566;6647;9191;731;6615;888</t>
  </si>
  <si>
    <t>185;803;6056;686;497;941;103;58796;220;8047;378;383;927;5062;4677;9065;92491;37960;5194;338;40315;846;986;5428;3995;602;64;445;6615;335;9564;995;6129;172;5866;417;113;6896;1413;6037</t>
  </si>
  <si>
    <t>707;66200;2381;49861;671;26216;92691;7112;31461;657;767;928;87044;25795;98762;762;33235;46235;417;9173;471;2018;50095;5541;44098;7680;3032;438;3516;17806;958;129;96829;5953;299;91594;9841;275;3353;91745</t>
  </si>
  <si>
    <t>7784;3902;494;282;11902;1540;5194;37976;5486;137;2972;5964;171;6484;38118;73171;819;908;56328;3512;20484;878;57847;94997;193;231;7042;864;97816;52757;5907;767;195;769;502;5911;4075;9777;611;9796</t>
  </si>
  <si>
    <t>542;950;7977;4880;192;8157;3806;73362;60507;578;45260;78612;687;95678;81767;96047;34805;23;266;79632;615;746;7045;2628;646;6601;42267;67553;9558;196;7922;101;315;47040;7977;1407;273;1436;99378;99219</t>
  </si>
  <si>
    <t>92320;788;70610;88250;92050;58542;57679;6284;31473;52875;36762;8076;86184;16587;6571;4537;6539;728;9470;4691;89256;1182;77071;5062;7050;9598;483;785;772;3464;17663;630;383;3556;36056;813;287;136;329;787</t>
  </si>
  <si>
    <t>9184;4119;7925;9702;1996;2604;8538;730;6677;6722;9614;891;943;8525;1937;82374;52099;47390;55564;651;31729;1519;2620;21378;66833;35675;822;1269;7707;8167;74264;26423;97257;4438;86178;785;553;6271;39717;7994</t>
  </si>
  <si>
    <t>69384;3747;9351;9840;5946;8669;2584;86499;2479;7599;2473;61216;81361;17747;495;4933;16905;3238;127;15837;57105;58532;71266;6267;804;6400;53985;549;836;5242;53392;51607;798;8715;687;116;6995;8237;89188;24872</t>
  </si>
  <si>
    <t>6724;650;88082;886;5612;7787;78204;1588;33632;578;4255;1973;112;97824;520;13398;772;24114;29185;97610;858;85421;6111;37491;742;1436;623;35;4271;64239;130;2686;3897;451;4999;904;971;258;708;203</t>
  </si>
  <si>
    <t>573;421;4204;4619;4708;6646;2154;9040;286;2061;63931;1698;906;66986;145;7423;4828;1503;11250;62115;3611;3745;607;1348;5656;1685;6629;9692;489;97656;1371;1465;2808;9717;94531;221;260;3946;8977;5488</t>
  </si>
  <si>
    <t>35033;4271;71237;8187;31409;40316;26602;4034;37671;884;6987;45961;423;478;374;5979;4635;107;690;5282;810;2346;14296;909;35750;283;6962;5920;40016;64924;1674;99495;59033;656;607;201;475;3647;1771;20174</t>
  </si>
  <si>
    <t>69205;522;96781;1690;728;9914;61119;3625;406;75;174;1455;31755;1971;6788;6751;217;3542;819;3469;86231;93597;36165;51979;48116;4075;4645;24501;407;643;943;165;7908;1479;55580;69288;1090;1309;250;82822</t>
  </si>
  <si>
    <t>Level 4</t>
  </si>
  <si>
    <t>Oh no!! All kinds of creepy emojis have infiltrated our spreadsheet.</t>
  </si>
  <si>
    <t>Count how many times the Emoji of Interest appears in the each Set of Emojis.</t>
  </si>
  <si>
    <t>Hint: Consider using COUNTIF or COUNTIFS.</t>
  </si>
  <si>
    <r>
      <rPr>
        <b/>
        <sz val="12"/>
        <color theme="1"/>
        <rFont val="Roboto"/>
      </rPr>
      <t>Example4:</t>
    </r>
    <r>
      <rPr>
        <sz val="12"/>
        <color theme="1"/>
        <rFont val="Roboto"/>
      </rPr>
      <t xml:space="preserve"> The 🐽 emoji appears in cells 1, 3, 7, 21, 26, and 27. A total of 6 cells.</t>
    </r>
  </si>
  <si>
    <t>Game 61's answer is between 4 and 7, inclusive.</t>
  </si>
  <si>
    <t>Game 62's answer is between 8 and 10, inclusive.</t>
  </si>
  <si>
    <t>Game 63's answer is between 1 and 3, inclusive.</t>
  </si>
  <si>
    <t>Sets of Emojis</t>
  </si>
  <si>
    <t>Emoji of Interest</t>
  </si>
  <si>
    <t>Example4</t>
  </si>
  <si>
    <t>🐽</t>
  </si>
  <si>
    <t>🐍</t>
  </si>
  <si>
    <t>👽</t>
  </si>
  <si>
    <t>🐙</t>
  </si>
  <si>
    <t>🎃</t>
  </si>
  <si>
    <t>👿</t>
  </si>
  <si>
    <t>👹</t>
  </si>
  <si>
    <t>💀</t>
  </si>
  <si>
    <t>👻</t>
  </si>
  <si>
    <t>🐉</t>
  </si>
  <si>
    <t>Level 5</t>
  </si>
  <si>
    <t>Uh oh!! The scary emojis have inserted themselves in our numbers and congregated the numbers into a single cell.</t>
  </si>
  <si>
    <t>Each game has a set of 40 numbers in a single cell separated by semi-colons (;).</t>
  </si>
  <si>
    <t>Within each set of numbers, a single scary emoji appears within or around each number. E.g., in Example5, the scary emoji is 👻.</t>
  </si>
  <si>
    <t>Ignore any leading zeros for a number. Pay attention to which cell the scary emoji is located in.</t>
  </si>
  <si>
    <t>Sum the numbers.</t>
  </si>
  <si>
    <t>Hint: Consider using SUBSTITUTE and TEXTSPLIT, along with other functions.</t>
  </si>
  <si>
    <r>
      <rPr>
        <b/>
        <sz val="12"/>
        <color theme="1"/>
        <rFont val="Roboto"/>
      </rPr>
      <t>Example5:</t>
    </r>
    <r>
      <rPr>
        <sz val="12"/>
        <color theme="1"/>
        <rFont val="Roboto"/>
      </rPr>
      <t xml:space="preserve"> The first 10 numbers are 172, 5709, 41431, 41111, 676, 7392, 1596, 3584, 6253, and 13179.</t>
    </r>
  </si>
  <si>
    <t>Totaling all 40 numbers, the answer is 591,117.</t>
  </si>
  <si>
    <t>Game 81's answer is between 653,000 and 654,000.</t>
  </si>
  <si>
    <t>Game 82's answer is between 364,000 and 365,000.</t>
  </si>
  <si>
    <t>Game 83's answer is between 630,000 and 631,000.</t>
  </si>
  <si>
    <t>Emoji</t>
  </si>
  <si>
    <t>Example5</t>
  </si>
  <si>
    <t>172👻;570👻9;414👻31;41111👻;👻676;7👻392;15👻96;3584👻;625👻3;1317👻9;3311👻3;👻14960;4618👻1;👻339;0👻9041;465👻3;0👻2181;7👻117;423👻5;7👻812;81👻710;620👻6;7300👻;679👻9;36👻88;03👻17;038👻2;09👻05;93👻94;👻9115;3👻179;065👻;88👻89;31735👻;311👻84;7👻087;98👻38;1👻351;👻3121;👻50616;675👻01</t>
  </si>
  <si>
    <t>291🐉4;021🐉56;1🐉8622;72🐉54;🐉0629;4🐉92;081🐉11;🐉2555;586🐉6;🐉8999;29021🐉;883🐉;7577🐉;4🐉980;18🐉312;🐉4955;0735🐉;🐉6717;11050🐉;🐉3465;7🐉24;16🐉140;713🐉2;68051🐉;4🐉1017;27🐉88;8🐉2116;🐉5337;6🐉4102;05🐉42;7803🐉;9430🐉;891🐉;158🐉30;6🐉986;42🐉39;🐉1368;512🐉9;9206🐉;69🐉113;90601🐉</t>
  </si>
  <si>
    <t>1🐽37;2976🐽;05🐽19;13🐽002;36🐽89;2🐽685;88🐽83;967🐽;97🐽69;🐽0883;3481🐽2;9🐽806;727🐽8;254🐽5;15🐽18;283🐽4;12675🐽;🐽668;7121🐽9;3909🐽;🐽7979;5🐽62;785🐽1;49🐽103;7757🐽;494🐽6;1643🐽7;96🐽32;🐽9339;3637🐽;1680🐽;🐽4017;241🐽4;8721🐽;🐽4971;🐽17138;🐽478;7🐽051;3🐽327;3🐽598;03🐽419</t>
  </si>
  <si>
    <t>🐍7582;708🐍13;1🐍1780;🐍8374;38🐍1;214🐍77;8646🐍;6943🐍;498🐍5;376🐍6;8289🐍;5439🐍;821🐍5;1🐍34;4698🐍;1🐍359;17421🐍;1118🐍4;16🐍490;204🐍6;75🐍88;🐍0664;42813🐍;🐍5515;3161🐍;4🐍768;1080🐍;🐍8608;8519🐍;704🐍;219🐍5;8050🐍;08111🐍;🐍71299;915🐍15;304🐍6;🐍83413;33🐍132;7🐍378;🐍15175;🐍3730</t>
  </si>
  <si>
    <t>4🐙1610;5🐙0715;70151🐙;016🐙3;495🐙1;9🐙906;31🐙63;8259🐙;078🐙4;750🐙6;🐙18170;88🐙54;6🐙553;🐙05102;🐙3137;🐙4418;314🐙8;3209🐙;1793🐙;71180🐙;37🐙78;0🐙288;0🐙075;3🐙1021;🐙1747;🐙35115;2🐙712;🐙0433;0155🐙;9014🐙;680🐙7;7🐙238;1419🐙4;195🐙17;🐙9998;118🐙2;4805🐙;873🐙1;1🐙461;302🐙;02🐙69</t>
  </si>
  <si>
    <t>9🎃734;8🎃94;7🎃061;2🎃514;38🎃48;6211🎃;🎃71131;2221🎃1;97🎃57;25🎃119;570🎃2;448🎃2;🎃24211;343🎃7;53🎃15;🎃99121;588🎃8;🎃4889;160🎃9;172🎃2;74🎃1;557🎃1;119🎃39;1🎃2271;181🎃7;6🎃022;462🎃7;1852🎃;2108🎃0;7112🎃;03015🎃;11🎃113;3🎃749;8🎃017;5011🎃2;🎃1567;1289🎃0;273🎃8;152🎃12;🎃60111;518🎃17</t>
  </si>
  <si>
    <t>97👹291;5👹350;96👹37;46👹07;7👹291;608👹6;171👹05;0931👹1;297👹5;👹2744;90👹281;0405👹;56👹34;21👹850;18👹421;👹4988;7025👹;2488👹;43231👹;42👹178;7748👹;1👹5831;👹9852;176👹0;16199👹;👹11946;5314👹;79👹161;76👹80;👹4969;8570👹;👹0716;5310👹;83👹88;👹71320;39👹2;7👹920;8👹951;60👹401;43571👹;1142👹5</t>
  </si>
  <si>
    <t>93👽98;👽1656;022👽01;152👽8;301👽82;👽2768;1866👽;1608👽;1364👽;8342👽;👽8084;7390👽;👽0868;0👽4251;6👽195;262👽12;91👽109;01👽562;18👽2;9666👽;3498👽;838👽5;37👽311;6👽086;2095👽;516👽4;21👽87;60141👽;30👽32;811👽40;568👽4;853👽6;4709👽;86👽40;8403👽;773👽2;9👽271;710👽11;56👽75;10416👽;👽54113</t>
  </si>
  <si>
    <t>205👿6;388👿5;👿17623;51👿514;3429👿;8345👿;8👿372;1👿756;123👿35;364👿81;32123👿;2134👿;7👿717;2001👿1;👿9567;11👿293;4635👿;1528👿;1407👿2;315👿17;5325👿;7👿600;2👿865;1👿917;33👿415;👿3628;40👿32;37👿8;👿3151;35👿04;11👿624;173👿81;8303👿;56👿08;37👿73;1689👿1;4👿896;370👿;👿1324;👿0176;65👿110</t>
  </si>
  <si>
    <t>249💀0;120💀22;41💀51;2651💀;85💀37;1💀497;💀8265;748💀0;183💀5;521💀24;98💀43;53💀22;💀51611;💀9888;538💀4;9418💀;💀6229;2323💀;41618💀;35💀301;82💀8;49💀15;2944💀;3💀2174;1251💀0;556💀4;773💀;5💀395;371💀92;4💀2613;28💀49;80💀75;9💀277;7291💀1;302💀91;💀726;💀2511;8💀363;29111💀;💀17231;5718💀</t>
  </si>
  <si>
    <t>🐉648;🐉6317;🐉4359;8🐉2321;39🐉56;🐉6671;🐉11411;2🐉344;7🐉2512;1🐉1568;6🐉558;8🐉666;🐉4058;973🐉8;48🐉48;29🐉27;0487🐉1;5🐉0152;🐉9920;42🐉67;6311🐉4;0🐉926;014🐉4;35🐉8;6🐉419;1814🐉0;743🐉;🐉8854;🐉62129;711🐉30;5952🐉;🐉18061;🐉81172;🐉16718;811🐉77;310🐉73;42🐉41;29🐉921;🐉066;41🐉8;🐉68111</t>
  </si>
  <si>
    <t>525🐙1;🐙7033;92012🐙;9🐙87;9717🐙;120🐙8;🐙8307;🐙1576;2928🐙1;1🐙988;🐙8900;90🐙316;22🐙901;🐙37152;🐙2757;061🐙10;624🐙14;🐙31053;579🐙3;8🐙1008;16🐙55;059🐙8;9🐙4251;998🐙01;118🐙06;634🐙8;73191🐙;46🐙85;55🐙41;8🐙473;1640🐙;7995🐙;6🐙56;58🐙65;1🐙646;765🐙;0467🐙;197🐙17;82🐙91;641🐙0;🐙2758</t>
  </si>
  <si>
    <t>712👹8;5412👹;933👹0;379👹1;1106👹1;9214👹;939👹7;8671👹;👹09119;6👹7170;👹72178;1653👹;8341👹;70👹37;1164👹;1👹0361;718👹9;41👹741;742👹4;👹594;91👹88;021👹31;53👹77;👹33771;7👹2110;0698👹;👹9819;89👹5;700👹5;👹0953;12👹190;3152👹1;7👹4131;626👹7;45👹67;6👹588;3👹227;31311👹;2👹988;7👹698;88👹41</t>
  </si>
  <si>
    <t>68👽41;3👽226;70👽84;97👽50;655👽11;👽6180;7👽465;7👽06;👽11157;0👽1610;0👽657;694👽1;1👽1225;13742👽;51561👽;1👽1597;865👽6;110👽00;1👽953;👽9880;👽93113;06👽413;898👽5;130👽2;👽3503;9👽849;57👽32;👽273;113👽63;21848👽;2519👽;292👽7;7854👽;801👽15;👽6306;71👽87;9👽447;538👽;928👽9;246👽4;113👽2</t>
  </si>
  <si>
    <t>5💀636;💀16117;💀79301;💀6980;502💀7;1310💀2;11720💀;411💀12;7💀195;895💀5;612💀2;516💀1;76💀210;6146💀;113💀15;6645💀;💀4999;5💀8182;1💀266;85💀93;💀0526;💀1108;8463💀;💀569;192💀7;691💀8;0💀2461;105💀00;168💀12;07💀50;330💀3;419💀1;4727💀;1341💀3;189💀0;9💀982;3💀404;03💀213;343💀0;💀31726;56011💀</t>
  </si>
  <si>
    <t>🎃4734;0231🎃6;51🎃312;1366🎃0;🎃355;88🎃811;80212🎃;1522🎃1;2🎃3172;71🎃2;2🎃07;2571🎃3;81🎃056;85🎃25;4🎃588;78🎃57;824🎃7;🎃468;🎃7953;005🎃5;164🎃0;3122🎃3;11744🎃;247🎃7;2279🎃;73🎃5;🎃0347;0904🎃;1🎃2135;3🎃212;🎃9039;1🎃481;3🎃1982;10🎃162;11🎃57;921🎃3;24🎃65;4282🎃1;83🎃79;2🎃153;90160🎃</t>
  </si>
  <si>
    <t>4306🐍;1916🐍;5🐍850;0🐍621;17🐍435;2296🐍;307🐍31;🐍3177;🐍725;63🐍77;89🐍53;421🐍8;65🐍45;1458🐍;2333🐍;1327🐍;292🐍16;🐍0605;09271🐍;1🐍3522;🐍61321;85🐍01;50401🐍;2🐍474;60🐍6;🐍224;01765🐍;875🐍0;12073🐍;0233🐍1;93171🐍;13🐍30;0926🐍;133🐍42;🐍341;1762🐍;47🐍78;2086🐍;5🐍750;78🐍75;0191🐍</t>
  </si>
  <si>
    <t>289🐽;4🐽522;29🐽01;🐽12624;🐽2728;58🐽12;803🐽2;3🐽0851;3🐽797;6620🐽;🐽8406;4675🐽;5777🐽;🐽10303;🐽5344;137🐽2;2🐽436;🐽9743;51🐽96;🐽4181;🐽0577;🐽2757;70155🐽;1341🐽9;2093🐽;3439🐽;589🐽0;52🐽53;79🐽69;90🐽32;60🐽16;2778🐽;953🐽;0🐽1176;🐽2155;6🐽79;1🐽6081;5🐽930;🐽5147;3🐽272;57🐽48</t>
  </si>
  <si>
    <t>92👻241;4👻666;👻5631;1👻4243;78👻24;👻1504;👻9588;12👻179;32👻14;8👻03;4👻6102;13618👻;👻2884;2211👻9;19👻36;2176👻;017👻7;283👻4;247👻12;21165👻;689👻6;5👻021;91👻133;2442👻;601👻08;9319👻;89👻27;101👻35;0👻583;81👻61;08👻36;👻9430;008👻9;4612👻;11412👻;006👻3;41👻93;8820👻;👻10196;2311👻9;96👻36</t>
  </si>
  <si>
    <t>48👿87;26👿313;737👿7;34👿218;👿2659;👿1835;1833👿;21121👿;03👿75;👿7333;9178👿;4895👿;7155👿;0010👿0;8👿372;152👿3;1642👿;4064👿;4117👿9;920👿5;3145👿;8293👿;👿2769;👿6655;4446👿;👿71212;678👿;0490👿;👿1057;4👿74;284👿4;👿13012;641👿23;6412👿;181👿47;67👿7;👿749;139👿32;👿1778;4852👿;👿7192</t>
  </si>
  <si>
    <t>02🐽04;9968🐽;250🐽7;62261🐽;2652🐽;🐽979;11111🐽;🐽7200;7030🐽;52🐽710;3🐽1135;6🐽2261;8🐽196;4275🐽;4🐽501;3748🐽;2981🐽4;1161🐽8;3508🐽;0516🐽;🐽31016;720🐽;🐽7137;977🐽6;🐽7683;1🐽9790;0🐽753;3122🐽2;4🐽810;13🐽21;3318🐽0;6787🐽;18132🐽;9🐽677;🐽1560;64🐽61;🐽8423;9🐽857;5🐽867;🐽6739;91🐽101</t>
  </si>
  <si>
    <t>Level 6</t>
  </si>
  <si>
    <t>What a fright!!  Scary emojis have eaten our numbers.</t>
  </si>
  <si>
    <t>Scary Emoji</t>
  </si>
  <si>
    <t>Numeral</t>
  </si>
  <si>
    <t>Each scary emoji has replaced a particular numeral as shown in the table on the right.</t>
  </si>
  <si>
    <t>Each game has 40 numbers.</t>
  </si>
  <si>
    <t>Hint: XLOOKUP might be helpful.</t>
  </si>
  <si>
    <r>
      <rPr>
        <b/>
        <sz val="12"/>
        <color theme="1"/>
        <rFont val="Roboto"/>
      </rPr>
      <t>Example6:</t>
    </r>
    <r>
      <rPr>
        <sz val="12"/>
        <color theme="1"/>
        <rFont val="Roboto"/>
      </rPr>
      <t xml:space="preserve"> The first 10 numbers are 4, 2, 4, 7, 3, 0, 4, 8, 5, and 9.</t>
    </r>
  </si>
  <si>
    <t>Totaling all 40 numbers, the answer is 185.</t>
  </si>
  <si>
    <t>Game 101's answer is between 140 and 160.</t>
  </si>
  <si>
    <t>Game 102's answer is between 160 and 180.</t>
  </si>
  <si>
    <t>Game 103's answer is between 180 and 200.</t>
  </si>
  <si>
    <t>Sets of Emoji Numbers</t>
  </si>
  <si>
    <t>Example</t>
  </si>
  <si>
    <t>Level 7</t>
  </si>
  <si>
    <t>Hard</t>
  </si>
  <si>
    <t>Holy horrors!!  Scary emojis have eaten our numbers and joined themselves together within a single cell.</t>
  </si>
  <si>
    <t>Each scary emoji replaces a particular numeral as shown in the table on the right.</t>
  </si>
  <si>
    <r>
      <rPr>
        <i/>
        <u/>
        <sz val="12"/>
        <color theme="1"/>
        <rFont val="Roboto"/>
      </rPr>
      <t>Very Important Note:</t>
    </r>
    <r>
      <rPr>
        <sz val="12"/>
        <color theme="1"/>
        <rFont val="Roboto"/>
      </rPr>
      <t xml:space="preserve"> Each emoji has a length of 2 characters.</t>
    </r>
  </si>
  <si>
    <t>Convert the emojis into numbers.</t>
  </si>
  <si>
    <t>Hint: Consider using the functions CONCAT, MID, and XLOOKUP.</t>
  </si>
  <si>
    <r>
      <rPr>
        <b/>
        <sz val="12"/>
        <color theme="1"/>
        <rFont val="Roboto"/>
      </rPr>
      <t>Example7:</t>
    </r>
    <r>
      <rPr>
        <sz val="12"/>
        <color theme="1"/>
        <rFont val="Roboto"/>
      </rPr>
      <t xml:space="preserve"> The first emoji converts to an 8. The second emoji converts to a 4.</t>
    </r>
  </si>
  <si>
    <t>Combining the 8 and 4, the answer is 84.</t>
  </si>
  <si>
    <t>Game 121's answer is between 100 and 120, inclusive.</t>
  </si>
  <si>
    <t>Game 122's answer is between 840 and 860, inclusive.</t>
  </si>
  <si>
    <t>Game 123's answer is between 2800 and 2820, inclusive.</t>
  </si>
  <si>
    <t>Emoji Numbers</t>
  </si>
  <si>
    <t>Example7</t>
  </si>
  <si>
    <t>👿🐽</t>
  </si>
  <si>
    <t>🐉🐉👹</t>
  </si>
  <si>
    <t>👿👻🎃</t>
  </si>
  <si>
    <t>🐍👿🎃💀</t>
  </si>
  <si>
    <t>👻👿🐙🐍</t>
  </si>
  <si>
    <t>🐉👽👻🐉</t>
  </si>
  <si>
    <t>🐽👻💀🐉</t>
  </si>
  <si>
    <t>👻🐍🐙🐍</t>
  </si>
  <si>
    <t>🐽👽🐉👿🐉</t>
  </si>
  <si>
    <t>🐙🐍🐍🐙</t>
  </si>
  <si>
    <t>👿🐍👽🐽🐉</t>
  </si>
  <si>
    <t>🐉👽🐽💀</t>
  </si>
  <si>
    <t>👻👽🐙👿👽</t>
  </si>
  <si>
    <t>👿👹🐉🐉</t>
  </si>
  <si>
    <t>👹👻🐍👹</t>
  </si>
  <si>
    <t>👹🐽👿🐽🎃</t>
  </si>
  <si>
    <t>🐍👿</t>
  </si>
  <si>
    <t>🐍🐉🎃👻🎃</t>
  </si>
  <si>
    <t>👹👽</t>
  </si>
  <si>
    <t>🐉🎃🎃👹</t>
  </si>
  <si>
    <t>👻👹🎃</t>
  </si>
  <si>
    <t>Your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</si>
</sst>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m/yyyy"/>
  </numFmts>
  <fonts count="3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Roboto"/>
    </font>
    <font>
      <b/>
      <sz val="12"/>
      <color theme="7" tint="-0.499984740745262"/>
      <name val="Roboto"/>
    </font>
    <font>
      <sz val="12"/>
      <color theme="7" tint="-0.499984740745262"/>
      <name val="Roboto"/>
    </font>
    <font>
      <b/>
      <sz val="18"/>
      <color theme="0"/>
      <name val="Roboto"/>
    </font>
    <font>
      <b/>
      <sz val="14"/>
      <color theme="0"/>
      <name val="Roboto"/>
    </font>
    <font>
      <sz val="11"/>
      <color theme="7" tint="-0.499984740745262"/>
      <name val="Roboto"/>
    </font>
    <font>
      <b/>
      <sz val="11"/>
      <name val="Roboto"/>
    </font>
    <font>
      <b/>
      <sz val="11"/>
      <color theme="1"/>
      <name val="Roboto"/>
    </font>
    <font>
      <b/>
      <sz val="20"/>
      <color theme="0"/>
      <name val="Roboto"/>
    </font>
    <font>
      <b/>
      <sz val="24"/>
      <color theme="0"/>
      <name val="Roboto"/>
    </font>
    <font>
      <sz val="11"/>
      <name val="Roboto"/>
    </font>
    <font>
      <u/>
      <sz val="11"/>
      <color theme="10"/>
      <name val="Calibri"/>
      <family val="2"/>
      <scheme val="minor"/>
    </font>
    <font>
      <b/>
      <sz val="72"/>
      <color theme="1"/>
      <name val="ROBOTECH GP"/>
      <family val="2"/>
    </font>
    <font>
      <b/>
      <sz val="20"/>
      <color theme="1"/>
      <name val="Robotech"/>
    </font>
    <font>
      <sz val="11"/>
      <color theme="1"/>
      <name val="Calibri"/>
      <family val="2"/>
    </font>
    <font>
      <sz val="12"/>
      <color theme="7" tint="-0.499984740745262"/>
      <name val="Calibri"/>
      <family val="2"/>
      <scheme val="minor"/>
    </font>
    <font>
      <sz val="12"/>
      <name val="Roboto"/>
    </font>
    <font>
      <sz val="12"/>
      <color theme="1"/>
      <name val="Roboto"/>
    </font>
    <font>
      <sz val="11"/>
      <color theme="1"/>
      <name val="Calibri"/>
      <family val="2"/>
      <scheme val="minor"/>
    </font>
    <font>
      <sz val="11"/>
      <color rgb="FFFF0000"/>
      <name val="Roboto"/>
    </font>
    <font>
      <b/>
      <sz val="12"/>
      <color theme="1"/>
      <name val="Roboto"/>
    </font>
    <font>
      <b/>
      <sz val="12"/>
      <name val="Roboto"/>
    </font>
    <font>
      <i/>
      <u/>
      <sz val="12"/>
      <color theme="1"/>
      <name val="Roboto"/>
    </font>
    <font>
      <i/>
      <sz val="12"/>
      <color theme="1"/>
      <name val="Roboto"/>
    </font>
    <font>
      <i/>
      <sz val="12"/>
      <name val="Roboto"/>
    </font>
    <font>
      <b/>
      <sz val="12"/>
      <color theme="0"/>
      <name val="Roboto"/>
    </font>
    <font>
      <i/>
      <sz val="14"/>
      <color theme="1"/>
      <name val="Roboto"/>
    </font>
    <font>
      <b/>
      <sz val="26"/>
      <color theme="0"/>
      <name val="Roboto"/>
    </font>
    <font>
      <sz val="20"/>
      <color theme="1"/>
      <name val="Aptos"/>
      <family val="2"/>
    </font>
    <font>
      <b/>
      <sz val="24"/>
      <color theme="0"/>
      <name val="Futura"/>
      <family val="2"/>
    </font>
    <font>
      <sz val="18"/>
      <color theme="1"/>
      <name val="Roboto"/>
    </font>
    <font>
      <sz val="11"/>
      <color theme="0"/>
      <name val="Roboto"/>
    </font>
    <font>
      <b/>
      <sz val="16"/>
      <color theme="1"/>
      <name val="Roboto"/>
    </font>
    <font>
      <b/>
      <sz val="11"/>
      <color theme="0"/>
      <name val="Roboto"/>
    </font>
    <font>
      <sz val="12"/>
      <color rgb="FFFFFFFF"/>
      <name val="Arial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6837"/>
        <bgColor indexed="64"/>
      </patternFill>
    </fill>
    <fill>
      <patternFill patternType="solid">
        <fgColor rgb="FFED203F"/>
        <bgColor auto="1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001838"/>
        <bgColor indexed="64"/>
      </patternFill>
    </fill>
    <fill>
      <patternFill patternType="solid">
        <fgColor rgb="FFED203F"/>
        <bgColor indexed="64"/>
      </patternFill>
    </fill>
    <fill>
      <patternFill patternType="solid">
        <fgColor rgb="FFBC1F36"/>
        <bgColor indexed="64"/>
      </patternFill>
    </fill>
    <fill>
      <patternFill patternType="solid">
        <fgColor rgb="FF9E1B32"/>
        <bgColor indexed="64"/>
      </patternFill>
    </fill>
  </fills>
  <borders count="30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3" fillId="0" borderId="0" applyNumberFormat="0" applyFill="0" applyBorder="0" applyAlignment="0" applyProtection="0"/>
    <xf numFmtId="0" fontId="20" fillId="0" borderId="0"/>
    <xf numFmtId="0" fontId="20" fillId="0" borderId="0"/>
    <xf numFmtId="0" fontId="30" fillId="0" borderId="0"/>
    <xf numFmtId="0" fontId="20" fillId="0" borderId="0"/>
  </cellStyleXfs>
  <cellXfs count="13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vertical="top" wrapText="1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vertical="top" wrapText="1"/>
    </xf>
    <xf numFmtId="0" fontId="11" fillId="2" borderId="0" xfId="0" applyFont="1" applyFill="1" applyAlignment="1">
      <alignment vertical="center"/>
    </xf>
    <xf numFmtId="0" fontId="10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8" fillId="2" borderId="0" xfId="0" applyFont="1" applyFill="1" applyAlignment="1">
      <alignment horizontal="left"/>
    </xf>
    <xf numFmtId="0" fontId="9" fillId="2" borderId="0" xfId="0" applyFont="1" applyFill="1" applyAlignment="1">
      <alignment horizontal="left"/>
    </xf>
    <xf numFmtId="3" fontId="5" fillId="3" borderId="2" xfId="0" applyNumberFormat="1" applyFont="1" applyFill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3" fontId="2" fillId="2" borderId="0" xfId="0" applyNumberFormat="1" applyFont="1" applyFill="1"/>
    <xf numFmtId="3" fontId="2" fillId="2" borderId="0" xfId="0" applyNumberFormat="1" applyFont="1" applyFill="1" applyAlignment="1">
      <alignment horizontal="center"/>
    </xf>
    <xf numFmtId="3" fontId="12" fillId="2" borderId="0" xfId="0" applyNumberFormat="1" applyFont="1" applyFill="1"/>
    <xf numFmtId="3" fontId="0" fillId="2" borderId="0" xfId="0" applyNumberFormat="1" applyFill="1"/>
    <xf numFmtId="3" fontId="2" fillId="2" borderId="0" xfId="0" applyNumberFormat="1" applyFont="1" applyFill="1" applyAlignment="1">
      <alignment vertical="top" wrapText="1"/>
    </xf>
    <xf numFmtId="3" fontId="10" fillId="2" borderId="0" xfId="0" applyNumberFormat="1" applyFont="1" applyFill="1"/>
    <xf numFmtId="3" fontId="5" fillId="2" borderId="0" xfId="0" applyNumberFormat="1" applyFont="1" applyFill="1" applyAlignment="1">
      <alignment horizontal="center" vertical="center"/>
    </xf>
    <xf numFmtId="0" fontId="16" fillId="2" borderId="0" xfId="0" applyFont="1" applyFill="1"/>
    <xf numFmtId="0" fontId="0" fillId="2" borderId="0" xfId="0" applyFill="1" applyAlignment="1">
      <alignment horizontal="center"/>
    </xf>
    <xf numFmtId="0" fontId="19" fillId="2" borderId="0" xfId="0" applyFont="1" applyFill="1" applyAlignment="1">
      <alignment horizontal="left"/>
    </xf>
    <xf numFmtId="0" fontId="18" fillId="2" borderId="0" xfId="0" applyFont="1" applyFill="1"/>
    <xf numFmtId="0" fontId="19" fillId="2" borderId="0" xfId="0" applyFont="1" applyFill="1"/>
    <xf numFmtId="0" fontId="15" fillId="2" borderId="0" xfId="0" applyFont="1" applyFill="1" applyAlignment="1">
      <alignment wrapTex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7" fillId="2" borderId="20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/>
    </xf>
    <xf numFmtId="3" fontId="5" fillId="3" borderId="21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2" borderId="0" xfId="0" applyFont="1" applyFill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0" fontId="21" fillId="2" borderId="0" xfId="0" applyFont="1" applyFill="1"/>
    <xf numFmtId="0" fontId="21" fillId="2" borderId="0" xfId="0" applyFont="1" applyFill="1" applyAlignment="1">
      <alignment horizontal="left"/>
    </xf>
    <xf numFmtId="1" fontId="12" fillId="2" borderId="0" xfId="0" applyNumberFormat="1" applyFont="1" applyFill="1"/>
    <xf numFmtId="0" fontId="22" fillId="2" borderId="0" xfId="0" applyFont="1" applyFill="1"/>
    <xf numFmtId="0" fontId="19" fillId="2" borderId="0" xfId="0" applyFont="1" applyFill="1" applyAlignment="1">
      <alignment horizontal="center"/>
    </xf>
    <xf numFmtId="0" fontId="22" fillId="2" borderId="0" xfId="0" applyFont="1" applyFill="1" applyAlignment="1">
      <alignment horizontal="left"/>
    </xf>
    <xf numFmtId="0" fontId="23" fillId="2" borderId="0" xfId="0" applyFont="1" applyFill="1"/>
    <xf numFmtId="0" fontId="23" fillId="2" borderId="0" xfId="0" applyFont="1" applyFill="1" applyAlignment="1">
      <alignment horizontal="left"/>
    </xf>
    <xf numFmtId="0" fontId="18" fillId="2" borderId="0" xfId="0" applyFont="1" applyFill="1" applyAlignment="1">
      <alignment horizontal="left"/>
    </xf>
    <xf numFmtId="3" fontId="21" fillId="2" borderId="0" xfId="0" applyNumberFormat="1" applyFont="1" applyFill="1"/>
    <xf numFmtId="164" fontId="4" fillId="2" borderId="15" xfId="0" applyNumberFormat="1" applyFont="1" applyFill="1" applyBorder="1" applyAlignment="1">
      <alignment horizontal="left" vertical="center"/>
    </xf>
    <xf numFmtId="0" fontId="2" fillId="2" borderId="5" xfId="0" applyFont="1" applyFill="1" applyBorder="1"/>
    <xf numFmtId="0" fontId="2" fillId="2" borderId="6" xfId="0" applyFont="1" applyFill="1" applyBorder="1"/>
    <xf numFmtId="0" fontId="25" fillId="2" borderId="0" xfId="0" applyFont="1" applyFill="1"/>
    <xf numFmtId="0" fontId="26" fillId="2" borderId="0" xfId="0" applyFont="1" applyFill="1"/>
    <xf numFmtId="0" fontId="22" fillId="0" borderId="0" xfId="0" applyFont="1"/>
    <xf numFmtId="0" fontId="19" fillId="0" borderId="0" xfId="0" applyFont="1"/>
    <xf numFmtId="0" fontId="1" fillId="2" borderId="10" xfId="0" applyFont="1" applyFill="1" applyBorder="1" applyAlignment="1">
      <alignment horizontal="left" vertical="top"/>
    </xf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2" borderId="0" xfId="0" applyFont="1" applyFill="1" applyAlignment="1">
      <alignment horizontal="centerContinuous"/>
    </xf>
    <xf numFmtId="0" fontId="4" fillId="0" borderId="15" xfId="0" applyFont="1" applyBorder="1" applyAlignment="1">
      <alignment horizontal="centerContinuous" vertical="center"/>
    </xf>
    <xf numFmtId="0" fontId="4" fillId="2" borderId="0" xfId="0" applyFont="1" applyFill="1" applyAlignment="1">
      <alignment horizontal="centerContinuous"/>
    </xf>
    <xf numFmtId="0" fontId="4" fillId="0" borderId="4" xfId="0" quotePrefix="1" applyFont="1" applyBorder="1" applyAlignment="1">
      <alignment horizontal="centerContinuous" vertical="center"/>
    </xf>
    <xf numFmtId="0" fontId="4" fillId="0" borderId="6" xfId="0" quotePrefix="1" applyFont="1" applyBorder="1" applyAlignment="1">
      <alignment horizontal="centerContinuous" vertical="center"/>
    </xf>
    <xf numFmtId="164" fontId="4" fillId="0" borderId="4" xfId="0" applyNumberFormat="1" applyFont="1" applyBorder="1" applyAlignment="1">
      <alignment horizontal="left" vertical="center"/>
    </xf>
    <xf numFmtId="164" fontId="4" fillId="0" borderId="5" xfId="0" applyNumberFormat="1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Continuous" vertical="center"/>
    </xf>
    <xf numFmtId="0" fontId="4" fillId="0" borderId="6" xfId="0" applyFont="1" applyBorder="1" applyAlignment="1">
      <alignment horizontal="centerContinuous" vertical="center"/>
    </xf>
    <xf numFmtId="164" fontId="4" fillId="2" borderId="0" xfId="0" applyNumberFormat="1" applyFont="1" applyFill="1" applyAlignment="1">
      <alignment horizontal="left" vertical="center"/>
    </xf>
    <xf numFmtId="0" fontId="21" fillId="2" borderId="0" xfId="0" applyFont="1" applyFill="1" applyAlignment="1">
      <alignment horizontal="center"/>
    </xf>
    <xf numFmtId="0" fontId="17" fillId="2" borderId="22" xfId="0" applyFont="1" applyFill="1" applyBorder="1" applyAlignment="1">
      <alignment horizontal="left" vertical="center"/>
    </xf>
    <xf numFmtId="0" fontId="17" fillId="2" borderId="23" xfId="0" applyFont="1" applyFill="1" applyBorder="1" applyAlignment="1">
      <alignment horizontal="left" vertical="center"/>
    </xf>
    <xf numFmtId="0" fontId="6" fillId="4" borderId="17" xfId="0" applyFont="1" applyFill="1" applyBorder="1" applyAlignment="1">
      <alignment horizontal="center" vertical="center"/>
    </xf>
    <xf numFmtId="0" fontId="28" fillId="5" borderId="16" xfId="0" applyFont="1" applyFill="1" applyBorder="1" applyAlignment="1">
      <alignment horizontal="center" vertical="center"/>
    </xf>
    <xf numFmtId="164" fontId="4" fillId="2" borderId="4" xfId="0" applyNumberFormat="1" applyFont="1" applyFill="1" applyBorder="1" applyAlignment="1">
      <alignment horizontal="left" vertical="center"/>
    </xf>
    <xf numFmtId="0" fontId="25" fillId="0" borderId="0" xfId="0" applyFont="1"/>
    <xf numFmtId="0" fontId="29" fillId="6" borderId="15" xfId="3" applyFont="1" applyFill="1" applyBorder="1" applyAlignment="1">
      <alignment horizontal="centerContinuous" vertical="center"/>
    </xf>
    <xf numFmtId="0" fontId="31" fillId="7" borderId="0" xfId="4" applyFont="1" applyFill="1" applyAlignment="1">
      <alignment horizontal="centerContinuous" vertical="center"/>
    </xf>
    <xf numFmtId="0" fontId="5" fillId="8" borderId="15" xfId="3" applyFont="1" applyFill="1" applyBorder="1" applyAlignment="1">
      <alignment horizontal="centerContinuous" vertical="center"/>
    </xf>
    <xf numFmtId="0" fontId="32" fillId="0" borderId="15" xfId="0" applyFont="1" applyBorder="1" applyAlignment="1">
      <alignment horizontal="centerContinuous"/>
    </xf>
    <xf numFmtId="0" fontId="5" fillId="8" borderId="24" xfId="3" applyFont="1" applyFill="1" applyBorder="1" applyAlignment="1">
      <alignment horizontal="centerContinuous" vertical="center"/>
    </xf>
    <xf numFmtId="0" fontId="17" fillId="2" borderId="25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0" fontId="17" fillId="2" borderId="26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5" fillId="6" borderId="15" xfId="3" applyFont="1" applyFill="1" applyBorder="1" applyAlignment="1">
      <alignment horizontal="centerContinuous" vertical="center"/>
    </xf>
    <xf numFmtId="0" fontId="27" fillId="8" borderId="19" xfId="3" applyFont="1" applyFill="1" applyBorder="1" applyAlignment="1">
      <alignment horizontal="centerContinuous" vertical="center"/>
    </xf>
    <xf numFmtId="0" fontId="27" fillId="8" borderId="16" xfId="3" applyFont="1" applyFill="1" applyBorder="1" applyAlignment="1">
      <alignment horizontal="center" vertical="center"/>
    </xf>
    <xf numFmtId="0" fontId="27" fillId="8" borderId="16" xfId="3" applyFont="1" applyFill="1" applyBorder="1" applyAlignment="1">
      <alignment horizontal="center" vertical="center" wrapText="1"/>
    </xf>
    <xf numFmtId="0" fontId="27" fillId="8" borderId="16" xfId="3" applyFont="1" applyFill="1" applyBorder="1" applyAlignment="1">
      <alignment horizontal="centerContinuous" vertical="center"/>
    </xf>
    <xf numFmtId="0" fontId="27" fillId="8" borderId="16" xfId="3" applyFont="1" applyFill="1" applyBorder="1" applyAlignment="1">
      <alignment horizontal="left" vertical="center"/>
    </xf>
    <xf numFmtId="0" fontId="27" fillId="8" borderId="17" xfId="3" applyFont="1" applyFill="1" applyBorder="1" applyAlignment="1">
      <alignment horizontal="left" vertical="center" indent="2"/>
    </xf>
    <xf numFmtId="0" fontId="27" fillId="8" borderId="18" xfId="3" applyFont="1" applyFill="1" applyBorder="1" applyAlignment="1">
      <alignment horizontal="centerContinuous" vertical="center"/>
    </xf>
    <xf numFmtId="0" fontId="27" fillId="8" borderId="17" xfId="3" applyFont="1" applyFill="1" applyBorder="1" applyAlignment="1">
      <alignment horizontal="left" vertical="center"/>
    </xf>
    <xf numFmtId="0" fontId="27" fillId="8" borderId="18" xfId="3" applyFont="1" applyFill="1" applyBorder="1" applyAlignment="1">
      <alignment horizontal="left" vertical="center"/>
    </xf>
    <xf numFmtId="0" fontId="27" fillId="8" borderId="19" xfId="3" applyFont="1" applyFill="1" applyBorder="1" applyAlignment="1">
      <alignment horizontal="left" vertical="center"/>
    </xf>
    <xf numFmtId="0" fontId="33" fillId="8" borderId="15" xfId="0" applyFont="1" applyFill="1" applyBorder="1" applyAlignment="1">
      <alignment horizontal="center" shrinkToFit="1"/>
    </xf>
    <xf numFmtId="0" fontId="34" fillId="2" borderId="0" xfId="2" applyFont="1" applyFill="1"/>
    <xf numFmtId="3" fontId="2" fillId="2" borderId="0" xfId="2" applyNumberFormat="1" applyFont="1" applyFill="1"/>
    <xf numFmtId="0" fontId="2" fillId="2" borderId="0" xfId="2" applyFont="1" applyFill="1"/>
    <xf numFmtId="0" fontId="2" fillId="2" borderId="0" xfId="2" applyFont="1" applyFill="1" applyAlignment="1">
      <alignment vertical="top" wrapText="1"/>
    </xf>
    <xf numFmtId="0" fontId="12" fillId="2" borderId="0" xfId="2" applyFont="1" applyFill="1" applyAlignment="1">
      <alignment vertical="top" wrapText="1"/>
    </xf>
    <xf numFmtId="0" fontId="12" fillId="2" borderId="0" xfId="2" applyFont="1" applyFill="1"/>
    <xf numFmtId="0" fontId="35" fillId="9" borderId="16" xfId="2" applyFont="1" applyFill="1" applyBorder="1" applyAlignment="1">
      <alignment horizontal="center" vertical="center"/>
    </xf>
    <xf numFmtId="3" fontId="35" fillId="9" borderId="16" xfId="2" applyNumberFormat="1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 vertical="center" wrapText="1"/>
    </xf>
    <xf numFmtId="1" fontId="5" fillId="3" borderId="21" xfId="2" applyNumberFormat="1" applyFont="1" applyFill="1" applyBorder="1" applyAlignment="1">
      <alignment horizontal="center" vertical="center"/>
    </xf>
    <xf numFmtId="0" fontId="3" fillId="0" borderId="20" xfId="4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 wrapText="1"/>
    </xf>
    <xf numFmtId="0" fontId="3" fillId="0" borderId="1" xfId="4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0" fontId="2" fillId="2" borderId="0" xfId="2" applyFont="1" applyFill="1" applyAlignment="1">
      <alignment horizontal="center"/>
    </xf>
    <xf numFmtId="3" fontId="2" fillId="2" borderId="0" xfId="2" applyNumberFormat="1" applyFont="1" applyFill="1" applyAlignment="1">
      <alignment horizontal="center"/>
    </xf>
    <xf numFmtId="0" fontId="1" fillId="2" borderId="7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left" vertical="top"/>
    </xf>
    <xf numFmtId="0" fontId="1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1" fillId="0" borderId="0" xfId="0" applyFont="1"/>
    <xf numFmtId="0" fontId="1" fillId="2" borderId="24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36" fillId="0" borderId="0" xfId="0" applyFont="1"/>
  </cellXfs>
  <cellStyles count="6">
    <cellStyle name="Hyperlink 2" xfId="1" xr:uid="{C1B9BA85-4C62-429F-905A-EBA90D38020B}"/>
    <cellStyle name="Normal 2 2" xfId="4" xr:uid="{64260D68-1BEC-4758-BB3C-13197ED2CB8E}"/>
    <cellStyle name="Normal 3" xfId="2" xr:uid="{A8B61497-2598-4AE7-AAE7-0C850B6D47A4}"/>
    <cellStyle name="Normal 3 2" xfId="5" xr:uid="{F0006F35-032D-4431-8330-DA9655ABD842}"/>
    <cellStyle name="Normal 3 3" xfId="3" xr:uid="{8850640B-DB4A-4128-8CF7-5AEEFEFAAB7C}"/>
    <cellStyle name="Normalny" xfId="0" builtinId="0"/>
  </cellStyles>
  <dxfs count="0"/>
  <tableStyles count="1" defaultTableStyle="TableStyleMedium2" defaultPivotStyle="PivotStyleLight16">
    <tableStyle name="Invisible" pivot="0" table="0" count="0" xr9:uid="{497F1D8E-06BA-41FC-9A83-A459126511B5}"/>
  </tableStyles>
  <colors>
    <mruColors>
      <color rgb="FF228AB8"/>
      <color rgb="FFFFCC99"/>
      <color rgb="FFFF7D7D"/>
      <color rgb="FFFFC5C5"/>
      <color rgb="FF29B77A"/>
      <color rgb="FFCC3399"/>
      <color rgb="FFFF0000"/>
      <color rgb="FF007B00"/>
      <color rgb="FF020024"/>
      <color rgb="FF0000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204106</xdr:colOff>
      <xdr:row>4</xdr:row>
      <xdr:rowOff>0</xdr:rowOff>
    </xdr:from>
    <xdr:to>
      <xdr:col>14</xdr:col>
      <xdr:colOff>0</xdr:colOff>
      <xdr:row>11</xdr:row>
      <xdr:rowOff>316962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95C2C9-B262-4A76-ACE7-FC0B26166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6" y="1265464"/>
          <a:ext cx="10668001" cy="30792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43D6-F0EE-4F28-965A-3B042AC9918C}">
  <dimension ref="A1:XEY1000"/>
  <sheetViews>
    <sheetView showGridLines="0" tabSelected="1" topLeftCell="A2" zoomScale="85" zoomScaleNormal="85" workbookViewId="0">
      <selection activeCell="E25" sqref="E25"/>
    </sheetView>
  </sheetViews>
  <sheetFormatPr defaultColWidth="8.42578125" defaultRowHeight="15"/>
  <cols>
    <col min="1" max="1" width="3.140625" style="1" customWidth="1"/>
    <col min="2" max="2" width="12.42578125" style="2" customWidth="1"/>
    <col min="3" max="3" width="14.42578125" style="2" customWidth="1"/>
    <col min="4" max="4" width="12.140625" style="2" bestFit="1" customWidth="1"/>
    <col min="5" max="5" width="25.85546875" style="23" customWidth="1"/>
    <col min="6" max="6" width="6.7109375" style="2" customWidth="1"/>
    <col min="7" max="42" width="11" style="1" customWidth="1"/>
    <col min="43" max="102" width="11" style="4" customWidth="1"/>
    <col min="103" max="16384" width="8.42578125" style="4"/>
  </cols>
  <sheetData>
    <row r="1" spans="1:42" ht="15" customHeight="1">
      <c r="B1" s="1"/>
      <c r="C1" s="1"/>
      <c r="D1" s="1"/>
      <c r="E1" s="22"/>
      <c r="F1" s="1"/>
      <c r="N1" s="7"/>
      <c r="O1" s="7"/>
      <c r="AA1" s="7"/>
      <c r="AB1" s="7"/>
      <c r="AC1" s="7"/>
      <c r="AD1" s="7"/>
      <c r="AE1" s="7"/>
      <c r="AF1" s="7"/>
      <c r="AG1" s="7"/>
      <c r="AH1" s="7"/>
      <c r="AI1" s="4"/>
      <c r="AJ1" s="4"/>
      <c r="AK1" s="4"/>
      <c r="AL1" s="4"/>
      <c r="AM1" s="4"/>
      <c r="AN1" s="4"/>
      <c r="AO1" s="4"/>
      <c r="AP1" s="4"/>
    </row>
    <row r="2" spans="1:42" ht="33" customHeight="1">
      <c r="A2" s="4"/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ht="21.75" customHeight="1">
      <c r="B3" s="1"/>
      <c r="C3" s="1"/>
      <c r="D3" s="1"/>
      <c r="E3" s="22"/>
      <c r="F3" s="1"/>
      <c r="AA3" s="3"/>
      <c r="AK3" s="4"/>
      <c r="AL3" s="4"/>
      <c r="AM3" s="4"/>
      <c r="AN3" s="4"/>
      <c r="AO3" s="4"/>
      <c r="AP3" s="4"/>
    </row>
    <row r="4" spans="1:42" ht="30" customHeight="1">
      <c r="A4" s="4"/>
      <c r="B4" s="87" t="s">
        <v>1</v>
      </c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19"/>
      <c r="P4" s="4"/>
      <c r="Q4" s="4"/>
      <c r="R4" s="4"/>
      <c r="T4" s="88" t="s">
        <v>2</v>
      </c>
      <c r="U4" s="88"/>
      <c r="V4" s="88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 spans="1:42" ht="32.1" customHeight="1">
      <c r="B5" s="19"/>
      <c r="C5" s="19"/>
      <c r="D5" s="19"/>
      <c r="E5" s="25"/>
      <c r="F5" s="19"/>
      <c r="G5" s="19"/>
      <c r="H5" s="34"/>
      <c r="M5" s="4"/>
      <c r="P5" s="19"/>
      <c r="T5" s="89" t="s">
        <v>3</v>
      </c>
      <c r="U5" s="89"/>
      <c r="V5" s="89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</row>
    <row r="6" spans="1:42" ht="32.1" customHeight="1">
      <c r="B6" s="19"/>
      <c r="C6" s="19"/>
      <c r="D6" s="19"/>
      <c r="E6" s="25"/>
      <c r="F6" s="19"/>
      <c r="G6" s="19"/>
      <c r="H6" s="34"/>
      <c r="K6" s="34"/>
      <c r="L6" s="34"/>
      <c r="P6" s="19"/>
      <c r="S6" s="3"/>
      <c r="V6" s="29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 spans="1:42" ht="32.1" customHeight="1">
      <c r="B7" s="19"/>
      <c r="C7" s="19"/>
      <c r="D7" s="19"/>
      <c r="E7" s="25"/>
      <c r="F7" s="19"/>
      <c r="G7" s="19"/>
      <c r="H7" s="34"/>
      <c r="K7" s="34"/>
      <c r="L7" s="34"/>
      <c r="P7" s="19"/>
      <c r="S7" s="3"/>
      <c r="V7" s="29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 spans="1:42" ht="32.1" customHeight="1">
      <c r="B8" s="19"/>
      <c r="C8" s="19"/>
      <c r="D8" s="19"/>
      <c r="E8" s="25"/>
      <c r="F8" s="19"/>
      <c r="G8" s="19"/>
      <c r="H8" s="34"/>
      <c r="Q8" s="47"/>
      <c r="R8" s="47"/>
      <c r="S8" s="47"/>
      <c r="T8" s="47"/>
      <c r="U8" s="47"/>
      <c r="V8" s="47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 spans="1:42" ht="32.1" customHeight="1">
      <c r="B9" s="19"/>
      <c r="C9" s="19"/>
      <c r="D9" s="19"/>
      <c r="E9" s="25"/>
      <c r="F9" s="19"/>
      <c r="G9" s="19"/>
      <c r="Q9" s="47"/>
      <c r="R9" s="47"/>
      <c r="S9" s="47"/>
      <c r="T9" s="47"/>
      <c r="U9" s="47"/>
      <c r="V9" s="47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 spans="1:42" ht="32.1" customHeight="1">
      <c r="B10" s="19"/>
      <c r="C10" s="19"/>
      <c r="D10" s="19"/>
      <c r="E10" s="25"/>
      <c r="F10" s="19"/>
      <c r="G10" s="19"/>
      <c r="Q10" s="47"/>
      <c r="R10" s="47"/>
      <c r="S10" s="47"/>
      <c r="T10" s="47"/>
      <c r="U10" s="47"/>
      <c r="V10" s="47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</row>
    <row r="11" spans="1:42" ht="32.1" customHeight="1">
      <c r="B11" s="19"/>
      <c r="C11" s="19"/>
      <c r="D11" s="19"/>
      <c r="E11" s="25"/>
      <c r="F11" s="19"/>
      <c r="G11" s="19"/>
      <c r="Q11" s="47"/>
      <c r="R11" s="47"/>
      <c r="S11" s="47"/>
      <c r="T11" s="47"/>
      <c r="U11" s="47"/>
      <c r="V11" s="47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ht="32.1" customHeight="1">
      <c r="B12" s="19"/>
      <c r="C12" s="19"/>
      <c r="D12" s="19"/>
      <c r="E12" s="25"/>
      <c r="F12" s="19"/>
      <c r="G12" s="19"/>
      <c r="Q12" s="47"/>
      <c r="R12" s="47"/>
      <c r="S12" s="47"/>
      <c r="T12" s="47"/>
      <c r="U12" s="47"/>
      <c r="V12" s="47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ht="15" customHeight="1">
      <c r="B13" s="19"/>
      <c r="C13" s="19"/>
      <c r="D13" s="19"/>
      <c r="E13" s="25"/>
      <c r="F13" s="19"/>
      <c r="G13" s="19"/>
      <c r="H13" s="19"/>
      <c r="I13" s="19"/>
      <c r="P13" s="21"/>
      <c r="Q13" s="47"/>
      <c r="R13" s="47"/>
      <c r="S13" s="47"/>
      <c r="T13" s="47"/>
      <c r="U13" s="47"/>
      <c r="V13" s="47"/>
      <c r="W13" s="21"/>
      <c r="AA13" s="3"/>
      <c r="AK13" s="4"/>
      <c r="AL13" s="4"/>
      <c r="AM13" s="4"/>
      <c r="AN13" s="4"/>
      <c r="AO13" s="4"/>
      <c r="AP13" s="4"/>
    </row>
    <row r="14" spans="1:42" ht="24.95" customHeight="1">
      <c r="B14" s="90" t="s">
        <v>4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3"/>
      <c r="AL14" s="4"/>
      <c r="AM14" s="4"/>
      <c r="AN14" s="4"/>
      <c r="AO14" s="4"/>
      <c r="AP14" s="4"/>
    </row>
    <row r="15" spans="1:42" ht="24" customHeight="1">
      <c r="B15" s="123" t="s">
        <v>5</v>
      </c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4"/>
      <c r="V15" s="125"/>
      <c r="W15" s="3"/>
      <c r="AL15" s="4"/>
      <c r="AM15" s="4"/>
      <c r="AN15" s="4"/>
      <c r="AO15" s="4"/>
      <c r="AP15" s="4"/>
    </row>
    <row r="16" spans="1:42" ht="15.6" customHeight="1">
      <c r="B16" s="64" t="s">
        <v>6</v>
      </c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7"/>
      <c r="W16" s="3"/>
      <c r="AL16" s="4"/>
      <c r="AM16" s="4"/>
      <c r="AN16" s="4"/>
      <c r="AO16" s="4"/>
      <c r="AP16" s="4"/>
    </row>
    <row r="17" spans="1:42" ht="15.6" customHeight="1">
      <c r="B17" s="128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  <c r="R17" s="129"/>
      <c r="S17" s="129"/>
      <c r="T17" s="129"/>
      <c r="U17" s="129"/>
      <c r="V17" s="130"/>
      <c r="AA17" s="3"/>
      <c r="AB17" s="3"/>
      <c r="AC17" s="3"/>
      <c r="AD17" s="3"/>
      <c r="AE17" s="6"/>
      <c r="AF17" s="6"/>
      <c r="AG17" s="4"/>
      <c r="AH17" s="4"/>
      <c r="AI17" s="4"/>
      <c r="AJ17" s="4"/>
      <c r="AK17" s="4"/>
      <c r="AL17" s="4"/>
      <c r="AM17" s="4"/>
      <c r="AN17" s="4"/>
      <c r="AO17" s="4"/>
      <c r="AP17" s="4"/>
    </row>
    <row r="18" spans="1:42" ht="25.5" customHeight="1">
      <c r="B18" s="3"/>
      <c r="C18" s="3"/>
      <c r="D18" s="3"/>
      <c r="E18" s="26"/>
      <c r="F18" s="3"/>
      <c r="G18" s="3"/>
      <c r="H18" s="3"/>
      <c r="I18" s="3"/>
      <c r="J18" s="3"/>
      <c r="K18" s="3"/>
      <c r="L18" s="3"/>
      <c r="M18" s="3"/>
      <c r="P18" s="30"/>
      <c r="Q18" s="47"/>
      <c r="R18" s="47"/>
      <c r="S18" s="47"/>
      <c r="T18" s="47"/>
      <c r="U18" s="47"/>
      <c r="V18" s="47"/>
      <c r="AA18" s="3"/>
      <c r="AB18" s="3"/>
      <c r="AC18" s="3"/>
      <c r="AD18" s="3"/>
      <c r="AE18" s="6"/>
      <c r="AF18" s="6"/>
      <c r="AG18" s="4"/>
      <c r="AH18" s="4"/>
      <c r="AI18" s="4"/>
      <c r="AJ18" s="4"/>
      <c r="AK18" s="4"/>
      <c r="AL18" s="4"/>
      <c r="AM18" s="4"/>
      <c r="AN18" s="4"/>
      <c r="AO18" s="4"/>
      <c r="AP18" s="4"/>
    </row>
    <row r="19" spans="1:42" ht="25.5" customHeight="1">
      <c r="B19" s="95" t="s">
        <v>7</v>
      </c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AM19" s="4"/>
      <c r="AN19" s="4"/>
      <c r="AO19" s="4"/>
      <c r="AP19" s="4"/>
    </row>
    <row r="20" spans="1:42" ht="14.45" customHeight="1">
      <c r="D20" s="3"/>
      <c r="E20" s="26"/>
      <c r="F20" s="3"/>
      <c r="G20" s="3"/>
      <c r="H20" s="3"/>
      <c r="I20" s="3"/>
      <c r="J20" s="3"/>
      <c r="K20" s="3"/>
      <c r="L20" s="3"/>
      <c r="M20" s="3"/>
      <c r="AM20" s="4"/>
      <c r="AN20" s="4"/>
      <c r="AO20" s="4"/>
      <c r="AP20" s="4"/>
    </row>
    <row r="21" spans="1:42" s="39" customFormat="1" ht="15" customHeight="1">
      <c r="A21" s="36"/>
      <c r="B21" s="37" t="s">
        <v>8</v>
      </c>
      <c r="C21" s="20"/>
      <c r="D21" s="20"/>
      <c r="E21" s="38"/>
      <c r="F21" s="20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</row>
    <row r="22" spans="1:42" s="39" customFormat="1" ht="15" customHeight="1" thickBot="1">
      <c r="A22" s="36"/>
      <c r="B22" s="37"/>
      <c r="C22" s="20"/>
      <c r="D22" s="20"/>
      <c r="E22" s="38"/>
      <c r="F22" s="20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</row>
    <row r="23" spans="1:42" ht="29.25" customHeight="1" thickBot="1">
      <c r="B23" s="97" t="s">
        <v>9</v>
      </c>
      <c r="C23" s="98" t="s">
        <v>10</v>
      </c>
      <c r="D23" s="97" t="s">
        <v>11</v>
      </c>
      <c r="E23" s="97" t="s">
        <v>12</v>
      </c>
      <c r="G23" s="96" t="s">
        <v>13</v>
      </c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AM23" s="4"/>
      <c r="AN23" s="4"/>
      <c r="AO23" s="4"/>
      <c r="AP23" s="4"/>
    </row>
    <row r="24" spans="1:42" ht="38.1" customHeight="1">
      <c r="B24" s="40" t="s">
        <v>14</v>
      </c>
      <c r="C24" s="41">
        <v>1</v>
      </c>
      <c r="D24" s="42">
        <v>30</v>
      </c>
      <c r="E24" s="18" cm="1">
        <f t="array" ref="E24">MAX(LEN(E49:E68))</f>
        <v>8</v>
      </c>
      <c r="G24" s="80" t="s">
        <v>15</v>
      </c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91"/>
      <c r="AM24" s="4"/>
      <c r="AN24" s="4"/>
      <c r="AO24" s="4"/>
      <c r="AP24" s="4"/>
    </row>
    <row r="25" spans="1:42" ht="38.1" customHeight="1">
      <c r="B25" s="11" t="s">
        <v>16</v>
      </c>
      <c r="C25" s="12">
        <v>2</v>
      </c>
      <c r="D25" s="13">
        <v>40</v>
      </c>
      <c r="E25" s="43">
        <f>MAX(G88:AT107) + LARGE(G88:AT107, 2)</f>
        <v>199601</v>
      </c>
      <c r="G25" s="92" t="s">
        <v>17</v>
      </c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4"/>
      <c r="AM25" s="4"/>
      <c r="AN25" s="4"/>
      <c r="AO25" s="4"/>
      <c r="AP25" s="4"/>
    </row>
    <row r="26" spans="1:42" ht="38.1" customHeight="1">
      <c r="B26" s="11" t="s">
        <v>18</v>
      </c>
      <c r="C26" s="12">
        <v>4</v>
      </c>
      <c r="D26" s="13">
        <v>50</v>
      </c>
      <c r="E26" s="18">
        <v>96</v>
      </c>
      <c r="G26" s="92" t="s">
        <v>19</v>
      </c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4"/>
      <c r="AM26" s="4"/>
      <c r="AN26" s="4"/>
      <c r="AO26" s="4"/>
      <c r="AP26" s="4"/>
    </row>
    <row r="27" spans="1:42" ht="38.1" customHeight="1">
      <c r="B27" s="11" t="s">
        <v>20</v>
      </c>
      <c r="C27" s="12">
        <v>1</v>
      </c>
      <c r="D27" s="13">
        <v>60</v>
      </c>
      <c r="E27" s="18">
        <v>12</v>
      </c>
      <c r="G27" s="92" t="s">
        <v>21</v>
      </c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4"/>
      <c r="AM27" s="4"/>
      <c r="AN27" s="4"/>
      <c r="AO27" s="4"/>
      <c r="AP27" s="4"/>
    </row>
    <row r="28" spans="1:42" ht="38.1" customHeight="1">
      <c r="B28" s="11" t="s">
        <v>22</v>
      </c>
      <c r="C28" s="12">
        <v>5</v>
      </c>
      <c r="D28" s="13">
        <v>70</v>
      </c>
      <c r="E28" s="18">
        <f>SUM(AV212:AV231)</f>
        <v>152</v>
      </c>
      <c r="G28" s="92" t="s">
        <v>23</v>
      </c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4"/>
      <c r="AM28" s="4"/>
      <c r="AN28" s="4"/>
      <c r="AO28" s="4"/>
      <c r="AP28" s="4"/>
    </row>
    <row r="29" spans="1:42" ht="21.75" customHeight="1">
      <c r="B29" s="1"/>
      <c r="C29" s="1"/>
      <c r="D29" s="1"/>
      <c r="E29" s="22"/>
      <c r="AA29" s="3"/>
      <c r="AK29" s="4"/>
      <c r="AL29" s="4"/>
      <c r="AM29" s="4"/>
      <c r="AN29" s="4"/>
      <c r="AO29" s="4"/>
      <c r="AP29" s="4"/>
    </row>
    <row r="30" spans="1:42" ht="25.5" customHeight="1">
      <c r="A30" s="4"/>
      <c r="B30" s="95" t="s">
        <v>24</v>
      </c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2" ht="20.25" customHeight="1" thickBot="1">
      <c r="B31" s="8"/>
      <c r="C31" s="8"/>
      <c r="D31" s="8"/>
      <c r="E31" s="27"/>
      <c r="F31" s="8"/>
      <c r="G31" s="8"/>
      <c r="H31" s="8"/>
      <c r="I31" s="8"/>
      <c r="J31" s="8"/>
      <c r="K31" s="8"/>
      <c r="L31" s="8"/>
      <c r="M31" s="8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2" ht="22.5" customHeight="1" thickBot="1">
      <c r="B32" s="82" t="s">
        <v>25</v>
      </c>
      <c r="C32" s="83" t="s">
        <v>26</v>
      </c>
      <c r="D32" s="48"/>
      <c r="E32" s="22"/>
      <c r="N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2:16379">
      <c r="B33" s="16"/>
      <c r="C33" s="1"/>
      <c r="D33" s="1"/>
      <c r="E33" s="22"/>
      <c r="N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2:16379" ht="15" customHeight="1">
      <c r="B34" s="33" t="s">
        <v>27</v>
      </c>
      <c r="C34" s="4"/>
      <c r="D34" s="1"/>
      <c r="E34" s="22"/>
      <c r="N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2:16379" ht="15.75">
      <c r="B35" s="50" t="s">
        <v>28</v>
      </c>
      <c r="C35" s="35"/>
      <c r="E35" s="22"/>
      <c r="N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2:16379" ht="15.75">
      <c r="B36" s="60" t="s">
        <v>29</v>
      </c>
      <c r="C36" s="35"/>
      <c r="E36" s="22"/>
      <c r="N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2:16379" ht="15" customHeight="1">
      <c r="B37" s="51"/>
      <c r="E37" s="22"/>
      <c r="N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2:16379" ht="15" customHeight="1">
      <c r="B38" s="31" t="s">
        <v>30</v>
      </c>
      <c r="E38" s="22"/>
      <c r="N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2:16379" ht="15" customHeight="1">
      <c r="B39" s="51"/>
      <c r="E39" s="22"/>
      <c r="N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2:16379" ht="15" customHeight="1">
      <c r="B40" s="52" t="s">
        <v>31</v>
      </c>
      <c r="E40" s="22"/>
      <c r="N40" s="4"/>
      <c r="O40" s="4"/>
      <c r="P40" s="4"/>
      <c r="Q40" s="4"/>
      <c r="R40" s="4"/>
      <c r="S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2:16379" ht="15" customHeight="1">
      <c r="B41" s="31" t="s">
        <v>32</v>
      </c>
      <c r="E41" s="22"/>
      <c r="N41" s="4"/>
      <c r="O41" s="4"/>
      <c r="P41" s="4"/>
      <c r="Q41" s="4"/>
      <c r="R41" s="4"/>
      <c r="S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2:16379" ht="15" customHeight="1">
      <c r="B42" s="31" t="s">
        <v>33</v>
      </c>
      <c r="E42" s="22"/>
      <c r="N42" s="4"/>
      <c r="O42" s="4"/>
      <c r="P42" s="4"/>
      <c r="Q42" s="4"/>
      <c r="R42" s="4"/>
      <c r="S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2:16379" ht="15" customHeight="1">
      <c r="B43" s="31" t="s">
        <v>34</v>
      </c>
      <c r="E43" s="22"/>
      <c r="N43" s="4"/>
      <c r="O43" s="4"/>
      <c r="P43" s="4"/>
      <c r="Q43" s="4"/>
      <c r="R43" s="4"/>
      <c r="S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2:16379" ht="15.75" thickBot="1">
      <c r="B44" s="16"/>
      <c r="C44" s="1"/>
      <c r="D44" s="1"/>
      <c r="E44" s="22"/>
      <c r="G44" s="17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2:16379" ht="22.5" customHeight="1" thickBot="1">
      <c r="B45" s="97" t="s">
        <v>9</v>
      </c>
      <c r="C45" s="97" t="s">
        <v>35</v>
      </c>
      <c r="D45" s="97" t="s">
        <v>11</v>
      </c>
      <c r="E45" s="97" t="s">
        <v>12</v>
      </c>
      <c r="G45" s="99" t="s">
        <v>36</v>
      </c>
      <c r="H45" s="99"/>
      <c r="I45" s="99"/>
      <c r="J45" s="99"/>
      <c r="K45" s="99"/>
      <c r="L45" s="99" t="s">
        <v>37</v>
      </c>
      <c r="M45" s="99"/>
      <c r="N45" s="99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/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/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/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  <c r="MK45"/>
      <c r="ML45"/>
      <c r="MM45"/>
      <c r="MN45"/>
      <c r="MO45"/>
      <c r="MP45"/>
      <c r="MQ45"/>
      <c r="MR45"/>
      <c r="MS45"/>
      <c r="MT45"/>
      <c r="MU45"/>
      <c r="MV45"/>
      <c r="MW45"/>
      <c r="MX45"/>
      <c r="MY45"/>
      <c r="MZ45"/>
      <c r="NA45"/>
      <c r="NB45"/>
      <c r="NC45"/>
      <c r="ND45"/>
      <c r="NE45"/>
      <c r="NF45"/>
      <c r="NG45"/>
      <c r="NH45"/>
      <c r="NI45"/>
      <c r="NJ45"/>
      <c r="NK45"/>
      <c r="NL45"/>
      <c r="NM45"/>
      <c r="NN45"/>
      <c r="NO45"/>
      <c r="NP45"/>
      <c r="NQ45"/>
      <c r="NR45"/>
      <c r="NS45"/>
      <c r="NT45"/>
      <c r="NU45"/>
      <c r="NV45"/>
      <c r="NW45"/>
      <c r="NX45"/>
      <c r="NY45"/>
      <c r="NZ45"/>
      <c r="OA45"/>
      <c r="OB45"/>
      <c r="OC45"/>
      <c r="OD45"/>
      <c r="OE45"/>
      <c r="OF45"/>
      <c r="OG45"/>
      <c r="OH45"/>
      <c r="OI45"/>
      <c r="OJ45"/>
      <c r="OK45"/>
      <c r="OL45"/>
      <c r="OM45"/>
      <c r="ON45"/>
      <c r="OO45"/>
      <c r="OP45"/>
      <c r="OQ45"/>
      <c r="OR45"/>
      <c r="OS45"/>
      <c r="OT45"/>
      <c r="OU45"/>
      <c r="OV45"/>
      <c r="OW45"/>
      <c r="OX45"/>
      <c r="OY45"/>
      <c r="OZ45"/>
      <c r="PA45"/>
      <c r="PB45"/>
      <c r="PC45"/>
      <c r="PD45"/>
      <c r="PE45"/>
      <c r="PF45"/>
      <c r="PG45"/>
      <c r="PH45"/>
      <c r="PI45"/>
      <c r="PJ45"/>
      <c r="PK45"/>
      <c r="PL45"/>
      <c r="PM45"/>
      <c r="PN45"/>
      <c r="PO45"/>
      <c r="PP45"/>
      <c r="PQ45"/>
      <c r="PR45"/>
      <c r="PS45"/>
      <c r="PT45"/>
      <c r="PU45"/>
      <c r="PV45"/>
      <c r="PW45"/>
      <c r="PX45"/>
      <c r="PY45"/>
      <c r="PZ45"/>
      <c r="QA45"/>
      <c r="QB45"/>
      <c r="QC45"/>
      <c r="QD45"/>
      <c r="QE45"/>
      <c r="QF45"/>
      <c r="QG45"/>
      <c r="QH45"/>
      <c r="QI45"/>
      <c r="QJ45"/>
      <c r="QK45"/>
      <c r="QL45"/>
      <c r="QM45"/>
      <c r="QN45"/>
      <c r="QO45"/>
      <c r="QP45"/>
      <c r="QQ45"/>
      <c r="QR45"/>
      <c r="QS45"/>
      <c r="QT45"/>
      <c r="QU45"/>
      <c r="QV45"/>
      <c r="QW45"/>
      <c r="QX45"/>
      <c r="QY45"/>
      <c r="QZ45"/>
      <c r="RA45"/>
      <c r="RB45"/>
      <c r="RC45"/>
      <c r="RD45"/>
      <c r="RE45"/>
      <c r="RF45"/>
      <c r="RG45"/>
      <c r="RH45"/>
      <c r="RI45"/>
      <c r="RJ45"/>
      <c r="RK45"/>
      <c r="RL45"/>
      <c r="RM45"/>
      <c r="RN45"/>
      <c r="RO45"/>
      <c r="RP45"/>
      <c r="RQ45"/>
      <c r="RR45"/>
      <c r="RS45"/>
      <c r="RT45"/>
      <c r="RU45"/>
      <c r="RV45"/>
      <c r="RW45"/>
      <c r="RX45"/>
      <c r="RY45"/>
      <c r="RZ45"/>
      <c r="SA45"/>
      <c r="SB45"/>
      <c r="SC45"/>
      <c r="SD45"/>
      <c r="SE45"/>
      <c r="SF45"/>
      <c r="SG45"/>
      <c r="SH45"/>
      <c r="SI45"/>
      <c r="SJ45"/>
      <c r="SK45"/>
      <c r="SL45"/>
      <c r="SM45"/>
      <c r="SN45"/>
      <c r="SO45"/>
      <c r="SP45"/>
      <c r="SQ45"/>
      <c r="SR45"/>
      <c r="SS45"/>
      <c r="ST45"/>
      <c r="SU45"/>
      <c r="SV45"/>
      <c r="SW45"/>
      <c r="SX45"/>
      <c r="SY45"/>
      <c r="SZ45"/>
      <c r="TA45"/>
      <c r="TB45"/>
      <c r="TC45"/>
      <c r="TD45"/>
      <c r="TE45"/>
      <c r="TF45"/>
      <c r="TG45"/>
      <c r="TH45"/>
      <c r="TI45"/>
      <c r="TJ45"/>
      <c r="TK45"/>
      <c r="TL45"/>
      <c r="TM45"/>
      <c r="TN45"/>
      <c r="TO45"/>
      <c r="TP45"/>
      <c r="TQ45"/>
      <c r="TR45"/>
      <c r="TS45"/>
      <c r="TT45"/>
      <c r="TU45"/>
      <c r="TV45"/>
      <c r="TW45"/>
      <c r="TX45"/>
      <c r="TY45"/>
      <c r="TZ45"/>
      <c r="UA45"/>
      <c r="UB45"/>
      <c r="UC45"/>
      <c r="UD45"/>
      <c r="UE45"/>
      <c r="UF45"/>
      <c r="UG45"/>
      <c r="UH45"/>
      <c r="UI45"/>
      <c r="UJ45"/>
      <c r="UK45"/>
      <c r="UL45"/>
      <c r="UM45"/>
      <c r="UN45"/>
      <c r="UO45"/>
      <c r="UP45"/>
      <c r="UQ45"/>
      <c r="UR45"/>
      <c r="US45"/>
      <c r="UT45"/>
      <c r="UU45"/>
      <c r="UV45"/>
      <c r="UW45"/>
      <c r="UX45"/>
      <c r="UY45"/>
      <c r="UZ45"/>
      <c r="VA45"/>
      <c r="VB45"/>
      <c r="VC45"/>
      <c r="VD45"/>
      <c r="VE45"/>
      <c r="VF45"/>
      <c r="VG45"/>
      <c r="VH45"/>
      <c r="VI45"/>
      <c r="VJ45"/>
      <c r="VK45"/>
      <c r="VL45"/>
      <c r="VM45"/>
      <c r="VN45"/>
      <c r="VO45"/>
      <c r="VP45"/>
      <c r="VQ45"/>
      <c r="VR45"/>
      <c r="VS45"/>
      <c r="VT45"/>
      <c r="VU45"/>
      <c r="VV45"/>
      <c r="VW45"/>
      <c r="VX45"/>
      <c r="VY45"/>
      <c r="VZ45"/>
      <c r="WA45"/>
      <c r="WB45"/>
      <c r="WC45"/>
      <c r="WD45"/>
      <c r="WE45"/>
      <c r="WF45"/>
      <c r="WG45"/>
      <c r="WH45"/>
      <c r="WI45"/>
      <c r="WJ45"/>
      <c r="WK45"/>
      <c r="WL45"/>
      <c r="WM45"/>
      <c r="WN45"/>
      <c r="WO45"/>
      <c r="WP45"/>
      <c r="WQ45"/>
      <c r="WR45"/>
      <c r="WS45"/>
      <c r="WT45"/>
      <c r="WU45"/>
      <c r="WV45"/>
      <c r="WW45"/>
      <c r="WX45"/>
      <c r="WY45"/>
      <c r="WZ45"/>
      <c r="XA45"/>
      <c r="XB45"/>
      <c r="XC45"/>
      <c r="XD45"/>
      <c r="XE45"/>
      <c r="XF45"/>
      <c r="XG45"/>
      <c r="XH45"/>
      <c r="XI45"/>
      <c r="XJ45"/>
      <c r="XK45"/>
      <c r="XL45"/>
      <c r="XM45"/>
      <c r="XN45"/>
      <c r="XO45"/>
      <c r="XP45"/>
      <c r="XQ45"/>
      <c r="XR45"/>
      <c r="XS45"/>
      <c r="XT45"/>
      <c r="XU45"/>
      <c r="XV45"/>
      <c r="XW45"/>
      <c r="XX45"/>
      <c r="XY45"/>
      <c r="XZ45"/>
      <c r="YA45"/>
      <c r="YB45"/>
      <c r="YC45"/>
      <c r="YD45"/>
      <c r="YE45"/>
      <c r="YF45"/>
      <c r="YG45"/>
      <c r="YH45"/>
      <c r="YI45"/>
      <c r="YJ45"/>
      <c r="YK45"/>
      <c r="YL45"/>
      <c r="YM45"/>
      <c r="YN45"/>
      <c r="YO45"/>
      <c r="YP45"/>
      <c r="YQ45"/>
      <c r="YR45"/>
      <c r="YS45"/>
      <c r="YT45"/>
      <c r="YU45"/>
      <c r="YV45"/>
      <c r="YW45"/>
      <c r="YX45"/>
      <c r="YY45"/>
      <c r="YZ45"/>
      <c r="ZA45"/>
      <c r="ZB45"/>
      <c r="ZC45"/>
      <c r="ZD45"/>
      <c r="ZE45"/>
      <c r="ZF45"/>
      <c r="ZG45"/>
      <c r="ZH45"/>
      <c r="ZI45"/>
      <c r="ZJ45"/>
      <c r="ZK45"/>
      <c r="ZL45"/>
      <c r="ZM45"/>
      <c r="ZN45"/>
      <c r="ZO45"/>
      <c r="ZP45"/>
      <c r="ZQ45"/>
      <c r="ZR45"/>
      <c r="ZS45"/>
      <c r="ZT45"/>
      <c r="ZU45"/>
      <c r="ZV45"/>
      <c r="ZW45"/>
      <c r="ZX45"/>
      <c r="ZY45"/>
      <c r="ZZ45"/>
      <c r="AAA45"/>
      <c r="AAB45"/>
      <c r="AAC45"/>
      <c r="AAD45"/>
      <c r="AAE45"/>
      <c r="AAF45"/>
      <c r="AAG45"/>
      <c r="AAH45"/>
      <c r="AAI45"/>
      <c r="AAJ45"/>
      <c r="AAK45"/>
      <c r="AAL45"/>
      <c r="AAM45"/>
      <c r="AAN45"/>
      <c r="AAO45"/>
      <c r="AAP45"/>
      <c r="AAQ45"/>
      <c r="AAR45"/>
      <c r="AAS45"/>
      <c r="AAT45"/>
      <c r="AAU45"/>
      <c r="AAV45"/>
      <c r="AAW45"/>
      <c r="AAX45"/>
      <c r="AAY45"/>
      <c r="AAZ45"/>
      <c r="ABA45"/>
      <c r="ABB45"/>
      <c r="ABC45"/>
      <c r="ABD45"/>
      <c r="ABE45"/>
      <c r="ABF45"/>
      <c r="ABG45"/>
      <c r="ABH45"/>
      <c r="ABI45"/>
      <c r="ABJ45"/>
      <c r="ABK45"/>
      <c r="ABL45"/>
      <c r="ABM45"/>
      <c r="ABN45"/>
      <c r="ABO45"/>
      <c r="ABP45"/>
      <c r="ABQ45"/>
      <c r="ABR45"/>
      <c r="ABS45"/>
      <c r="ABT45"/>
      <c r="ABU45"/>
      <c r="ABV45"/>
      <c r="ABW45"/>
      <c r="ABX45"/>
      <c r="ABY45"/>
      <c r="ABZ45"/>
      <c r="ACA45"/>
      <c r="ACB45"/>
      <c r="ACC45"/>
      <c r="ACD45"/>
      <c r="ACE45"/>
      <c r="ACF45"/>
      <c r="ACG45"/>
      <c r="ACH45"/>
      <c r="ACI45"/>
      <c r="ACJ45"/>
      <c r="ACK45"/>
      <c r="ACL45"/>
      <c r="ACM45"/>
      <c r="ACN45"/>
      <c r="ACO45"/>
      <c r="ACP45"/>
      <c r="ACQ45"/>
      <c r="ACR45"/>
      <c r="ACS45"/>
      <c r="ACT45"/>
      <c r="ACU45"/>
      <c r="ACV45"/>
      <c r="ACW45"/>
      <c r="ACX45"/>
      <c r="ACY45"/>
      <c r="ACZ45"/>
      <c r="ADA45"/>
      <c r="ADB45"/>
      <c r="ADC45"/>
      <c r="ADD45"/>
      <c r="ADE45"/>
      <c r="ADF45"/>
      <c r="ADG45"/>
      <c r="ADH45"/>
      <c r="ADI45"/>
      <c r="ADJ45"/>
      <c r="ADK45"/>
      <c r="ADL45"/>
      <c r="ADM45"/>
      <c r="ADN45"/>
      <c r="ADO45"/>
      <c r="ADP45"/>
      <c r="ADQ45"/>
      <c r="ADR45"/>
      <c r="ADS45"/>
      <c r="ADT45"/>
      <c r="ADU45"/>
      <c r="ADV45"/>
      <c r="ADW45"/>
      <c r="ADX45"/>
      <c r="ADY45"/>
      <c r="ADZ45"/>
      <c r="AEA45"/>
      <c r="AEB45"/>
      <c r="AEC45"/>
      <c r="AED45"/>
      <c r="AEE45"/>
      <c r="AEF45"/>
      <c r="AEG45"/>
      <c r="AEH45"/>
      <c r="AEI45"/>
      <c r="AEJ45"/>
      <c r="AEK45"/>
      <c r="AEL45"/>
      <c r="AEM45"/>
      <c r="AEN45"/>
      <c r="AEO45"/>
      <c r="AEP45"/>
      <c r="AEQ45"/>
      <c r="AER45"/>
      <c r="AES45"/>
      <c r="AET45"/>
      <c r="AEU45"/>
      <c r="AEV45"/>
      <c r="AEW45"/>
      <c r="AEX45"/>
      <c r="AEY45"/>
      <c r="AEZ45"/>
      <c r="AFA45"/>
      <c r="AFB45"/>
      <c r="AFC45"/>
      <c r="AFD45"/>
      <c r="AFE45"/>
      <c r="AFF45"/>
      <c r="AFG45"/>
      <c r="AFH45"/>
      <c r="AFI45"/>
      <c r="AFJ45"/>
      <c r="AFK45"/>
      <c r="AFL45"/>
      <c r="AFM45"/>
      <c r="AFN45"/>
      <c r="AFO45"/>
      <c r="AFP45"/>
      <c r="AFQ45"/>
      <c r="AFR45"/>
      <c r="AFS45"/>
      <c r="AFT45"/>
      <c r="AFU45"/>
      <c r="AFV45"/>
      <c r="AFW45"/>
      <c r="AFX45"/>
      <c r="AFY45"/>
      <c r="AFZ45"/>
      <c r="AGA45"/>
      <c r="AGB45"/>
      <c r="AGC45"/>
      <c r="AGD45"/>
      <c r="AGE45"/>
      <c r="AGF45"/>
      <c r="AGG45"/>
      <c r="AGH45"/>
      <c r="AGI45"/>
      <c r="AGJ45"/>
      <c r="AGK45"/>
      <c r="AGL45"/>
      <c r="AGM45"/>
      <c r="AGN45"/>
      <c r="AGO45"/>
      <c r="AGP45"/>
      <c r="AGQ45"/>
      <c r="AGR45"/>
      <c r="AGS45"/>
      <c r="AGT45"/>
      <c r="AGU45"/>
      <c r="AGV45"/>
      <c r="AGW45"/>
      <c r="AGX45"/>
      <c r="AGY45"/>
      <c r="AGZ45"/>
      <c r="AHA45"/>
      <c r="AHB45"/>
      <c r="AHC45"/>
      <c r="AHD45"/>
      <c r="AHE45"/>
      <c r="AHF45"/>
      <c r="AHG45"/>
      <c r="AHH45"/>
      <c r="AHI45"/>
      <c r="AHJ45"/>
      <c r="AHK45"/>
      <c r="AHL45"/>
      <c r="AHM45"/>
      <c r="AHN45"/>
      <c r="AHO45"/>
      <c r="AHP45"/>
      <c r="AHQ45"/>
      <c r="AHR45"/>
      <c r="AHS45"/>
      <c r="AHT45"/>
      <c r="AHU45"/>
      <c r="AHV45"/>
      <c r="AHW45"/>
      <c r="AHX45"/>
      <c r="AHY45"/>
      <c r="AHZ45"/>
      <c r="AIA45"/>
      <c r="AIB45"/>
      <c r="AIC45"/>
      <c r="AID45"/>
      <c r="AIE45"/>
      <c r="AIF45"/>
      <c r="AIG45"/>
      <c r="AIH45"/>
      <c r="AII45"/>
      <c r="AIJ45"/>
      <c r="AIK45"/>
      <c r="AIL45"/>
      <c r="AIM45"/>
      <c r="AIN45"/>
      <c r="AIO45"/>
      <c r="AIP45"/>
      <c r="AIQ45"/>
      <c r="AIR45"/>
      <c r="AIS45"/>
      <c r="AIT45"/>
      <c r="AIU45"/>
      <c r="AIV45"/>
      <c r="AIW45"/>
      <c r="AIX45"/>
      <c r="AIY45"/>
      <c r="AIZ45"/>
      <c r="AJA45"/>
      <c r="AJB45"/>
      <c r="AJC45"/>
      <c r="AJD45"/>
      <c r="AJE45"/>
      <c r="AJF45"/>
      <c r="AJG45"/>
      <c r="AJH45"/>
      <c r="AJI45"/>
      <c r="AJJ45"/>
      <c r="AJK45"/>
      <c r="AJL45"/>
      <c r="AJM45"/>
      <c r="AJN45"/>
      <c r="AJO45"/>
      <c r="AJP45"/>
      <c r="AJQ45"/>
      <c r="AJR45"/>
      <c r="AJS45"/>
      <c r="AJT45"/>
      <c r="AJU45"/>
      <c r="AJV45"/>
      <c r="AJW45"/>
      <c r="AJX45"/>
      <c r="AJY45"/>
      <c r="AJZ45"/>
      <c r="AKA45"/>
      <c r="AKB45"/>
      <c r="AKC45"/>
      <c r="AKD45"/>
      <c r="AKE45"/>
      <c r="AKF45"/>
      <c r="AKG45"/>
      <c r="AKH45"/>
      <c r="AKI45"/>
      <c r="AKJ45"/>
      <c r="AKK45"/>
      <c r="AKL45"/>
      <c r="AKM45"/>
      <c r="AKN45"/>
      <c r="AKO45"/>
      <c r="AKP45"/>
      <c r="AKQ45"/>
      <c r="AKR45"/>
      <c r="AKS45"/>
      <c r="AKT45"/>
      <c r="AKU45"/>
      <c r="AKV45"/>
      <c r="AKW45"/>
      <c r="AKX45"/>
      <c r="AKY45"/>
      <c r="AKZ45"/>
      <c r="ALA45"/>
      <c r="ALB45"/>
      <c r="ALC45"/>
      <c r="ALD45"/>
      <c r="ALE45"/>
      <c r="ALF45"/>
      <c r="ALG45"/>
      <c r="ALH45"/>
      <c r="ALI45"/>
      <c r="ALJ45"/>
      <c r="ALK45"/>
      <c r="ALL45"/>
      <c r="ALM45"/>
      <c r="ALN45"/>
      <c r="ALO45"/>
      <c r="ALP45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  <c r="AMF45"/>
      <c r="AMG45"/>
      <c r="AMH45"/>
      <c r="AMI45"/>
      <c r="AMJ45"/>
      <c r="AMK45"/>
      <c r="AML45"/>
      <c r="AMM45"/>
      <c r="AMN45"/>
      <c r="AMO45"/>
      <c r="AMP45"/>
      <c r="AMQ45"/>
      <c r="AMR45"/>
      <c r="AMS45"/>
      <c r="AMT45"/>
      <c r="AMU45"/>
      <c r="AMV45"/>
      <c r="AMW45"/>
      <c r="AMX45"/>
      <c r="AMY45"/>
      <c r="AMZ45"/>
      <c r="ANA45"/>
      <c r="ANB45"/>
      <c r="ANC45"/>
      <c r="AND45"/>
      <c r="ANE45"/>
      <c r="ANF45"/>
      <c r="ANG45"/>
      <c r="ANH45"/>
      <c r="ANI45"/>
      <c r="ANJ45"/>
      <c r="ANK45"/>
      <c r="ANL45"/>
      <c r="ANM45"/>
      <c r="ANN45"/>
      <c r="ANO45"/>
      <c r="ANP45"/>
      <c r="ANQ45"/>
      <c r="ANR45"/>
      <c r="ANS45"/>
      <c r="ANT45"/>
      <c r="ANU45"/>
      <c r="ANV45"/>
      <c r="ANW45"/>
      <c r="ANX45"/>
      <c r="ANY45"/>
      <c r="ANZ45"/>
      <c r="AOA45"/>
      <c r="AOB45"/>
      <c r="AOC45"/>
      <c r="AOD45"/>
      <c r="AOE45"/>
      <c r="AOF45"/>
      <c r="AOG45"/>
      <c r="AOH45"/>
      <c r="AOI45"/>
      <c r="AOJ45"/>
      <c r="AOK45"/>
      <c r="AOL45"/>
      <c r="AOM45"/>
      <c r="AON45"/>
      <c r="AOO45"/>
      <c r="AOP45"/>
      <c r="AOQ45"/>
      <c r="AOR45"/>
      <c r="AOS45"/>
      <c r="AOT45"/>
      <c r="AOU45"/>
      <c r="AOV45"/>
      <c r="AOW45"/>
      <c r="AOX45"/>
      <c r="AOY45"/>
      <c r="AOZ45"/>
      <c r="APA45"/>
      <c r="APB45"/>
      <c r="APC45"/>
      <c r="APD45"/>
      <c r="APE45"/>
      <c r="APF45"/>
      <c r="APG45"/>
      <c r="APH45"/>
      <c r="API45"/>
      <c r="APJ45"/>
      <c r="APK45"/>
      <c r="APL45"/>
      <c r="APM45"/>
      <c r="APN45"/>
      <c r="APO45"/>
      <c r="APP45"/>
      <c r="APQ45"/>
      <c r="APR45"/>
      <c r="APS45"/>
      <c r="APT45"/>
      <c r="APU45"/>
      <c r="APV45"/>
      <c r="APW45"/>
      <c r="APX45"/>
      <c r="APY45"/>
      <c r="APZ45"/>
      <c r="AQA45"/>
      <c r="AQB45"/>
      <c r="AQC45"/>
      <c r="AQD45"/>
      <c r="AQE45"/>
      <c r="AQF45"/>
      <c r="AQG45"/>
      <c r="AQH45"/>
      <c r="AQI45"/>
      <c r="AQJ45"/>
      <c r="AQK45"/>
      <c r="AQL45"/>
      <c r="AQM45"/>
      <c r="AQN45"/>
      <c r="AQO45"/>
      <c r="AQP45"/>
      <c r="AQQ45"/>
      <c r="AQR45"/>
      <c r="AQS45"/>
      <c r="AQT45"/>
      <c r="AQU45"/>
      <c r="AQV45"/>
      <c r="AQW45"/>
      <c r="AQX45"/>
      <c r="AQY45"/>
      <c r="AQZ45"/>
      <c r="ARA45"/>
      <c r="ARB45"/>
      <c r="ARC45"/>
      <c r="ARD45"/>
      <c r="ARE45"/>
      <c r="ARF45"/>
      <c r="ARG45"/>
      <c r="ARH45"/>
      <c r="ARI45"/>
      <c r="ARJ45"/>
      <c r="ARK45"/>
      <c r="ARL45"/>
      <c r="ARM45"/>
      <c r="ARN45"/>
      <c r="ARO45"/>
      <c r="ARP45"/>
      <c r="ARQ45"/>
      <c r="ARR45"/>
      <c r="ARS45"/>
      <c r="ART45"/>
      <c r="ARU45"/>
      <c r="ARV45"/>
      <c r="ARW45"/>
      <c r="ARX45"/>
      <c r="ARY45"/>
      <c r="ARZ45"/>
      <c r="ASA45"/>
      <c r="ASB45"/>
      <c r="ASC45"/>
      <c r="ASD45"/>
      <c r="ASE45"/>
      <c r="ASF45"/>
      <c r="ASG45"/>
      <c r="ASH45"/>
      <c r="ASI45"/>
      <c r="ASJ45"/>
      <c r="ASK45"/>
      <c r="ASL45"/>
      <c r="ASM45"/>
      <c r="ASN45"/>
      <c r="ASO45"/>
      <c r="ASP45"/>
      <c r="ASQ45"/>
      <c r="ASR45"/>
      <c r="ASS45"/>
      <c r="AST45"/>
      <c r="ASU45"/>
      <c r="ASV45"/>
      <c r="ASW45"/>
      <c r="ASX45"/>
      <c r="ASY45"/>
      <c r="ASZ45"/>
      <c r="ATA45"/>
      <c r="ATB45"/>
      <c r="ATC45"/>
      <c r="ATD45"/>
      <c r="ATE45"/>
      <c r="ATF45"/>
      <c r="ATG45"/>
      <c r="ATH45"/>
      <c r="ATI45"/>
      <c r="ATJ45"/>
      <c r="ATK45"/>
      <c r="ATL45"/>
      <c r="ATM45"/>
      <c r="ATN45"/>
      <c r="ATO45"/>
      <c r="ATP45"/>
      <c r="ATQ45"/>
      <c r="ATR45"/>
      <c r="ATS45"/>
      <c r="ATT45"/>
      <c r="ATU45"/>
      <c r="ATV45"/>
      <c r="ATW45"/>
      <c r="ATX45"/>
      <c r="ATY45"/>
      <c r="ATZ45"/>
      <c r="AUA45"/>
      <c r="AUB45"/>
      <c r="AUC45"/>
      <c r="AUD45"/>
      <c r="AUE45"/>
      <c r="AUF45"/>
      <c r="AUG45"/>
      <c r="AUH45"/>
      <c r="AUI45"/>
      <c r="AUJ45"/>
      <c r="AUK45"/>
      <c r="AUL45"/>
      <c r="AUM45"/>
      <c r="AUN45"/>
      <c r="AUO45"/>
      <c r="AUP45"/>
      <c r="AUQ45"/>
      <c r="AUR45"/>
      <c r="AUS45"/>
      <c r="AUT45"/>
      <c r="AUU45"/>
      <c r="AUV45"/>
      <c r="AUW45"/>
      <c r="AUX45"/>
      <c r="AUY45"/>
      <c r="AUZ45"/>
      <c r="AVA45"/>
      <c r="AVB45"/>
      <c r="AVC45"/>
      <c r="AVD45"/>
      <c r="AVE45"/>
      <c r="AVF45"/>
      <c r="AVG45"/>
      <c r="AVH45"/>
      <c r="AVI45"/>
      <c r="AVJ45"/>
      <c r="AVK45"/>
      <c r="AVL45"/>
      <c r="AVM45"/>
      <c r="AVN45"/>
      <c r="AVO45"/>
      <c r="AVP45"/>
      <c r="AVQ45"/>
      <c r="AVR45"/>
      <c r="AVS45"/>
      <c r="AVT45"/>
      <c r="AVU45"/>
      <c r="AVV45"/>
      <c r="AVW45"/>
      <c r="AVX45"/>
      <c r="AVY45"/>
      <c r="AVZ45"/>
      <c r="AWA45"/>
      <c r="AWB45"/>
      <c r="AWC45"/>
      <c r="AWD45"/>
      <c r="AWE45"/>
      <c r="AWF45"/>
      <c r="AWG45"/>
      <c r="AWH45"/>
      <c r="AWI45"/>
      <c r="AWJ45"/>
      <c r="AWK45"/>
      <c r="AWL45"/>
      <c r="AWM45"/>
      <c r="AWN45"/>
      <c r="AWO45"/>
      <c r="AWP45"/>
      <c r="AWQ45"/>
      <c r="AWR45"/>
      <c r="AWS45"/>
      <c r="AWT45"/>
      <c r="AWU45"/>
      <c r="AWV45"/>
      <c r="AWW45"/>
      <c r="AWX45"/>
      <c r="AWY45"/>
      <c r="AWZ45"/>
      <c r="AXA45"/>
      <c r="AXB45"/>
      <c r="AXC45"/>
      <c r="AXD45"/>
      <c r="AXE45"/>
      <c r="AXF45"/>
      <c r="AXG45"/>
      <c r="AXH45"/>
      <c r="AXI45"/>
      <c r="AXJ45"/>
      <c r="AXK45"/>
      <c r="AXL45"/>
      <c r="AXM45"/>
      <c r="AXN45"/>
      <c r="AXO45"/>
      <c r="AXP45"/>
      <c r="AXQ45"/>
      <c r="AXR45"/>
      <c r="AXS45"/>
      <c r="AXT45"/>
      <c r="AXU45"/>
      <c r="AXV45"/>
      <c r="AXW45"/>
      <c r="AXX45"/>
      <c r="AXY45"/>
      <c r="AXZ45"/>
      <c r="AYA45"/>
      <c r="AYB45"/>
      <c r="AYC45"/>
      <c r="AYD45"/>
      <c r="AYE45"/>
      <c r="AYF45"/>
      <c r="AYG45"/>
      <c r="AYH45"/>
      <c r="AYI45"/>
      <c r="AYJ45"/>
      <c r="AYK45"/>
      <c r="AYL45"/>
      <c r="AYM45"/>
      <c r="AYN45"/>
      <c r="AYO45"/>
      <c r="AYP45"/>
      <c r="AYQ45"/>
      <c r="AYR45"/>
      <c r="AYS45"/>
      <c r="AYT45"/>
      <c r="AYU45"/>
      <c r="AYV45"/>
      <c r="AYW45"/>
      <c r="AYX45"/>
      <c r="AYY45"/>
      <c r="AYZ45"/>
      <c r="AZA45"/>
      <c r="AZB45"/>
      <c r="AZC45"/>
      <c r="AZD45"/>
      <c r="AZE45"/>
      <c r="AZF45"/>
      <c r="AZG45"/>
      <c r="AZH45"/>
      <c r="AZI45"/>
      <c r="AZJ45"/>
      <c r="AZK45"/>
      <c r="AZL45"/>
      <c r="AZM45"/>
      <c r="AZN45"/>
      <c r="AZO45"/>
      <c r="AZP45"/>
      <c r="AZQ45"/>
      <c r="AZR45"/>
      <c r="AZS45"/>
      <c r="AZT45"/>
      <c r="AZU45"/>
      <c r="AZV45"/>
      <c r="AZW45"/>
      <c r="AZX45"/>
      <c r="AZY45"/>
      <c r="AZZ45"/>
      <c r="BAA45"/>
      <c r="BAB45"/>
      <c r="BAC45"/>
      <c r="BAD45"/>
      <c r="BAE45"/>
      <c r="BAF45"/>
      <c r="BAG45"/>
      <c r="BAH45"/>
      <c r="BAI45"/>
      <c r="BAJ45"/>
      <c r="BAK45"/>
      <c r="BAL45"/>
      <c r="BAM45"/>
      <c r="BAN45"/>
      <c r="BAO45"/>
      <c r="BAP45"/>
      <c r="BAQ45"/>
      <c r="BAR45"/>
      <c r="BAS45"/>
      <c r="BAT45"/>
      <c r="BAU45"/>
      <c r="BAV45"/>
      <c r="BAW45"/>
      <c r="BAX45"/>
      <c r="BAY45"/>
      <c r="BAZ45"/>
      <c r="BBA45"/>
      <c r="BBB45"/>
      <c r="BBC45"/>
      <c r="BBD45"/>
      <c r="BBE45"/>
      <c r="BBF45"/>
      <c r="BBG45"/>
      <c r="BBH45"/>
      <c r="BBI45"/>
      <c r="BBJ45"/>
      <c r="BBK45"/>
      <c r="BBL45"/>
      <c r="BBM45"/>
      <c r="BBN45"/>
      <c r="BBO45"/>
      <c r="BBP45"/>
      <c r="BBQ45"/>
      <c r="BBR45"/>
      <c r="BBS45"/>
      <c r="BBT45"/>
      <c r="BBU45"/>
      <c r="BBV45"/>
      <c r="BBW45"/>
      <c r="BBX45"/>
      <c r="BBY45"/>
      <c r="BBZ45"/>
      <c r="BCA45"/>
      <c r="BCB45"/>
      <c r="BCC45"/>
      <c r="BCD45"/>
      <c r="BCE45"/>
      <c r="BCF45"/>
      <c r="BCG45"/>
      <c r="BCH45"/>
      <c r="BCI45"/>
      <c r="BCJ45"/>
      <c r="BCK45"/>
      <c r="BCL45"/>
      <c r="BCM45"/>
      <c r="BCN45"/>
      <c r="BCO45"/>
      <c r="BCP45"/>
      <c r="BCQ45"/>
      <c r="BCR45"/>
      <c r="BCS45"/>
      <c r="BCT45"/>
      <c r="BCU45"/>
      <c r="BCV45"/>
      <c r="BCW45"/>
      <c r="BCX45"/>
      <c r="BCY45"/>
      <c r="BCZ45"/>
      <c r="BDA45"/>
      <c r="BDB45"/>
      <c r="BDC45"/>
      <c r="BDD45"/>
      <c r="BDE45"/>
      <c r="BDF45"/>
      <c r="BDG45"/>
      <c r="BDH45"/>
      <c r="BDI45"/>
      <c r="BDJ45"/>
      <c r="BDK45"/>
      <c r="BDL45"/>
      <c r="BDM45"/>
      <c r="BDN45"/>
      <c r="BDO45"/>
      <c r="BDP45"/>
      <c r="BDQ45"/>
      <c r="BDR45"/>
      <c r="BDS45"/>
      <c r="BDT45"/>
      <c r="BDU45"/>
      <c r="BDV45"/>
      <c r="BDW45"/>
      <c r="BDX45"/>
      <c r="BDY45"/>
      <c r="BDZ45"/>
      <c r="BEA45"/>
      <c r="BEB45"/>
      <c r="BEC45"/>
      <c r="BED45"/>
      <c r="BEE45"/>
      <c r="BEF45"/>
      <c r="BEG45"/>
      <c r="BEH45"/>
      <c r="BEI45"/>
      <c r="BEJ45"/>
      <c r="BEK45"/>
      <c r="BEL45"/>
      <c r="BEM45"/>
      <c r="BEN45"/>
      <c r="BEO45"/>
      <c r="BEP45"/>
      <c r="BEQ45"/>
      <c r="BER45"/>
      <c r="BES45"/>
      <c r="BET45"/>
      <c r="BEU45"/>
      <c r="BEV45"/>
      <c r="BEW45"/>
      <c r="BEX45"/>
      <c r="BEY45"/>
      <c r="BEZ45"/>
      <c r="BFA45"/>
      <c r="BFB45"/>
      <c r="BFC45"/>
      <c r="BFD45"/>
      <c r="BFE45"/>
      <c r="BFF45"/>
      <c r="BFG45"/>
      <c r="BFH45"/>
      <c r="BFI45"/>
      <c r="BFJ45"/>
      <c r="BFK45"/>
      <c r="BFL45"/>
      <c r="BFM45"/>
      <c r="BFN45"/>
      <c r="BFO45"/>
      <c r="BFP45"/>
      <c r="BFQ45"/>
      <c r="BFR45"/>
      <c r="BFS45"/>
      <c r="BFT45"/>
      <c r="BFU45"/>
      <c r="BFV45"/>
      <c r="BFW45"/>
      <c r="BFX45"/>
      <c r="BFY45"/>
      <c r="BFZ45"/>
      <c r="BGA45"/>
      <c r="BGB45"/>
      <c r="BGC45"/>
      <c r="BGD45"/>
      <c r="BGE45"/>
      <c r="BGF45"/>
      <c r="BGG45"/>
      <c r="BGH45"/>
      <c r="BGI45"/>
      <c r="BGJ45"/>
      <c r="BGK45"/>
      <c r="BGL45"/>
      <c r="BGM45"/>
      <c r="BGN45"/>
      <c r="BGO45"/>
      <c r="BGP45"/>
      <c r="BGQ45"/>
      <c r="BGR45"/>
      <c r="BGS45"/>
      <c r="BGT45"/>
      <c r="BGU45"/>
      <c r="BGV45"/>
      <c r="BGW45"/>
      <c r="BGX45"/>
      <c r="BGY45"/>
      <c r="BGZ45"/>
      <c r="BHA45"/>
      <c r="BHB45"/>
      <c r="BHC45"/>
      <c r="BHD45"/>
      <c r="BHE45"/>
      <c r="BHF45"/>
      <c r="BHG45"/>
      <c r="BHH45"/>
      <c r="BHI45"/>
      <c r="BHJ45"/>
      <c r="BHK45"/>
      <c r="BHL45"/>
      <c r="BHM45"/>
      <c r="BHN45"/>
      <c r="BHO45"/>
      <c r="BHP45"/>
      <c r="BHQ45"/>
      <c r="BHR45"/>
      <c r="BHS45"/>
      <c r="BHT45"/>
      <c r="BHU45"/>
      <c r="BHV45"/>
      <c r="BHW45"/>
      <c r="BHX45"/>
      <c r="BHY45"/>
      <c r="BHZ45"/>
      <c r="BIA45"/>
      <c r="BIB45"/>
      <c r="BIC45"/>
      <c r="BID45"/>
      <c r="BIE45"/>
      <c r="BIF45"/>
      <c r="BIG45"/>
      <c r="BIH45"/>
      <c r="BII45"/>
      <c r="BIJ45"/>
      <c r="BIK45"/>
      <c r="BIL45"/>
      <c r="BIM45"/>
      <c r="BIN45"/>
      <c r="BIO45"/>
      <c r="BIP45"/>
      <c r="BIQ45"/>
      <c r="BIR45"/>
      <c r="BIS45"/>
      <c r="BIT45"/>
      <c r="BIU45"/>
      <c r="BIV45"/>
      <c r="BIW45"/>
      <c r="BIX45"/>
      <c r="BIY45"/>
      <c r="BIZ45"/>
      <c r="BJA45"/>
      <c r="BJB45"/>
      <c r="BJC45"/>
      <c r="BJD45"/>
      <c r="BJE45"/>
      <c r="BJF45"/>
      <c r="BJG45"/>
      <c r="BJH45"/>
      <c r="BJI45"/>
      <c r="BJJ45"/>
      <c r="BJK45"/>
      <c r="BJL45"/>
      <c r="BJM45"/>
      <c r="BJN45"/>
      <c r="BJO45"/>
      <c r="BJP45"/>
      <c r="BJQ45"/>
      <c r="BJR45"/>
      <c r="BJS45"/>
      <c r="BJT45"/>
      <c r="BJU45"/>
      <c r="BJV45"/>
      <c r="BJW45"/>
      <c r="BJX45"/>
      <c r="BJY45"/>
      <c r="BJZ45"/>
      <c r="BKA45"/>
      <c r="BKB45"/>
      <c r="BKC45"/>
      <c r="BKD45"/>
      <c r="BKE45"/>
      <c r="BKF45"/>
      <c r="BKG45"/>
      <c r="BKH45"/>
      <c r="BKI45"/>
      <c r="BKJ45"/>
      <c r="BKK45"/>
      <c r="BKL45"/>
      <c r="BKM45"/>
      <c r="BKN45"/>
      <c r="BKO45"/>
      <c r="BKP45"/>
      <c r="BKQ45"/>
      <c r="BKR45"/>
      <c r="BKS45"/>
      <c r="BKT45"/>
      <c r="BKU45"/>
      <c r="BKV45"/>
      <c r="BKW45"/>
      <c r="BKX45"/>
      <c r="BKY45"/>
      <c r="BKZ45"/>
      <c r="BLA45"/>
      <c r="BLB45"/>
      <c r="BLC45"/>
      <c r="BLD45"/>
      <c r="BLE45"/>
      <c r="BLF45"/>
      <c r="BLG45"/>
      <c r="BLH45"/>
      <c r="BLI45"/>
      <c r="BLJ45"/>
      <c r="BLK45"/>
      <c r="BLL45"/>
      <c r="BLM45"/>
      <c r="BLN45"/>
      <c r="BLO45"/>
      <c r="BLP45"/>
      <c r="BLQ45"/>
      <c r="BLR45"/>
      <c r="BLS45"/>
      <c r="BLT45"/>
      <c r="BLU45"/>
      <c r="BLV45"/>
      <c r="BLW45"/>
      <c r="BLX45"/>
      <c r="BLY45"/>
      <c r="BLZ45"/>
      <c r="BMA45"/>
      <c r="BMB45"/>
      <c r="BMC45"/>
      <c r="BMD45"/>
      <c r="BME45"/>
      <c r="BMF45"/>
      <c r="BMG45"/>
      <c r="BMH45"/>
      <c r="BMI45"/>
      <c r="BMJ45"/>
      <c r="BMK45"/>
      <c r="BML45"/>
      <c r="BMM45"/>
      <c r="BMN45"/>
      <c r="BMO45"/>
      <c r="BMP45"/>
      <c r="BMQ45"/>
      <c r="BMR45"/>
      <c r="BMS45"/>
      <c r="BMT45"/>
      <c r="BMU45"/>
      <c r="BMV45"/>
      <c r="BMW45"/>
      <c r="BMX45"/>
      <c r="BMY45"/>
      <c r="BMZ45"/>
      <c r="BNA45"/>
      <c r="BNB45"/>
      <c r="BNC45"/>
      <c r="BND45"/>
      <c r="BNE45"/>
      <c r="BNF45"/>
      <c r="BNG45"/>
      <c r="BNH45"/>
      <c r="BNI45"/>
      <c r="BNJ45"/>
      <c r="BNK45"/>
      <c r="BNL45"/>
      <c r="BNM45"/>
      <c r="BNN45"/>
      <c r="BNO45"/>
      <c r="BNP45"/>
      <c r="BNQ45"/>
      <c r="BNR45"/>
      <c r="BNS45"/>
      <c r="BNT45"/>
      <c r="BNU45"/>
      <c r="BNV45"/>
      <c r="BNW45"/>
      <c r="BNX45"/>
      <c r="BNY45"/>
      <c r="BNZ45"/>
      <c r="BOA45"/>
      <c r="BOB45"/>
      <c r="BOC45"/>
      <c r="BOD45"/>
      <c r="BOE45"/>
      <c r="BOF45"/>
      <c r="BOG45"/>
      <c r="BOH45"/>
      <c r="BOI45"/>
      <c r="BOJ45"/>
      <c r="BOK45"/>
      <c r="BOL45"/>
      <c r="BOM45"/>
      <c r="BON45"/>
      <c r="BOO45"/>
      <c r="BOP45"/>
      <c r="BOQ45"/>
      <c r="BOR45"/>
      <c r="BOS45"/>
      <c r="BOT45"/>
      <c r="BOU45"/>
      <c r="BOV45"/>
      <c r="BOW45"/>
      <c r="BOX45"/>
      <c r="BOY45"/>
      <c r="BOZ45"/>
      <c r="BPA45"/>
      <c r="BPB45"/>
      <c r="BPC45"/>
      <c r="BPD45"/>
      <c r="BPE45"/>
      <c r="BPF45"/>
      <c r="BPG45"/>
      <c r="BPH45"/>
      <c r="BPI45"/>
      <c r="BPJ45"/>
      <c r="BPK45"/>
      <c r="BPL45"/>
      <c r="BPM45"/>
      <c r="BPN45"/>
      <c r="BPO45"/>
      <c r="BPP45"/>
      <c r="BPQ45"/>
      <c r="BPR45"/>
      <c r="BPS45"/>
      <c r="BPT45"/>
      <c r="BPU45"/>
      <c r="BPV45"/>
      <c r="BPW45"/>
      <c r="BPX45"/>
      <c r="BPY45"/>
      <c r="BPZ45"/>
      <c r="BQA45"/>
      <c r="BQB45"/>
      <c r="BQC45"/>
      <c r="BQD45"/>
      <c r="BQE45"/>
      <c r="BQF45"/>
      <c r="BQG45"/>
      <c r="BQH45"/>
      <c r="BQI45"/>
      <c r="BQJ45"/>
      <c r="BQK45"/>
      <c r="BQL45"/>
      <c r="BQM45"/>
      <c r="BQN45"/>
      <c r="BQO45"/>
      <c r="BQP45"/>
      <c r="BQQ45"/>
      <c r="BQR45"/>
      <c r="BQS45"/>
      <c r="BQT45"/>
      <c r="BQU45"/>
      <c r="BQV45"/>
      <c r="BQW45"/>
      <c r="BQX45"/>
      <c r="BQY45"/>
      <c r="BQZ45"/>
      <c r="BRA45"/>
      <c r="BRB45"/>
      <c r="BRC45"/>
      <c r="BRD45"/>
      <c r="BRE45"/>
      <c r="BRF45"/>
      <c r="BRG45"/>
      <c r="BRH45"/>
      <c r="BRI45"/>
      <c r="BRJ45"/>
      <c r="BRK45"/>
      <c r="BRL45"/>
      <c r="BRM45"/>
      <c r="BRN45"/>
      <c r="BRO45"/>
      <c r="BRP45"/>
      <c r="BRQ45"/>
      <c r="BRR45"/>
      <c r="BRS45"/>
      <c r="BRT45"/>
      <c r="BRU45"/>
      <c r="BRV45"/>
      <c r="BRW45"/>
      <c r="BRX45"/>
      <c r="BRY45"/>
      <c r="BRZ45"/>
      <c r="BSA45"/>
      <c r="BSB45"/>
      <c r="BSC45"/>
      <c r="BSD45"/>
      <c r="BSE45"/>
      <c r="BSF45"/>
      <c r="BSG45"/>
      <c r="BSH45"/>
      <c r="BSI45"/>
      <c r="BSJ45"/>
      <c r="BSK45"/>
      <c r="BSL45"/>
      <c r="BSM45"/>
      <c r="BSN45"/>
      <c r="BSO45"/>
      <c r="BSP45"/>
      <c r="BSQ45"/>
      <c r="BSR45"/>
      <c r="BSS45"/>
      <c r="BST45"/>
      <c r="BSU45"/>
      <c r="BSV45"/>
      <c r="BSW45"/>
      <c r="BSX45"/>
      <c r="BSY45"/>
      <c r="BSZ45"/>
      <c r="BTA45"/>
      <c r="BTB45"/>
      <c r="BTC45"/>
      <c r="BTD45"/>
      <c r="BTE45"/>
      <c r="BTF45"/>
      <c r="BTG45"/>
      <c r="BTH45"/>
      <c r="BTI45"/>
      <c r="BTJ45"/>
      <c r="BTK45"/>
      <c r="BTL45"/>
      <c r="BTM45"/>
      <c r="BTN45"/>
      <c r="BTO45"/>
      <c r="BTP45"/>
      <c r="BTQ45"/>
      <c r="BTR45"/>
      <c r="BTS45"/>
      <c r="BTT45"/>
      <c r="BTU45"/>
      <c r="BTV45"/>
      <c r="BTW45"/>
      <c r="BTX45"/>
      <c r="BTY45"/>
      <c r="BTZ45"/>
      <c r="BUA45"/>
      <c r="BUB45"/>
      <c r="BUC45"/>
      <c r="BUD45"/>
      <c r="BUE45"/>
      <c r="BUF45"/>
      <c r="BUG45"/>
      <c r="BUH45"/>
      <c r="BUI45"/>
      <c r="BUJ45"/>
      <c r="BUK45"/>
      <c r="BUL45"/>
      <c r="BUM45"/>
      <c r="BUN45"/>
      <c r="BUO45"/>
      <c r="BUP45"/>
      <c r="BUQ45"/>
      <c r="BUR45"/>
      <c r="BUS45"/>
      <c r="BUT45"/>
      <c r="BUU45"/>
      <c r="BUV45"/>
      <c r="BUW45"/>
      <c r="BUX45"/>
      <c r="BUY45"/>
      <c r="BUZ45"/>
      <c r="BVA45"/>
      <c r="BVB45"/>
      <c r="BVC45"/>
      <c r="BVD45"/>
      <c r="BVE45"/>
      <c r="BVF45"/>
      <c r="BVG45"/>
      <c r="BVH45"/>
      <c r="BVI45"/>
      <c r="BVJ45"/>
      <c r="BVK45"/>
      <c r="BVL45"/>
      <c r="BVM45"/>
      <c r="BVN45"/>
      <c r="BVO45"/>
      <c r="BVP45"/>
      <c r="BVQ45"/>
      <c r="BVR45"/>
      <c r="BVS45"/>
      <c r="BVT45"/>
      <c r="BVU45"/>
      <c r="BVV45"/>
      <c r="BVW45"/>
      <c r="BVX45"/>
      <c r="BVY45"/>
      <c r="BVZ45"/>
      <c r="BWA45"/>
      <c r="BWB45"/>
      <c r="BWC45"/>
      <c r="BWD45"/>
      <c r="BWE45"/>
      <c r="BWF45"/>
      <c r="BWG45"/>
      <c r="BWH45"/>
      <c r="BWI45"/>
      <c r="BWJ45"/>
      <c r="BWK45"/>
      <c r="BWL45"/>
      <c r="BWM45"/>
      <c r="BWN45"/>
      <c r="BWO45"/>
      <c r="BWP45"/>
      <c r="BWQ45"/>
      <c r="BWR45"/>
      <c r="BWS45"/>
      <c r="BWT45"/>
      <c r="BWU45"/>
      <c r="BWV45"/>
      <c r="BWW45"/>
      <c r="BWX45"/>
      <c r="BWY45"/>
      <c r="BWZ45"/>
      <c r="BXA45"/>
      <c r="BXB45"/>
      <c r="BXC45"/>
      <c r="BXD45"/>
      <c r="BXE45"/>
      <c r="BXF45"/>
      <c r="BXG45"/>
      <c r="BXH45"/>
      <c r="BXI45"/>
      <c r="BXJ45"/>
      <c r="BXK45"/>
      <c r="BXL45"/>
      <c r="BXM45"/>
      <c r="BXN45"/>
      <c r="BXO45"/>
      <c r="BXP45"/>
      <c r="BXQ45"/>
      <c r="BXR45"/>
      <c r="BXS45"/>
      <c r="BXT45"/>
      <c r="BXU45"/>
      <c r="BXV45"/>
      <c r="BXW45"/>
      <c r="BXX45"/>
      <c r="BXY45"/>
      <c r="BXZ45"/>
      <c r="BYA45"/>
      <c r="BYB45"/>
      <c r="BYC45"/>
      <c r="BYD45"/>
      <c r="BYE45"/>
      <c r="BYF45"/>
      <c r="BYG45"/>
      <c r="BYH45"/>
      <c r="BYI45"/>
      <c r="BYJ45"/>
      <c r="BYK45"/>
      <c r="BYL45"/>
      <c r="BYM45"/>
      <c r="BYN45"/>
      <c r="BYO45"/>
      <c r="BYP45"/>
      <c r="BYQ45"/>
      <c r="BYR45"/>
      <c r="BYS45"/>
      <c r="BYT45"/>
      <c r="BYU45"/>
      <c r="BYV45"/>
      <c r="BYW45"/>
      <c r="BYX45"/>
      <c r="BYY45"/>
      <c r="BYZ45"/>
      <c r="BZA45"/>
      <c r="BZB45"/>
      <c r="BZC45"/>
      <c r="BZD45"/>
      <c r="BZE45"/>
      <c r="BZF45"/>
      <c r="BZG45"/>
      <c r="BZH45"/>
      <c r="BZI45"/>
      <c r="BZJ45"/>
      <c r="BZK45"/>
      <c r="BZL45"/>
      <c r="BZM45"/>
      <c r="BZN45"/>
      <c r="BZO45"/>
      <c r="BZP45"/>
      <c r="BZQ45"/>
      <c r="BZR45"/>
      <c r="BZS45"/>
      <c r="BZT45"/>
      <c r="BZU45"/>
      <c r="BZV45"/>
      <c r="BZW45"/>
      <c r="BZX45"/>
      <c r="BZY45"/>
      <c r="BZZ45"/>
      <c r="CAA45"/>
      <c r="CAB45"/>
      <c r="CAC45"/>
      <c r="CAD45"/>
      <c r="CAE45"/>
      <c r="CAF45"/>
      <c r="CAG45"/>
      <c r="CAH45"/>
      <c r="CAI45"/>
      <c r="CAJ45"/>
      <c r="CAK45"/>
      <c r="CAL45"/>
      <c r="CAM45"/>
      <c r="CAN45"/>
      <c r="CAO45"/>
      <c r="CAP45"/>
      <c r="CAQ45"/>
      <c r="CAR45"/>
      <c r="CAS45"/>
      <c r="CAT45"/>
      <c r="CAU45"/>
      <c r="CAV45"/>
      <c r="CAW45"/>
      <c r="CAX45"/>
      <c r="CAY45"/>
      <c r="CAZ45"/>
      <c r="CBA45"/>
      <c r="CBB45"/>
      <c r="CBC45"/>
      <c r="CBD45"/>
      <c r="CBE45"/>
      <c r="CBF45"/>
      <c r="CBG45"/>
      <c r="CBH45"/>
      <c r="CBI45"/>
      <c r="CBJ45"/>
      <c r="CBK45"/>
      <c r="CBL45"/>
      <c r="CBM45"/>
      <c r="CBN45"/>
      <c r="CBO45"/>
      <c r="CBP45"/>
      <c r="CBQ45"/>
      <c r="CBR45"/>
      <c r="CBS45"/>
      <c r="CBT45"/>
      <c r="CBU45"/>
      <c r="CBV45"/>
      <c r="CBW45"/>
      <c r="CBX45"/>
      <c r="CBY45"/>
      <c r="CBZ45"/>
      <c r="CCA45"/>
      <c r="CCB45"/>
      <c r="CCC45"/>
      <c r="CCD45"/>
      <c r="CCE45"/>
      <c r="CCF45"/>
      <c r="CCG45"/>
      <c r="CCH45"/>
      <c r="CCI45"/>
      <c r="CCJ45"/>
      <c r="CCK45"/>
      <c r="CCL45"/>
      <c r="CCM45"/>
      <c r="CCN45"/>
      <c r="CCO45"/>
      <c r="CCP45"/>
      <c r="CCQ45"/>
      <c r="CCR45"/>
      <c r="CCS45"/>
      <c r="CCT45"/>
      <c r="CCU45"/>
      <c r="CCV45"/>
      <c r="CCW45"/>
      <c r="CCX45"/>
      <c r="CCY45"/>
      <c r="CCZ45"/>
      <c r="CDA45"/>
      <c r="CDB45"/>
      <c r="CDC45"/>
      <c r="CDD45"/>
      <c r="CDE45"/>
      <c r="CDF45"/>
      <c r="CDG45"/>
      <c r="CDH45"/>
      <c r="CDI45"/>
      <c r="CDJ45"/>
      <c r="CDK45"/>
      <c r="CDL45"/>
      <c r="CDM45"/>
      <c r="CDN45"/>
      <c r="CDO45"/>
      <c r="CDP45"/>
      <c r="CDQ45"/>
      <c r="CDR45"/>
      <c r="CDS45"/>
      <c r="CDT45"/>
      <c r="CDU45"/>
      <c r="CDV45"/>
      <c r="CDW45"/>
      <c r="CDX45"/>
      <c r="CDY45"/>
      <c r="CDZ45"/>
      <c r="CEA45"/>
      <c r="CEB45"/>
      <c r="CEC45"/>
      <c r="CED45"/>
      <c r="CEE45"/>
      <c r="CEF45"/>
      <c r="CEG45"/>
      <c r="CEH45"/>
      <c r="CEI45"/>
      <c r="CEJ45"/>
      <c r="CEK45"/>
      <c r="CEL45"/>
      <c r="CEM45"/>
      <c r="CEN45"/>
      <c r="CEO45"/>
      <c r="CEP45"/>
      <c r="CEQ45"/>
      <c r="CER45"/>
      <c r="CES45"/>
      <c r="CET45"/>
      <c r="CEU45"/>
      <c r="CEV45"/>
      <c r="CEW45"/>
      <c r="CEX45"/>
      <c r="CEY45"/>
      <c r="CEZ45"/>
      <c r="CFA45"/>
      <c r="CFB45"/>
      <c r="CFC45"/>
      <c r="CFD45"/>
      <c r="CFE45"/>
      <c r="CFF45"/>
      <c r="CFG45"/>
      <c r="CFH45"/>
      <c r="CFI45"/>
      <c r="CFJ45"/>
      <c r="CFK45"/>
      <c r="CFL45"/>
      <c r="CFM45"/>
      <c r="CFN45"/>
      <c r="CFO45"/>
      <c r="CFP45"/>
      <c r="CFQ45"/>
      <c r="CFR45"/>
      <c r="CFS45"/>
      <c r="CFT45"/>
      <c r="CFU45"/>
      <c r="CFV45"/>
      <c r="CFW45"/>
      <c r="CFX45"/>
      <c r="CFY45"/>
      <c r="CFZ45"/>
      <c r="CGA45"/>
      <c r="CGB45"/>
      <c r="CGC45"/>
      <c r="CGD45"/>
      <c r="CGE45"/>
      <c r="CGF45"/>
      <c r="CGG45"/>
      <c r="CGH45"/>
      <c r="CGI45"/>
      <c r="CGJ45"/>
      <c r="CGK45"/>
      <c r="CGL45"/>
      <c r="CGM45"/>
      <c r="CGN45"/>
      <c r="CGO45"/>
      <c r="CGP45"/>
      <c r="CGQ45"/>
      <c r="CGR45"/>
      <c r="CGS45"/>
      <c r="CGT45"/>
      <c r="CGU45"/>
      <c r="CGV45"/>
      <c r="CGW45"/>
      <c r="CGX45"/>
      <c r="CGY45"/>
      <c r="CGZ45"/>
      <c r="CHA45"/>
      <c r="CHB45"/>
      <c r="CHC45"/>
      <c r="CHD45"/>
      <c r="CHE45"/>
      <c r="CHF45"/>
      <c r="CHG45"/>
      <c r="CHH45"/>
      <c r="CHI45"/>
      <c r="CHJ45"/>
      <c r="CHK45"/>
      <c r="CHL45"/>
      <c r="CHM45"/>
      <c r="CHN45"/>
      <c r="CHO45"/>
      <c r="CHP45"/>
      <c r="CHQ45"/>
      <c r="CHR45"/>
      <c r="CHS45"/>
      <c r="CHT45"/>
      <c r="CHU45"/>
      <c r="CHV45"/>
      <c r="CHW45"/>
      <c r="CHX45"/>
      <c r="CHY45"/>
      <c r="CHZ45"/>
      <c r="CIA45"/>
      <c r="CIB45"/>
      <c r="CIC45"/>
      <c r="CID45"/>
      <c r="CIE45"/>
      <c r="CIF45"/>
      <c r="CIG45"/>
      <c r="CIH45"/>
      <c r="CII45"/>
      <c r="CIJ45"/>
      <c r="CIK45"/>
      <c r="CIL45"/>
      <c r="CIM45"/>
      <c r="CIN45"/>
      <c r="CIO45"/>
      <c r="CIP45"/>
      <c r="CIQ45"/>
      <c r="CIR45"/>
      <c r="CIS45"/>
      <c r="CIT45"/>
      <c r="CIU45"/>
      <c r="CIV45"/>
      <c r="CIW45"/>
      <c r="CIX45"/>
      <c r="CIY45"/>
      <c r="CIZ45"/>
      <c r="CJA45"/>
      <c r="CJB45"/>
      <c r="CJC45"/>
      <c r="CJD45"/>
      <c r="CJE45"/>
      <c r="CJF45"/>
      <c r="CJG45"/>
      <c r="CJH45"/>
      <c r="CJI45"/>
      <c r="CJJ45"/>
      <c r="CJK45"/>
      <c r="CJL45"/>
      <c r="CJM45"/>
      <c r="CJN45"/>
      <c r="CJO45"/>
      <c r="CJP45"/>
      <c r="CJQ45"/>
      <c r="CJR45"/>
      <c r="CJS45"/>
      <c r="CJT45"/>
      <c r="CJU45"/>
      <c r="CJV45"/>
      <c r="CJW45"/>
      <c r="CJX45"/>
      <c r="CJY45"/>
      <c r="CJZ45"/>
      <c r="CKA45"/>
      <c r="CKB45"/>
      <c r="CKC45"/>
      <c r="CKD45"/>
      <c r="CKE45"/>
      <c r="CKF45"/>
      <c r="CKG45"/>
      <c r="CKH45"/>
      <c r="CKI45"/>
      <c r="CKJ45"/>
      <c r="CKK45"/>
      <c r="CKL45"/>
      <c r="CKM45"/>
      <c r="CKN45"/>
      <c r="CKO45"/>
      <c r="CKP45"/>
      <c r="CKQ45"/>
      <c r="CKR45"/>
      <c r="CKS45"/>
      <c r="CKT45"/>
      <c r="CKU45"/>
      <c r="CKV45"/>
      <c r="CKW45"/>
      <c r="CKX45"/>
      <c r="CKY45"/>
      <c r="CKZ45"/>
      <c r="CLA45"/>
      <c r="CLB45"/>
      <c r="CLC45"/>
      <c r="CLD45"/>
      <c r="CLE45"/>
      <c r="CLF45"/>
      <c r="CLG45"/>
      <c r="CLH45"/>
      <c r="CLI45"/>
      <c r="CLJ45"/>
      <c r="CLK45"/>
      <c r="CLL45"/>
      <c r="CLM45"/>
      <c r="CLN45"/>
      <c r="CLO45"/>
      <c r="CLP45"/>
      <c r="CLQ45"/>
      <c r="CLR45"/>
      <c r="CLS45"/>
      <c r="CLT45"/>
      <c r="CLU45"/>
      <c r="CLV45"/>
      <c r="CLW45"/>
      <c r="CLX45"/>
      <c r="CLY45"/>
      <c r="CLZ45"/>
      <c r="CMA45"/>
      <c r="CMB45"/>
      <c r="CMC45"/>
      <c r="CMD45"/>
      <c r="CME45"/>
      <c r="CMF45"/>
      <c r="CMG45"/>
      <c r="CMH45"/>
      <c r="CMI45"/>
      <c r="CMJ45"/>
      <c r="CMK45"/>
      <c r="CML45"/>
      <c r="CMM45"/>
      <c r="CMN45"/>
      <c r="CMO45"/>
      <c r="CMP45"/>
      <c r="CMQ45"/>
      <c r="CMR45"/>
      <c r="CMS45"/>
      <c r="CMT45"/>
      <c r="CMU45"/>
      <c r="CMV45"/>
      <c r="CMW45"/>
      <c r="CMX45"/>
      <c r="CMY45"/>
      <c r="CMZ45"/>
      <c r="CNA45"/>
      <c r="CNB45"/>
      <c r="CNC45"/>
      <c r="CND45"/>
      <c r="CNE45"/>
      <c r="CNF45"/>
      <c r="CNG45"/>
      <c r="CNH45"/>
      <c r="CNI45"/>
      <c r="CNJ45"/>
      <c r="CNK45"/>
      <c r="CNL45"/>
      <c r="CNM45"/>
      <c r="CNN45"/>
      <c r="CNO45"/>
      <c r="CNP45"/>
      <c r="CNQ45"/>
      <c r="CNR45"/>
      <c r="CNS45"/>
      <c r="CNT45"/>
      <c r="CNU45"/>
      <c r="CNV45"/>
      <c r="CNW45"/>
      <c r="CNX45"/>
      <c r="CNY45"/>
      <c r="CNZ45"/>
      <c r="COA45"/>
      <c r="COB45"/>
      <c r="COC45"/>
      <c r="COD45"/>
      <c r="COE45"/>
      <c r="COF45"/>
      <c r="COG45"/>
      <c r="COH45"/>
      <c r="COI45"/>
      <c r="COJ45"/>
      <c r="COK45"/>
      <c r="COL45"/>
      <c r="COM45"/>
      <c r="CON45"/>
      <c r="COO45"/>
      <c r="COP45"/>
      <c r="COQ45"/>
      <c r="COR45"/>
      <c r="COS45"/>
      <c r="COT45"/>
      <c r="COU45"/>
      <c r="COV45"/>
      <c r="COW45"/>
      <c r="COX45"/>
      <c r="COY45"/>
      <c r="COZ45"/>
      <c r="CPA45"/>
      <c r="CPB45"/>
      <c r="CPC45"/>
      <c r="CPD45"/>
      <c r="CPE45"/>
      <c r="CPF45"/>
      <c r="CPG45"/>
      <c r="CPH45"/>
      <c r="CPI45"/>
      <c r="CPJ45"/>
      <c r="CPK45"/>
      <c r="CPL45"/>
      <c r="CPM45"/>
      <c r="CPN45"/>
      <c r="CPO45"/>
      <c r="CPP45"/>
      <c r="CPQ45"/>
      <c r="CPR45"/>
      <c r="CPS45"/>
      <c r="CPT45"/>
      <c r="CPU45"/>
      <c r="CPV45"/>
      <c r="CPW45"/>
      <c r="CPX45"/>
      <c r="CPY45"/>
      <c r="CPZ45"/>
      <c r="CQA45"/>
      <c r="CQB45"/>
      <c r="CQC45"/>
      <c r="CQD45"/>
      <c r="CQE45"/>
      <c r="CQF45"/>
      <c r="CQG45"/>
      <c r="CQH45"/>
      <c r="CQI45"/>
      <c r="CQJ45"/>
      <c r="CQK45"/>
      <c r="CQL45"/>
      <c r="CQM45"/>
      <c r="CQN45"/>
      <c r="CQO45"/>
      <c r="CQP45"/>
      <c r="CQQ45"/>
      <c r="CQR45"/>
      <c r="CQS45"/>
      <c r="CQT45"/>
      <c r="CQU45"/>
      <c r="CQV45"/>
      <c r="CQW45"/>
      <c r="CQX45"/>
      <c r="CQY45"/>
      <c r="CQZ45"/>
      <c r="CRA45"/>
      <c r="CRB45"/>
      <c r="CRC45"/>
      <c r="CRD45"/>
      <c r="CRE45"/>
      <c r="CRF45"/>
      <c r="CRG45"/>
      <c r="CRH45"/>
      <c r="CRI45"/>
      <c r="CRJ45"/>
      <c r="CRK45"/>
      <c r="CRL45"/>
      <c r="CRM45"/>
      <c r="CRN45"/>
      <c r="CRO45"/>
      <c r="CRP45"/>
      <c r="CRQ45"/>
      <c r="CRR45"/>
      <c r="CRS45"/>
      <c r="CRT45"/>
      <c r="CRU45"/>
      <c r="CRV45"/>
      <c r="CRW45"/>
      <c r="CRX45"/>
      <c r="CRY45"/>
      <c r="CRZ45"/>
      <c r="CSA45"/>
      <c r="CSB45"/>
      <c r="CSC45"/>
      <c r="CSD45"/>
      <c r="CSE45"/>
      <c r="CSF45"/>
      <c r="CSG45"/>
      <c r="CSH45"/>
      <c r="CSI45"/>
      <c r="CSJ45"/>
      <c r="CSK45"/>
      <c r="CSL45"/>
      <c r="CSM45"/>
      <c r="CSN45"/>
      <c r="CSO45"/>
      <c r="CSP45"/>
      <c r="CSQ45"/>
      <c r="CSR45"/>
      <c r="CSS45"/>
      <c r="CST45"/>
      <c r="CSU45"/>
      <c r="CSV45"/>
      <c r="CSW45"/>
      <c r="CSX45"/>
      <c r="CSY45"/>
      <c r="CSZ45"/>
      <c r="CTA45"/>
      <c r="CTB45"/>
      <c r="CTC45"/>
      <c r="CTD45"/>
      <c r="CTE45"/>
      <c r="CTF45"/>
      <c r="CTG45"/>
      <c r="CTH45"/>
      <c r="CTI45"/>
      <c r="CTJ45"/>
      <c r="CTK45"/>
      <c r="CTL45"/>
      <c r="CTM45"/>
      <c r="CTN45"/>
      <c r="CTO45"/>
      <c r="CTP45"/>
      <c r="CTQ45"/>
      <c r="CTR45"/>
      <c r="CTS45"/>
      <c r="CTT45"/>
      <c r="CTU45"/>
      <c r="CTV45"/>
      <c r="CTW45"/>
      <c r="CTX45"/>
      <c r="CTY45"/>
      <c r="CTZ45"/>
      <c r="CUA45"/>
      <c r="CUB45"/>
      <c r="CUC45"/>
      <c r="CUD45"/>
      <c r="CUE45"/>
      <c r="CUF45"/>
      <c r="CUG45"/>
      <c r="CUH45"/>
      <c r="CUI45"/>
      <c r="CUJ45"/>
      <c r="CUK45"/>
      <c r="CUL45"/>
      <c r="CUM45"/>
      <c r="CUN45"/>
      <c r="CUO45"/>
      <c r="CUP45"/>
      <c r="CUQ45"/>
      <c r="CUR45"/>
      <c r="CUS45"/>
      <c r="CUT45"/>
      <c r="CUU45"/>
      <c r="CUV45"/>
      <c r="CUW45"/>
      <c r="CUX45"/>
      <c r="CUY45"/>
      <c r="CUZ45"/>
      <c r="CVA45"/>
      <c r="CVB45"/>
      <c r="CVC45"/>
      <c r="CVD45"/>
      <c r="CVE45"/>
      <c r="CVF45"/>
      <c r="CVG45"/>
      <c r="CVH45"/>
      <c r="CVI45"/>
      <c r="CVJ45"/>
      <c r="CVK45"/>
      <c r="CVL45"/>
      <c r="CVM45"/>
      <c r="CVN45"/>
      <c r="CVO45"/>
      <c r="CVP45"/>
      <c r="CVQ45"/>
      <c r="CVR45"/>
      <c r="CVS45"/>
      <c r="CVT45"/>
      <c r="CVU45"/>
      <c r="CVV45"/>
      <c r="CVW45"/>
      <c r="CVX45"/>
      <c r="CVY45"/>
      <c r="CVZ45"/>
      <c r="CWA45"/>
      <c r="CWB45"/>
      <c r="CWC45"/>
      <c r="CWD45"/>
      <c r="CWE45"/>
      <c r="CWF45"/>
      <c r="CWG45"/>
      <c r="CWH45"/>
      <c r="CWI45"/>
      <c r="CWJ45"/>
      <c r="CWK45"/>
      <c r="CWL45"/>
      <c r="CWM45"/>
      <c r="CWN45"/>
      <c r="CWO45"/>
      <c r="CWP45"/>
      <c r="CWQ45"/>
      <c r="CWR45"/>
      <c r="CWS45"/>
      <c r="CWT45"/>
      <c r="CWU45"/>
      <c r="CWV45"/>
      <c r="CWW45"/>
      <c r="CWX45"/>
      <c r="CWY45"/>
      <c r="CWZ45"/>
      <c r="CXA45"/>
      <c r="CXB45"/>
      <c r="CXC45"/>
      <c r="CXD45"/>
      <c r="CXE45"/>
      <c r="CXF45"/>
      <c r="CXG45"/>
      <c r="CXH45"/>
      <c r="CXI45"/>
      <c r="CXJ45"/>
      <c r="CXK45"/>
      <c r="CXL45"/>
      <c r="CXM45"/>
      <c r="CXN45"/>
      <c r="CXO45"/>
      <c r="CXP45"/>
      <c r="CXQ45"/>
      <c r="CXR45"/>
      <c r="CXS45"/>
      <c r="CXT45"/>
      <c r="CXU45"/>
      <c r="CXV45"/>
      <c r="CXW45"/>
      <c r="CXX45"/>
      <c r="CXY45"/>
      <c r="CXZ45"/>
      <c r="CYA45"/>
      <c r="CYB45"/>
      <c r="CYC45"/>
      <c r="CYD45"/>
      <c r="CYE45"/>
      <c r="CYF45"/>
      <c r="CYG45"/>
      <c r="CYH45"/>
      <c r="CYI45"/>
      <c r="CYJ45"/>
      <c r="CYK45"/>
      <c r="CYL45"/>
      <c r="CYM45"/>
      <c r="CYN45"/>
      <c r="CYO45"/>
      <c r="CYP45"/>
      <c r="CYQ45"/>
      <c r="CYR45"/>
      <c r="CYS45"/>
      <c r="CYT45"/>
      <c r="CYU45"/>
      <c r="CYV45"/>
      <c r="CYW45"/>
      <c r="CYX45"/>
      <c r="CYY45"/>
      <c r="CYZ45"/>
      <c r="CZA45"/>
      <c r="CZB45"/>
      <c r="CZC45"/>
      <c r="CZD45"/>
      <c r="CZE45"/>
      <c r="CZF45"/>
      <c r="CZG45"/>
      <c r="CZH45"/>
      <c r="CZI45"/>
      <c r="CZJ45"/>
      <c r="CZK45"/>
      <c r="CZL45"/>
      <c r="CZM45"/>
      <c r="CZN45"/>
      <c r="CZO45"/>
      <c r="CZP45"/>
      <c r="CZQ45"/>
      <c r="CZR45"/>
      <c r="CZS45"/>
      <c r="CZT45"/>
      <c r="CZU45"/>
      <c r="CZV45"/>
      <c r="CZW45"/>
      <c r="CZX45"/>
      <c r="CZY45"/>
      <c r="CZZ45"/>
      <c r="DAA45"/>
      <c r="DAB45"/>
      <c r="DAC45"/>
      <c r="DAD45"/>
      <c r="DAE45"/>
      <c r="DAF45"/>
      <c r="DAG45"/>
      <c r="DAH45"/>
      <c r="DAI45"/>
      <c r="DAJ45"/>
      <c r="DAK45"/>
      <c r="DAL45"/>
      <c r="DAM45"/>
      <c r="DAN45"/>
      <c r="DAO45"/>
      <c r="DAP45"/>
      <c r="DAQ45"/>
      <c r="DAR45"/>
      <c r="DAS45"/>
      <c r="DAT45"/>
      <c r="DAU45"/>
      <c r="DAV45"/>
      <c r="DAW45"/>
      <c r="DAX45"/>
      <c r="DAY45"/>
      <c r="DAZ45"/>
      <c r="DBA45"/>
      <c r="DBB45"/>
      <c r="DBC45"/>
      <c r="DBD45"/>
      <c r="DBE45"/>
      <c r="DBF45"/>
      <c r="DBG45"/>
      <c r="DBH45"/>
      <c r="DBI45"/>
      <c r="DBJ45"/>
      <c r="DBK45"/>
      <c r="DBL45"/>
      <c r="DBM45"/>
      <c r="DBN45"/>
      <c r="DBO45"/>
      <c r="DBP45"/>
      <c r="DBQ45"/>
      <c r="DBR45"/>
      <c r="DBS45"/>
      <c r="DBT45"/>
      <c r="DBU45"/>
      <c r="DBV45"/>
      <c r="DBW45"/>
      <c r="DBX45"/>
      <c r="DBY45"/>
      <c r="DBZ45"/>
      <c r="DCA45"/>
      <c r="DCB45"/>
      <c r="DCC45"/>
      <c r="DCD45"/>
      <c r="DCE45"/>
      <c r="DCF45"/>
      <c r="DCG45"/>
      <c r="DCH45"/>
      <c r="DCI45"/>
      <c r="DCJ45"/>
      <c r="DCK45"/>
      <c r="DCL45"/>
      <c r="DCM45"/>
      <c r="DCN45"/>
      <c r="DCO45"/>
      <c r="DCP45"/>
      <c r="DCQ45"/>
      <c r="DCR45"/>
      <c r="DCS45"/>
      <c r="DCT45"/>
      <c r="DCU45"/>
      <c r="DCV45"/>
      <c r="DCW45"/>
      <c r="DCX45"/>
      <c r="DCY45"/>
      <c r="DCZ45"/>
      <c r="DDA45"/>
      <c r="DDB45"/>
      <c r="DDC45"/>
      <c r="DDD45"/>
      <c r="DDE45"/>
      <c r="DDF45"/>
      <c r="DDG45"/>
      <c r="DDH45"/>
      <c r="DDI45"/>
      <c r="DDJ45"/>
      <c r="DDK45"/>
      <c r="DDL45"/>
      <c r="DDM45"/>
      <c r="DDN45"/>
      <c r="DDO45"/>
      <c r="DDP45"/>
      <c r="DDQ45"/>
      <c r="DDR45"/>
      <c r="DDS45"/>
      <c r="DDT45"/>
      <c r="DDU45"/>
      <c r="DDV45"/>
      <c r="DDW45"/>
      <c r="DDX45"/>
      <c r="DDY45"/>
      <c r="DDZ45"/>
      <c r="DEA45"/>
      <c r="DEB45"/>
      <c r="DEC45"/>
      <c r="DED45"/>
      <c r="DEE45"/>
      <c r="DEF45"/>
      <c r="DEG45"/>
      <c r="DEH45"/>
      <c r="DEI45"/>
      <c r="DEJ45"/>
      <c r="DEK45"/>
      <c r="DEL45"/>
      <c r="DEM45"/>
      <c r="DEN45"/>
      <c r="DEO45"/>
      <c r="DEP45"/>
      <c r="DEQ45"/>
      <c r="DER45"/>
      <c r="DES45"/>
      <c r="DET45"/>
      <c r="DEU45"/>
      <c r="DEV45"/>
      <c r="DEW45"/>
      <c r="DEX45"/>
      <c r="DEY45"/>
      <c r="DEZ45"/>
      <c r="DFA45"/>
      <c r="DFB45"/>
      <c r="DFC45"/>
      <c r="DFD45"/>
      <c r="DFE45"/>
      <c r="DFF45"/>
      <c r="DFG45"/>
      <c r="DFH45"/>
      <c r="DFI45"/>
      <c r="DFJ45"/>
      <c r="DFK45"/>
      <c r="DFL45"/>
      <c r="DFM45"/>
      <c r="DFN45"/>
      <c r="DFO45"/>
      <c r="DFP45"/>
      <c r="DFQ45"/>
      <c r="DFR45"/>
      <c r="DFS45"/>
      <c r="DFT45"/>
      <c r="DFU45"/>
      <c r="DFV45"/>
      <c r="DFW45"/>
      <c r="DFX45"/>
      <c r="DFY45"/>
      <c r="DFZ45"/>
      <c r="DGA45"/>
      <c r="DGB45"/>
      <c r="DGC45"/>
      <c r="DGD45"/>
      <c r="DGE45"/>
      <c r="DGF45"/>
      <c r="DGG45"/>
      <c r="DGH45"/>
      <c r="DGI45"/>
      <c r="DGJ45"/>
      <c r="DGK45"/>
      <c r="DGL45"/>
      <c r="DGM45"/>
      <c r="DGN45"/>
      <c r="DGO45"/>
      <c r="DGP45"/>
      <c r="DGQ45"/>
      <c r="DGR45"/>
      <c r="DGS45"/>
      <c r="DGT45"/>
      <c r="DGU45"/>
      <c r="DGV45"/>
      <c r="DGW45"/>
      <c r="DGX45"/>
      <c r="DGY45"/>
      <c r="DGZ45"/>
      <c r="DHA45"/>
      <c r="DHB45"/>
      <c r="DHC45"/>
      <c r="DHD45"/>
      <c r="DHE45"/>
      <c r="DHF45"/>
      <c r="DHG45"/>
      <c r="DHH45"/>
      <c r="DHI45"/>
      <c r="DHJ45"/>
      <c r="DHK45"/>
      <c r="DHL45"/>
      <c r="DHM45"/>
      <c r="DHN45"/>
      <c r="DHO45"/>
      <c r="DHP45"/>
      <c r="DHQ45"/>
      <c r="DHR45"/>
      <c r="DHS45"/>
      <c r="DHT45"/>
      <c r="DHU45"/>
      <c r="DHV45"/>
      <c r="DHW45"/>
      <c r="DHX45"/>
      <c r="DHY45"/>
      <c r="DHZ45"/>
      <c r="DIA45"/>
      <c r="DIB45"/>
      <c r="DIC45"/>
      <c r="DID45"/>
      <c r="DIE45"/>
      <c r="DIF45"/>
      <c r="DIG45"/>
      <c r="DIH45"/>
      <c r="DII45"/>
      <c r="DIJ45"/>
      <c r="DIK45"/>
      <c r="DIL45"/>
      <c r="DIM45"/>
      <c r="DIN45"/>
      <c r="DIO45"/>
      <c r="DIP45"/>
      <c r="DIQ45"/>
      <c r="DIR45"/>
      <c r="DIS45"/>
      <c r="DIT45"/>
      <c r="DIU45"/>
      <c r="DIV45"/>
      <c r="DIW45"/>
      <c r="DIX45"/>
      <c r="DIY45"/>
      <c r="DIZ45"/>
      <c r="DJA45"/>
      <c r="DJB45"/>
      <c r="DJC45"/>
      <c r="DJD45"/>
      <c r="DJE45"/>
      <c r="DJF45"/>
      <c r="DJG45"/>
      <c r="DJH45"/>
      <c r="DJI45"/>
      <c r="DJJ45"/>
      <c r="DJK45"/>
      <c r="DJL45"/>
      <c r="DJM45"/>
      <c r="DJN45"/>
      <c r="DJO45"/>
      <c r="DJP45"/>
      <c r="DJQ45"/>
      <c r="DJR45"/>
      <c r="DJS45"/>
      <c r="DJT45"/>
      <c r="DJU45"/>
      <c r="DJV45"/>
      <c r="DJW45"/>
      <c r="DJX45"/>
      <c r="DJY45"/>
      <c r="DJZ45"/>
      <c r="DKA45"/>
      <c r="DKB45"/>
      <c r="DKC45"/>
      <c r="DKD45"/>
      <c r="DKE45"/>
      <c r="DKF45"/>
      <c r="DKG45"/>
      <c r="DKH45"/>
      <c r="DKI45"/>
      <c r="DKJ45"/>
      <c r="DKK45"/>
      <c r="DKL45"/>
      <c r="DKM45"/>
      <c r="DKN45"/>
      <c r="DKO45"/>
      <c r="DKP45"/>
      <c r="DKQ45"/>
      <c r="DKR45"/>
      <c r="DKS45"/>
      <c r="DKT45"/>
      <c r="DKU45"/>
      <c r="DKV45"/>
      <c r="DKW45"/>
      <c r="DKX45"/>
      <c r="DKY45"/>
      <c r="DKZ45"/>
      <c r="DLA45"/>
      <c r="DLB45"/>
      <c r="DLC45"/>
      <c r="DLD45"/>
      <c r="DLE45"/>
      <c r="DLF45"/>
      <c r="DLG45"/>
      <c r="DLH45"/>
      <c r="DLI45"/>
      <c r="DLJ45"/>
      <c r="DLK45"/>
      <c r="DLL45"/>
      <c r="DLM45"/>
      <c r="DLN45"/>
      <c r="DLO45"/>
      <c r="DLP45"/>
      <c r="DLQ45"/>
      <c r="DLR45"/>
      <c r="DLS45"/>
      <c r="DLT45"/>
      <c r="DLU45"/>
      <c r="DLV45"/>
      <c r="DLW45"/>
      <c r="DLX45"/>
      <c r="DLY45"/>
      <c r="DLZ45"/>
      <c r="DMA45"/>
      <c r="DMB45"/>
      <c r="DMC45"/>
      <c r="DMD45"/>
      <c r="DME45"/>
      <c r="DMF45"/>
      <c r="DMG45"/>
      <c r="DMH45"/>
      <c r="DMI45"/>
      <c r="DMJ45"/>
      <c r="DMK45"/>
      <c r="DML45"/>
      <c r="DMM45"/>
      <c r="DMN45"/>
      <c r="DMO45"/>
      <c r="DMP45"/>
      <c r="DMQ45"/>
      <c r="DMR45"/>
      <c r="DMS45"/>
      <c r="DMT45"/>
      <c r="DMU45"/>
      <c r="DMV45"/>
      <c r="DMW45"/>
      <c r="DMX45"/>
      <c r="DMY45"/>
      <c r="DMZ45"/>
      <c r="DNA45"/>
      <c r="DNB45"/>
      <c r="DNC45"/>
      <c r="DND45"/>
      <c r="DNE45"/>
      <c r="DNF45"/>
      <c r="DNG45"/>
      <c r="DNH45"/>
      <c r="DNI45"/>
      <c r="DNJ45"/>
      <c r="DNK45"/>
      <c r="DNL45"/>
      <c r="DNM45"/>
      <c r="DNN45"/>
      <c r="DNO45"/>
      <c r="DNP45"/>
      <c r="DNQ45"/>
      <c r="DNR45"/>
      <c r="DNS45"/>
      <c r="DNT45"/>
      <c r="DNU45"/>
      <c r="DNV45"/>
      <c r="DNW45"/>
      <c r="DNX45"/>
      <c r="DNY45"/>
      <c r="DNZ45"/>
      <c r="DOA45"/>
      <c r="DOB45"/>
      <c r="DOC45"/>
      <c r="DOD45"/>
      <c r="DOE45"/>
      <c r="DOF45"/>
      <c r="DOG45"/>
      <c r="DOH45"/>
      <c r="DOI45"/>
      <c r="DOJ45"/>
      <c r="DOK45"/>
      <c r="DOL45"/>
      <c r="DOM45"/>
      <c r="DON45"/>
      <c r="DOO45"/>
      <c r="DOP45"/>
      <c r="DOQ45"/>
      <c r="DOR45"/>
      <c r="DOS45"/>
      <c r="DOT45"/>
      <c r="DOU45"/>
      <c r="DOV45"/>
      <c r="DOW45"/>
      <c r="DOX45"/>
      <c r="DOY45"/>
      <c r="DOZ45"/>
      <c r="DPA45"/>
      <c r="DPB45"/>
      <c r="DPC45"/>
      <c r="DPD45"/>
      <c r="DPE45"/>
      <c r="DPF45"/>
      <c r="DPG45"/>
      <c r="DPH45"/>
      <c r="DPI45"/>
      <c r="DPJ45"/>
      <c r="DPK45"/>
      <c r="DPL45"/>
      <c r="DPM45"/>
      <c r="DPN45"/>
      <c r="DPO45"/>
      <c r="DPP45"/>
      <c r="DPQ45"/>
      <c r="DPR45"/>
      <c r="DPS45"/>
      <c r="DPT45"/>
      <c r="DPU45"/>
      <c r="DPV45"/>
      <c r="DPW45"/>
      <c r="DPX45"/>
      <c r="DPY45"/>
      <c r="DPZ45"/>
      <c r="DQA45"/>
      <c r="DQB45"/>
      <c r="DQC45"/>
      <c r="DQD45"/>
      <c r="DQE45"/>
      <c r="DQF45"/>
      <c r="DQG45"/>
      <c r="DQH45"/>
      <c r="DQI45"/>
      <c r="DQJ45"/>
      <c r="DQK45"/>
      <c r="DQL45"/>
      <c r="DQM45"/>
      <c r="DQN45"/>
      <c r="DQO45"/>
      <c r="DQP45"/>
      <c r="DQQ45"/>
      <c r="DQR45"/>
      <c r="DQS45"/>
      <c r="DQT45"/>
      <c r="DQU45"/>
      <c r="DQV45"/>
      <c r="DQW45"/>
      <c r="DQX45"/>
      <c r="DQY45"/>
      <c r="DQZ45"/>
      <c r="DRA45"/>
      <c r="DRB45"/>
      <c r="DRC45"/>
      <c r="DRD45"/>
      <c r="DRE45"/>
      <c r="DRF45"/>
      <c r="DRG45"/>
      <c r="DRH45"/>
      <c r="DRI45"/>
      <c r="DRJ45"/>
      <c r="DRK45"/>
      <c r="DRL45"/>
      <c r="DRM45"/>
      <c r="DRN45"/>
      <c r="DRO45"/>
      <c r="DRP45"/>
      <c r="DRQ45"/>
      <c r="DRR45"/>
      <c r="DRS45"/>
      <c r="DRT45"/>
      <c r="DRU45"/>
      <c r="DRV45"/>
      <c r="DRW45"/>
      <c r="DRX45"/>
      <c r="DRY45"/>
      <c r="DRZ45"/>
      <c r="DSA45"/>
      <c r="DSB45"/>
      <c r="DSC45"/>
      <c r="DSD45"/>
      <c r="DSE45"/>
      <c r="DSF45"/>
      <c r="DSG45"/>
      <c r="DSH45"/>
      <c r="DSI45"/>
      <c r="DSJ45"/>
      <c r="DSK45"/>
      <c r="DSL45"/>
      <c r="DSM45"/>
      <c r="DSN45"/>
      <c r="DSO45"/>
      <c r="DSP45"/>
      <c r="DSQ45"/>
      <c r="DSR45"/>
      <c r="DSS45"/>
      <c r="DST45"/>
      <c r="DSU45"/>
      <c r="DSV45"/>
      <c r="DSW45"/>
      <c r="DSX45"/>
      <c r="DSY45"/>
      <c r="DSZ45"/>
      <c r="DTA45"/>
      <c r="DTB45"/>
      <c r="DTC45"/>
      <c r="DTD45"/>
      <c r="DTE45"/>
      <c r="DTF45"/>
      <c r="DTG45"/>
      <c r="DTH45"/>
      <c r="DTI45"/>
      <c r="DTJ45"/>
      <c r="DTK45"/>
      <c r="DTL45"/>
      <c r="DTM45"/>
      <c r="DTN45"/>
      <c r="DTO45"/>
      <c r="DTP45"/>
      <c r="DTQ45"/>
      <c r="DTR45"/>
      <c r="DTS45"/>
      <c r="DTT45"/>
      <c r="DTU45"/>
      <c r="DTV45"/>
      <c r="DTW45"/>
      <c r="DTX45"/>
      <c r="DTY45"/>
      <c r="DTZ45"/>
      <c r="DUA45"/>
      <c r="DUB45"/>
      <c r="DUC45"/>
      <c r="DUD45"/>
      <c r="DUE45"/>
      <c r="DUF45"/>
      <c r="DUG45"/>
      <c r="DUH45"/>
      <c r="DUI45"/>
      <c r="DUJ45"/>
      <c r="DUK45"/>
      <c r="DUL45"/>
      <c r="DUM45"/>
      <c r="DUN45"/>
      <c r="DUO45"/>
      <c r="DUP45"/>
      <c r="DUQ45"/>
      <c r="DUR45"/>
      <c r="DUS45"/>
      <c r="DUT45"/>
      <c r="DUU45"/>
      <c r="DUV45"/>
      <c r="DUW45"/>
      <c r="DUX45"/>
      <c r="DUY45"/>
      <c r="DUZ45"/>
      <c r="DVA45"/>
      <c r="DVB45"/>
      <c r="DVC45"/>
      <c r="DVD45"/>
      <c r="DVE45"/>
      <c r="DVF45"/>
      <c r="DVG45"/>
      <c r="DVH45"/>
      <c r="DVI45"/>
      <c r="DVJ45"/>
      <c r="DVK45"/>
      <c r="DVL45"/>
      <c r="DVM45"/>
      <c r="DVN45"/>
      <c r="DVO45"/>
      <c r="DVP45"/>
      <c r="DVQ45"/>
      <c r="DVR45"/>
      <c r="DVS45"/>
      <c r="DVT45"/>
      <c r="DVU45"/>
      <c r="DVV45"/>
      <c r="DVW45"/>
      <c r="DVX45"/>
      <c r="DVY45"/>
      <c r="DVZ45"/>
      <c r="DWA45"/>
      <c r="DWB45"/>
      <c r="DWC45"/>
      <c r="DWD45"/>
      <c r="DWE45"/>
      <c r="DWF45"/>
      <c r="DWG45"/>
      <c r="DWH45"/>
      <c r="DWI45"/>
      <c r="DWJ45"/>
      <c r="DWK45"/>
      <c r="DWL45"/>
      <c r="DWM45"/>
      <c r="DWN45"/>
      <c r="DWO45"/>
      <c r="DWP45"/>
      <c r="DWQ45"/>
      <c r="DWR45"/>
      <c r="DWS45"/>
      <c r="DWT45"/>
      <c r="DWU45"/>
      <c r="DWV45"/>
      <c r="DWW45"/>
      <c r="DWX45"/>
      <c r="DWY45"/>
      <c r="DWZ45"/>
      <c r="DXA45"/>
      <c r="DXB45"/>
      <c r="DXC45"/>
      <c r="DXD45"/>
      <c r="DXE45"/>
      <c r="DXF45"/>
      <c r="DXG45"/>
      <c r="DXH45"/>
      <c r="DXI45"/>
      <c r="DXJ45"/>
      <c r="DXK45"/>
      <c r="DXL45"/>
      <c r="DXM45"/>
      <c r="DXN45"/>
      <c r="DXO45"/>
      <c r="DXP45"/>
      <c r="DXQ45"/>
      <c r="DXR45"/>
      <c r="DXS45"/>
      <c r="DXT45"/>
      <c r="DXU45"/>
      <c r="DXV45"/>
      <c r="DXW45"/>
      <c r="DXX45"/>
      <c r="DXY45"/>
      <c r="DXZ45"/>
      <c r="DYA45"/>
      <c r="DYB45"/>
      <c r="DYC45"/>
      <c r="DYD45"/>
      <c r="DYE45"/>
      <c r="DYF45"/>
      <c r="DYG45"/>
      <c r="DYH45"/>
      <c r="DYI45"/>
      <c r="DYJ45"/>
      <c r="DYK45"/>
      <c r="DYL45"/>
      <c r="DYM45"/>
      <c r="DYN45"/>
      <c r="DYO45"/>
      <c r="DYP45"/>
      <c r="DYQ45"/>
      <c r="DYR45"/>
      <c r="DYS45"/>
      <c r="DYT45"/>
      <c r="DYU45"/>
      <c r="DYV45"/>
      <c r="DYW45"/>
      <c r="DYX45"/>
      <c r="DYY45"/>
      <c r="DYZ45"/>
      <c r="DZA45"/>
      <c r="DZB45"/>
      <c r="DZC45"/>
      <c r="DZD45"/>
      <c r="DZE45"/>
      <c r="DZF45"/>
      <c r="DZG45"/>
      <c r="DZH45"/>
      <c r="DZI45"/>
      <c r="DZJ45"/>
      <c r="DZK45"/>
      <c r="DZL45"/>
      <c r="DZM45"/>
      <c r="DZN45"/>
      <c r="DZO45"/>
      <c r="DZP45"/>
      <c r="DZQ45"/>
      <c r="DZR45"/>
      <c r="DZS45"/>
      <c r="DZT45"/>
      <c r="DZU45"/>
      <c r="DZV45"/>
      <c r="DZW45"/>
      <c r="DZX45"/>
      <c r="DZY45"/>
      <c r="DZZ45"/>
      <c r="EAA45"/>
      <c r="EAB45"/>
      <c r="EAC45"/>
      <c r="EAD45"/>
      <c r="EAE45"/>
      <c r="EAF45"/>
      <c r="EAG45"/>
      <c r="EAH45"/>
      <c r="EAI45"/>
      <c r="EAJ45"/>
      <c r="EAK45"/>
      <c r="EAL45"/>
      <c r="EAM45"/>
      <c r="EAN45"/>
      <c r="EAO45"/>
      <c r="EAP45"/>
      <c r="EAQ45"/>
      <c r="EAR45"/>
      <c r="EAS45"/>
      <c r="EAT45"/>
      <c r="EAU45"/>
      <c r="EAV45"/>
      <c r="EAW45"/>
      <c r="EAX45"/>
      <c r="EAY45"/>
      <c r="EAZ45"/>
      <c r="EBA45"/>
      <c r="EBB45"/>
      <c r="EBC45"/>
      <c r="EBD45"/>
      <c r="EBE45"/>
      <c r="EBF45"/>
      <c r="EBG45"/>
      <c r="EBH45"/>
      <c r="EBI45"/>
      <c r="EBJ45"/>
      <c r="EBK45"/>
      <c r="EBL45"/>
      <c r="EBM45"/>
      <c r="EBN45"/>
      <c r="EBO45"/>
      <c r="EBP45"/>
      <c r="EBQ45"/>
      <c r="EBR45"/>
      <c r="EBS45"/>
      <c r="EBT45"/>
      <c r="EBU45"/>
      <c r="EBV45"/>
      <c r="EBW45"/>
      <c r="EBX45"/>
      <c r="EBY45"/>
      <c r="EBZ45"/>
      <c r="ECA45"/>
      <c r="ECB45"/>
      <c r="ECC45"/>
      <c r="ECD45"/>
      <c r="ECE45"/>
      <c r="ECF45"/>
      <c r="ECG45"/>
      <c r="ECH45"/>
      <c r="ECI45"/>
      <c r="ECJ45"/>
      <c r="ECK45"/>
      <c r="ECL45"/>
      <c r="ECM45"/>
      <c r="ECN45"/>
      <c r="ECO45"/>
      <c r="ECP45"/>
      <c r="ECQ45"/>
      <c r="ECR45"/>
      <c r="ECS45"/>
      <c r="ECT45"/>
      <c r="ECU45"/>
      <c r="ECV45"/>
      <c r="ECW45"/>
      <c r="ECX45"/>
      <c r="ECY45"/>
      <c r="ECZ45"/>
      <c r="EDA45"/>
      <c r="EDB45"/>
      <c r="EDC45"/>
      <c r="EDD45"/>
      <c r="EDE45"/>
      <c r="EDF45"/>
      <c r="EDG45"/>
      <c r="EDH45"/>
      <c r="EDI45"/>
      <c r="EDJ45"/>
      <c r="EDK45"/>
      <c r="EDL45"/>
      <c r="EDM45"/>
      <c r="EDN45"/>
      <c r="EDO45"/>
      <c r="EDP45"/>
      <c r="EDQ45"/>
      <c r="EDR45"/>
      <c r="EDS45"/>
      <c r="EDT45"/>
      <c r="EDU45"/>
      <c r="EDV45"/>
      <c r="EDW45"/>
      <c r="EDX45"/>
      <c r="EDY45"/>
      <c r="EDZ45"/>
      <c r="EEA45"/>
      <c r="EEB45"/>
      <c r="EEC45"/>
      <c r="EED45"/>
      <c r="EEE45"/>
      <c r="EEF45"/>
      <c r="EEG45"/>
      <c r="EEH45"/>
      <c r="EEI45"/>
      <c r="EEJ45"/>
      <c r="EEK45"/>
      <c r="EEL45"/>
      <c r="EEM45"/>
      <c r="EEN45"/>
      <c r="EEO45"/>
      <c r="EEP45"/>
      <c r="EEQ45"/>
      <c r="EER45"/>
      <c r="EES45"/>
      <c r="EET45"/>
      <c r="EEU45"/>
      <c r="EEV45"/>
      <c r="EEW45"/>
      <c r="EEX45"/>
      <c r="EEY45"/>
      <c r="EEZ45"/>
      <c r="EFA45"/>
      <c r="EFB45"/>
      <c r="EFC45"/>
      <c r="EFD45"/>
      <c r="EFE45"/>
      <c r="EFF45"/>
      <c r="EFG45"/>
      <c r="EFH45"/>
      <c r="EFI45"/>
      <c r="EFJ45"/>
      <c r="EFK45"/>
      <c r="EFL45"/>
      <c r="EFM45"/>
      <c r="EFN45"/>
      <c r="EFO45"/>
      <c r="EFP45"/>
      <c r="EFQ45"/>
      <c r="EFR45"/>
      <c r="EFS45"/>
      <c r="EFT45"/>
      <c r="EFU45"/>
      <c r="EFV45"/>
      <c r="EFW45"/>
      <c r="EFX45"/>
      <c r="EFY45"/>
      <c r="EFZ45"/>
      <c r="EGA45"/>
      <c r="EGB45"/>
      <c r="EGC45"/>
      <c r="EGD45"/>
      <c r="EGE45"/>
      <c r="EGF45"/>
      <c r="EGG45"/>
      <c r="EGH45"/>
      <c r="EGI45"/>
      <c r="EGJ45"/>
      <c r="EGK45"/>
      <c r="EGL45"/>
      <c r="EGM45"/>
      <c r="EGN45"/>
      <c r="EGO45"/>
      <c r="EGP45"/>
      <c r="EGQ45"/>
      <c r="EGR45"/>
      <c r="EGS45"/>
      <c r="EGT45"/>
      <c r="EGU45"/>
      <c r="EGV45"/>
      <c r="EGW45"/>
      <c r="EGX45"/>
      <c r="EGY45"/>
      <c r="EGZ45"/>
      <c r="EHA45"/>
      <c r="EHB45"/>
      <c r="EHC45"/>
      <c r="EHD45"/>
      <c r="EHE45"/>
      <c r="EHF45"/>
      <c r="EHG45"/>
      <c r="EHH45"/>
      <c r="EHI45"/>
      <c r="EHJ45"/>
      <c r="EHK45"/>
      <c r="EHL45"/>
      <c r="EHM45"/>
      <c r="EHN45"/>
      <c r="EHO45"/>
      <c r="EHP45"/>
      <c r="EHQ45"/>
      <c r="EHR45"/>
      <c r="EHS45"/>
      <c r="EHT45"/>
      <c r="EHU45"/>
      <c r="EHV45"/>
      <c r="EHW45"/>
      <c r="EHX45"/>
      <c r="EHY45"/>
      <c r="EHZ45"/>
      <c r="EIA45"/>
      <c r="EIB45"/>
      <c r="EIC45"/>
      <c r="EID45"/>
      <c r="EIE45"/>
      <c r="EIF45"/>
      <c r="EIG45"/>
      <c r="EIH45"/>
      <c r="EII45"/>
      <c r="EIJ45"/>
      <c r="EIK45"/>
      <c r="EIL45"/>
      <c r="EIM45"/>
      <c r="EIN45"/>
      <c r="EIO45"/>
      <c r="EIP45"/>
      <c r="EIQ45"/>
      <c r="EIR45"/>
      <c r="EIS45"/>
      <c r="EIT45"/>
      <c r="EIU45"/>
      <c r="EIV45"/>
      <c r="EIW45"/>
      <c r="EIX45"/>
      <c r="EIY45"/>
      <c r="EIZ45"/>
      <c r="EJA45"/>
      <c r="EJB45"/>
      <c r="EJC45"/>
      <c r="EJD45"/>
      <c r="EJE45"/>
      <c r="EJF45"/>
      <c r="EJG45"/>
      <c r="EJH45"/>
      <c r="EJI45"/>
      <c r="EJJ45"/>
      <c r="EJK45"/>
      <c r="EJL45"/>
      <c r="EJM45"/>
      <c r="EJN45"/>
      <c r="EJO45"/>
      <c r="EJP45"/>
      <c r="EJQ45"/>
      <c r="EJR45"/>
      <c r="EJS45"/>
      <c r="EJT45"/>
      <c r="EJU45"/>
      <c r="EJV45"/>
      <c r="EJW45"/>
      <c r="EJX45"/>
      <c r="EJY45"/>
      <c r="EJZ45"/>
      <c r="EKA45"/>
      <c r="EKB45"/>
      <c r="EKC45"/>
      <c r="EKD45"/>
      <c r="EKE45"/>
      <c r="EKF45"/>
      <c r="EKG45"/>
      <c r="EKH45"/>
      <c r="EKI45"/>
      <c r="EKJ45"/>
      <c r="EKK45"/>
      <c r="EKL45"/>
      <c r="EKM45"/>
      <c r="EKN45"/>
      <c r="EKO45"/>
      <c r="EKP45"/>
      <c r="EKQ45"/>
      <c r="EKR45"/>
      <c r="EKS45"/>
      <c r="EKT45"/>
      <c r="EKU45"/>
      <c r="EKV45"/>
      <c r="EKW45"/>
      <c r="EKX45"/>
      <c r="EKY45"/>
      <c r="EKZ45"/>
      <c r="ELA45"/>
      <c r="ELB45"/>
      <c r="ELC45"/>
      <c r="ELD45"/>
      <c r="ELE45"/>
      <c r="ELF45"/>
      <c r="ELG45"/>
      <c r="ELH45"/>
      <c r="ELI45"/>
      <c r="ELJ45"/>
      <c r="ELK45"/>
      <c r="ELL45"/>
      <c r="ELM45"/>
      <c r="ELN45"/>
      <c r="ELO45"/>
      <c r="ELP45"/>
      <c r="ELQ45"/>
      <c r="ELR45"/>
      <c r="ELS45"/>
      <c r="ELT45"/>
      <c r="ELU45"/>
      <c r="ELV45"/>
      <c r="ELW45"/>
      <c r="ELX45"/>
      <c r="ELY45"/>
      <c r="ELZ45"/>
      <c r="EMA45"/>
      <c r="EMB45"/>
      <c r="EMC45"/>
      <c r="EMD45"/>
      <c r="EME45"/>
      <c r="EMF45"/>
      <c r="EMG45"/>
      <c r="EMH45"/>
      <c r="EMI45"/>
      <c r="EMJ45"/>
      <c r="EMK45"/>
      <c r="EML45"/>
      <c r="EMM45"/>
      <c r="EMN45"/>
      <c r="EMO45"/>
      <c r="EMP45"/>
      <c r="EMQ45"/>
      <c r="EMR45"/>
      <c r="EMS45"/>
      <c r="EMT45"/>
      <c r="EMU45"/>
      <c r="EMV45"/>
      <c r="EMW45"/>
      <c r="EMX45"/>
      <c r="EMY45"/>
      <c r="EMZ45"/>
      <c r="ENA45"/>
      <c r="ENB45"/>
      <c r="ENC45"/>
      <c r="END45"/>
      <c r="ENE45"/>
      <c r="ENF45"/>
      <c r="ENG45"/>
      <c r="ENH45"/>
      <c r="ENI45"/>
      <c r="ENJ45"/>
      <c r="ENK45"/>
      <c r="ENL45"/>
      <c r="ENM45"/>
      <c r="ENN45"/>
      <c r="ENO45"/>
      <c r="ENP45"/>
      <c r="ENQ45"/>
      <c r="ENR45"/>
      <c r="ENS45"/>
      <c r="ENT45"/>
      <c r="ENU45"/>
      <c r="ENV45"/>
      <c r="ENW45"/>
      <c r="ENX45"/>
      <c r="ENY45"/>
      <c r="ENZ45"/>
      <c r="EOA45"/>
      <c r="EOB45"/>
      <c r="EOC45"/>
      <c r="EOD45"/>
      <c r="EOE45"/>
      <c r="EOF45"/>
      <c r="EOG45"/>
      <c r="EOH45"/>
      <c r="EOI45"/>
      <c r="EOJ45"/>
      <c r="EOK45"/>
      <c r="EOL45"/>
      <c r="EOM45"/>
      <c r="EON45"/>
      <c r="EOO45"/>
      <c r="EOP45"/>
      <c r="EOQ45"/>
      <c r="EOR45"/>
      <c r="EOS45"/>
      <c r="EOT45"/>
      <c r="EOU45"/>
      <c r="EOV45"/>
      <c r="EOW45"/>
      <c r="EOX45"/>
      <c r="EOY45"/>
      <c r="EOZ45"/>
      <c r="EPA45"/>
      <c r="EPB45"/>
      <c r="EPC45"/>
      <c r="EPD45"/>
      <c r="EPE45"/>
      <c r="EPF45"/>
      <c r="EPG45"/>
      <c r="EPH45"/>
      <c r="EPI45"/>
      <c r="EPJ45"/>
      <c r="EPK45"/>
      <c r="EPL45"/>
      <c r="EPM45"/>
      <c r="EPN45"/>
      <c r="EPO45"/>
      <c r="EPP45"/>
      <c r="EPQ45"/>
      <c r="EPR45"/>
      <c r="EPS45"/>
      <c r="EPT45"/>
      <c r="EPU45"/>
      <c r="EPV45"/>
      <c r="EPW45"/>
      <c r="EPX45"/>
      <c r="EPY45"/>
      <c r="EPZ45"/>
      <c r="EQA45"/>
      <c r="EQB45"/>
      <c r="EQC45"/>
      <c r="EQD45"/>
      <c r="EQE45"/>
      <c r="EQF45"/>
      <c r="EQG45"/>
      <c r="EQH45"/>
      <c r="EQI45"/>
      <c r="EQJ45"/>
      <c r="EQK45"/>
      <c r="EQL45"/>
      <c r="EQM45"/>
      <c r="EQN45"/>
      <c r="EQO45"/>
      <c r="EQP45"/>
      <c r="EQQ45"/>
      <c r="EQR45"/>
      <c r="EQS45"/>
      <c r="EQT45"/>
      <c r="EQU45"/>
      <c r="EQV45"/>
      <c r="EQW45"/>
      <c r="EQX45"/>
      <c r="EQY45"/>
      <c r="EQZ45"/>
      <c r="ERA45"/>
      <c r="ERB45"/>
      <c r="ERC45"/>
      <c r="ERD45"/>
      <c r="ERE45"/>
      <c r="ERF45"/>
      <c r="ERG45"/>
      <c r="ERH45"/>
      <c r="ERI45"/>
      <c r="ERJ45"/>
      <c r="ERK45"/>
      <c r="ERL45"/>
      <c r="ERM45"/>
      <c r="ERN45"/>
      <c r="ERO45"/>
      <c r="ERP45"/>
      <c r="ERQ45"/>
      <c r="ERR45"/>
      <c r="ERS45"/>
      <c r="ERT45"/>
      <c r="ERU45"/>
      <c r="ERV45"/>
      <c r="ERW45"/>
      <c r="ERX45"/>
      <c r="ERY45"/>
      <c r="ERZ45"/>
      <c r="ESA45"/>
      <c r="ESB45"/>
      <c r="ESC45"/>
      <c r="ESD45"/>
      <c r="ESE45"/>
      <c r="ESF45"/>
      <c r="ESG45"/>
      <c r="ESH45"/>
      <c r="ESI45"/>
      <c r="ESJ45"/>
      <c r="ESK45"/>
      <c r="ESL45"/>
      <c r="ESM45"/>
      <c r="ESN45"/>
      <c r="ESO45"/>
      <c r="ESP45"/>
      <c r="ESQ45"/>
      <c r="ESR45"/>
      <c r="ESS45"/>
      <c r="EST45"/>
      <c r="ESU45"/>
      <c r="ESV45"/>
      <c r="ESW45"/>
      <c r="ESX45"/>
      <c r="ESY45"/>
      <c r="ESZ45"/>
      <c r="ETA45"/>
      <c r="ETB45"/>
      <c r="ETC45"/>
      <c r="ETD45"/>
      <c r="ETE45"/>
      <c r="ETF45"/>
      <c r="ETG45"/>
      <c r="ETH45"/>
      <c r="ETI45"/>
      <c r="ETJ45"/>
      <c r="ETK45"/>
      <c r="ETL45"/>
      <c r="ETM45"/>
      <c r="ETN45"/>
      <c r="ETO45"/>
      <c r="ETP45"/>
      <c r="ETQ45"/>
      <c r="ETR45"/>
      <c r="ETS45"/>
      <c r="ETT45"/>
      <c r="ETU45"/>
      <c r="ETV45"/>
      <c r="ETW45"/>
      <c r="ETX45"/>
      <c r="ETY45"/>
      <c r="ETZ45"/>
      <c r="EUA45"/>
      <c r="EUB45"/>
      <c r="EUC45"/>
      <c r="EUD45"/>
      <c r="EUE45"/>
      <c r="EUF45"/>
      <c r="EUG45"/>
      <c r="EUH45"/>
      <c r="EUI45"/>
      <c r="EUJ45"/>
      <c r="EUK45"/>
      <c r="EUL45"/>
      <c r="EUM45"/>
      <c r="EUN45"/>
      <c r="EUO45"/>
      <c r="EUP45"/>
      <c r="EUQ45"/>
      <c r="EUR45"/>
      <c r="EUS45"/>
      <c r="EUT45"/>
      <c r="EUU45"/>
      <c r="EUV45"/>
      <c r="EUW45"/>
      <c r="EUX45"/>
      <c r="EUY45"/>
      <c r="EUZ45"/>
      <c r="EVA45"/>
      <c r="EVB45"/>
      <c r="EVC45"/>
      <c r="EVD45"/>
      <c r="EVE45"/>
      <c r="EVF45"/>
      <c r="EVG45"/>
      <c r="EVH45"/>
      <c r="EVI45"/>
      <c r="EVJ45"/>
      <c r="EVK45"/>
      <c r="EVL45"/>
      <c r="EVM45"/>
      <c r="EVN45"/>
      <c r="EVO45"/>
      <c r="EVP45"/>
      <c r="EVQ45"/>
      <c r="EVR45"/>
      <c r="EVS45"/>
      <c r="EVT45"/>
      <c r="EVU45"/>
      <c r="EVV45"/>
      <c r="EVW45"/>
      <c r="EVX45"/>
      <c r="EVY45"/>
      <c r="EVZ45"/>
      <c r="EWA45"/>
      <c r="EWB45"/>
      <c r="EWC45"/>
      <c r="EWD45"/>
      <c r="EWE45"/>
      <c r="EWF45"/>
      <c r="EWG45"/>
      <c r="EWH45"/>
      <c r="EWI45"/>
      <c r="EWJ45"/>
      <c r="EWK45"/>
      <c r="EWL45"/>
      <c r="EWM45"/>
      <c r="EWN45"/>
      <c r="EWO45"/>
      <c r="EWP45"/>
      <c r="EWQ45"/>
      <c r="EWR45"/>
      <c r="EWS45"/>
      <c r="EWT45"/>
      <c r="EWU45"/>
      <c r="EWV45"/>
      <c r="EWW45"/>
      <c r="EWX45"/>
      <c r="EWY45"/>
      <c r="EWZ45"/>
      <c r="EXA45"/>
      <c r="EXB45"/>
      <c r="EXC45"/>
      <c r="EXD45"/>
      <c r="EXE45"/>
      <c r="EXF45"/>
      <c r="EXG45"/>
      <c r="EXH45"/>
      <c r="EXI45"/>
      <c r="EXJ45"/>
      <c r="EXK45"/>
      <c r="EXL45"/>
      <c r="EXM45"/>
      <c r="EXN45"/>
      <c r="EXO45"/>
      <c r="EXP45"/>
      <c r="EXQ45"/>
      <c r="EXR45"/>
      <c r="EXS45"/>
      <c r="EXT45"/>
      <c r="EXU45"/>
      <c r="EXV45"/>
      <c r="EXW45"/>
      <c r="EXX45"/>
      <c r="EXY45"/>
      <c r="EXZ45"/>
      <c r="EYA45"/>
      <c r="EYB45"/>
      <c r="EYC45"/>
      <c r="EYD45"/>
      <c r="EYE45"/>
      <c r="EYF45"/>
      <c r="EYG45"/>
      <c r="EYH45"/>
      <c r="EYI45"/>
      <c r="EYJ45"/>
      <c r="EYK45"/>
      <c r="EYL45"/>
      <c r="EYM45"/>
      <c r="EYN45"/>
      <c r="EYO45"/>
      <c r="EYP45"/>
      <c r="EYQ45"/>
      <c r="EYR45"/>
      <c r="EYS45"/>
      <c r="EYT45"/>
      <c r="EYU45"/>
      <c r="EYV45"/>
      <c r="EYW45"/>
      <c r="EYX45"/>
      <c r="EYY45"/>
      <c r="EYZ45"/>
      <c r="EZA45"/>
      <c r="EZB45"/>
      <c r="EZC45"/>
      <c r="EZD45"/>
      <c r="EZE45"/>
      <c r="EZF45"/>
      <c r="EZG45"/>
      <c r="EZH45"/>
      <c r="EZI45"/>
      <c r="EZJ45"/>
      <c r="EZK45"/>
      <c r="EZL45"/>
      <c r="EZM45"/>
      <c r="EZN45"/>
      <c r="EZO45"/>
      <c r="EZP45"/>
      <c r="EZQ45"/>
      <c r="EZR45"/>
      <c r="EZS45"/>
      <c r="EZT45"/>
      <c r="EZU45"/>
      <c r="EZV45"/>
      <c r="EZW45"/>
      <c r="EZX45"/>
      <c r="EZY45"/>
      <c r="EZZ45"/>
      <c r="FAA45"/>
      <c r="FAB45"/>
      <c r="FAC45"/>
      <c r="FAD45"/>
      <c r="FAE45"/>
      <c r="FAF45"/>
      <c r="FAG45"/>
      <c r="FAH45"/>
      <c r="FAI45"/>
      <c r="FAJ45"/>
      <c r="FAK45"/>
      <c r="FAL45"/>
      <c r="FAM45"/>
      <c r="FAN45"/>
      <c r="FAO45"/>
      <c r="FAP45"/>
      <c r="FAQ45"/>
      <c r="FAR45"/>
      <c r="FAS45"/>
      <c r="FAT45"/>
      <c r="FAU45"/>
      <c r="FAV45"/>
      <c r="FAW45"/>
      <c r="FAX45"/>
      <c r="FAY45"/>
      <c r="FAZ45"/>
      <c r="FBA45"/>
      <c r="FBB45"/>
      <c r="FBC45"/>
      <c r="FBD45"/>
      <c r="FBE45"/>
      <c r="FBF45"/>
      <c r="FBG45"/>
      <c r="FBH45"/>
      <c r="FBI45"/>
      <c r="FBJ45"/>
      <c r="FBK45"/>
      <c r="FBL45"/>
      <c r="FBM45"/>
      <c r="FBN45"/>
      <c r="FBO45"/>
      <c r="FBP45"/>
      <c r="FBQ45"/>
      <c r="FBR45"/>
      <c r="FBS45"/>
      <c r="FBT45"/>
      <c r="FBU45"/>
      <c r="FBV45"/>
      <c r="FBW45"/>
      <c r="FBX45"/>
      <c r="FBY45"/>
      <c r="FBZ45"/>
      <c r="FCA45"/>
      <c r="FCB45"/>
      <c r="FCC45"/>
      <c r="FCD45"/>
      <c r="FCE45"/>
      <c r="FCF45"/>
      <c r="FCG45"/>
      <c r="FCH45"/>
      <c r="FCI45"/>
      <c r="FCJ45"/>
      <c r="FCK45"/>
      <c r="FCL45"/>
      <c r="FCM45"/>
      <c r="FCN45"/>
      <c r="FCO45"/>
      <c r="FCP45"/>
      <c r="FCQ45"/>
      <c r="FCR45"/>
      <c r="FCS45"/>
      <c r="FCT45"/>
      <c r="FCU45"/>
      <c r="FCV45"/>
      <c r="FCW45"/>
      <c r="FCX45"/>
      <c r="FCY45"/>
      <c r="FCZ45"/>
      <c r="FDA45"/>
      <c r="FDB45"/>
      <c r="FDC45"/>
      <c r="FDD45"/>
      <c r="FDE45"/>
      <c r="FDF45"/>
      <c r="FDG45"/>
      <c r="FDH45"/>
      <c r="FDI45"/>
      <c r="FDJ45"/>
      <c r="FDK45"/>
      <c r="FDL45"/>
      <c r="FDM45"/>
      <c r="FDN45"/>
      <c r="FDO45"/>
      <c r="FDP45"/>
      <c r="FDQ45"/>
      <c r="FDR45"/>
      <c r="FDS45"/>
      <c r="FDT45"/>
      <c r="FDU45"/>
      <c r="FDV45"/>
      <c r="FDW45"/>
      <c r="FDX45"/>
      <c r="FDY45"/>
      <c r="FDZ45"/>
      <c r="FEA45"/>
      <c r="FEB45"/>
      <c r="FEC45"/>
      <c r="FED45"/>
      <c r="FEE45"/>
      <c r="FEF45"/>
      <c r="FEG45"/>
      <c r="FEH45"/>
      <c r="FEI45"/>
      <c r="FEJ45"/>
      <c r="FEK45"/>
      <c r="FEL45"/>
      <c r="FEM45"/>
      <c r="FEN45"/>
      <c r="FEO45"/>
      <c r="FEP45"/>
      <c r="FEQ45"/>
      <c r="FER45"/>
      <c r="FES45"/>
      <c r="FET45"/>
      <c r="FEU45"/>
      <c r="FEV45"/>
      <c r="FEW45"/>
      <c r="FEX45"/>
      <c r="FEY45"/>
      <c r="FEZ45"/>
      <c r="FFA45"/>
      <c r="FFB45"/>
      <c r="FFC45"/>
      <c r="FFD45"/>
      <c r="FFE45"/>
      <c r="FFF45"/>
      <c r="FFG45"/>
      <c r="FFH45"/>
      <c r="FFI45"/>
      <c r="FFJ45"/>
      <c r="FFK45"/>
      <c r="FFL45"/>
      <c r="FFM45"/>
      <c r="FFN45"/>
      <c r="FFO45"/>
      <c r="FFP45"/>
      <c r="FFQ45"/>
      <c r="FFR45"/>
      <c r="FFS45"/>
      <c r="FFT45"/>
      <c r="FFU45"/>
      <c r="FFV45"/>
      <c r="FFW45"/>
      <c r="FFX45"/>
      <c r="FFY45"/>
      <c r="FFZ45"/>
      <c r="FGA45"/>
      <c r="FGB45"/>
      <c r="FGC45"/>
      <c r="FGD45"/>
      <c r="FGE45"/>
      <c r="FGF45"/>
      <c r="FGG45"/>
      <c r="FGH45"/>
      <c r="FGI45"/>
      <c r="FGJ45"/>
      <c r="FGK45"/>
      <c r="FGL45"/>
      <c r="FGM45"/>
      <c r="FGN45"/>
      <c r="FGO45"/>
      <c r="FGP45"/>
      <c r="FGQ45"/>
      <c r="FGR45"/>
      <c r="FGS45"/>
      <c r="FGT45"/>
      <c r="FGU45"/>
      <c r="FGV45"/>
      <c r="FGW45"/>
      <c r="FGX45"/>
      <c r="FGY45"/>
      <c r="FGZ45"/>
      <c r="FHA45"/>
      <c r="FHB45"/>
      <c r="FHC45"/>
      <c r="FHD45"/>
      <c r="FHE45"/>
      <c r="FHF45"/>
      <c r="FHG45"/>
      <c r="FHH45"/>
      <c r="FHI45"/>
      <c r="FHJ45"/>
      <c r="FHK45"/>
      <c r="FHL45"/>
      <c r="FHM45"/>
      <c r="FHN45"/>
      <c r="FHO45"/>
      <c r="FHP45"/>
      <c r="FHQ45"/>
      <c r="FHR45"/>
      <c r="FHS45"/>
      <c r="FHT45"/>
      <c r="FHU45"/>
      <c r="FHV45"/>
      <c r="FHW45"/>
      <c r="FHX45"/>
      <c r="FHY45"/>
      <c r="FHZ45"/>
      <c r="FIA45"/>
      <c r="FIB45"/>
      <c r="FIC45"/>
      <c r="FID45"/>
      <c r="FIE45"/>
      <c r="FIF45"/>
      <c r="FIG45"/>
      <c r="FIH45"/>
      <c r="FII45"/>
      <c r="FIJ45"/>
      <c r="FIK45"/>
      <c r="FIL45"/>
      <c r="FIM45"/>
      <c r="FIN45"/>
      <c r="FIO45"/>
      <c r="FIP45"/>
      <c r="FIQ45"/>
      <c r="FIR45"/>
      <c r="FIS45"/>
      <c r="FIT45"/>
      <c r="FIU45"/>
      <c r="FIV45"/>
      <c r="FIW45"/>
      <c r="FIX45"/>
      <c r="FIY45"/>
      <c r="FIZ45"/>
      <c r="FJA45"/>
      <c r="FJB45"/>
      <c r="FJC45"/>
      <c r="FJD45"/>
      <c r="FJE45"/>
      <c r="FJF45"/>
      <c r="FJG45"/>
      <c r="FJH45"/>
      <c r="FJI45"/>
      <c r="FJJ45"/>
      <c r="FJK45"/>
      <c r="FJL45"/>
      <c r="FJM45"/>
      <c r="FJN45"/>
      <c r="FJO45"/>
      <c r="FJP45"/>
      <c r="FJQ45"/>
      <c r="FJR45"/>
      <c r="FJS45"/>
      <c r="FJT45"/>
      <c r="FJU45"/>
      <c r="FJV45"/>
      <c r="FJW45"/>
      <c r="FJX45"/>
      <c r="FJY45"/>
      <c r="FJZ45"/>
      <c r="FKA45"/>
      <c r="FKB45"/>
      <c r="FKC45"/>
      <c r="FKD45"/>
      <c r="FKE45"/>
      <c r="FKF45"/>
      <c r="FKG45"/>
      <c r="FKH45"/>
      <c r="FKI45"/>
      <c r="FKJ45"/>
      <c r="FKK45"/>
      <c r="FKL45"/>
      <c r="FKM45"/>
      <c r="FKN45"/>
      <c r="FKO45"/>
      <c r="FKP45"/>
      <c r="FKQ45"/>
      <c r="FKR45"/>
      <c r="FKS45"/>
      <c r="FKT45"/>
      <c r="FKU45"/>
      <c r="FKV45"/>
      <c r="FKW45"/>
      <c r="FKX45"/>
      <c r="FKY45"/>
      <c r="FKZ45"/>
      <c r="FLA45"/>
      <c r="FLB45"/>
      <c r="FLC45"/>
      <c r="FLD45"/>
      <c r="FLE45"/>
      <c r="FLF45"/>
      <c r="FLG45"/>
      <c r="FLH45"/>
      <c r="FLI45"/>
      <c r="FLJ45"/>
      <c r="FLK45"/>
      <c r="FLL45"/>
      <c r="FLM45"/>
      <c r="FLN45"/>
      <c r="FLO45"/>
      <c r="FLP45"/>
      <c r="FLQ45"/>
      <c r="FLR45"/>
      <c r="FLS45"/>
      <c r="FLT45"/>
      <c r="FLU45"/>
      <c r="FLV45"/>
      <c r="FLW45"/>
      <c r="FLX45"/>
      <c r="FLY45"/>
      <c r="FLZ45"/>
      <c r="FMA45"/>
      <c r="FMB45"/>
      <c r="FMC45"/>
      <c r="FMD45"/>
      <c r="FME45"/>
      <c r="FMF45"/>
      <c r="FMG45"/>
      <c r="FMH45"/>
      <c r="FMI45"/>
      <c r="FMJ45"/>
      <c r="FMK45"/>
      <c r="FML45"/>
      <c r="FMM45"/>
      <c r="FMN45"/>
      <c r="FMO45"/>
      <c r="FMP45"/>
      <c r="FMQ45"/>
      <c r="FMR45"/>
      <c r="FMS45"/>
      <c r="FMT45"/>
      <c r="FMU45"/>
      <c r="FMV45"/>
      <c r="FMW45"/>
      <c r="FMX45"/>
      <c r="FMY45"/>
      <c r="FMZ45"/>
      <c r="FNA45"/>
      <c r="FNB45"/>
      <c r="FNC45"/>
      <c r="FND45"/>
      <c r="FNE45"/>
      <c r="FNF45"/>
      <c r="FNG45"/>
      <c r="FNH45"/>
      <c r="FNI45"/>
      <c r="FNJ45"/>
      <c r="FNK45"/>
      <c r="FNL45"/>
      <c r="FNM45"/>
      <c r="FNN45"/>
      <c r="FNO45"/>
      <c r="FNP45"/>
      <c r="FNQ45"/>
      <c r="FNR45"/>
      <c r="FNS45"/>
      <c r="FNT45"/>
      <c r="FNU45"/>
      <c r="FNV45"/>
      <c r="FNW45"/>
      <c r="FNX45"/>
      <c r="FNY45"/>
      <c r="FNZ45"/>
      <c r="FOA45"/>
      <c r="FOB45"/>
      <c r="FOC45"/>
      <c r="FOD45"/>
      <c r="FOE45"/>
      <c r="FOF45"/>
      <c r="FOG45"/>
      <c r="FOH45"/>
      <c r="FOI45"/>
      <c r="FOJ45"/>
      <c r="FOK45"/>
      <c r="FOL45"/>
      <c r="FOM45"/>
      <c r="FON45"/>
      <c r="FOO45"/>
      <c r="FOP45"/>
      <c r="FOQ45"/>
      <c r="FOR45"/>
      <c r="FOS45"/>
      <c r="FOT45"/>
      <c r="FOU45"/>
      <c r="FOV45"/>
      <c r="FOW45"/>
      <c r="FOX45"/>
      <c r="FOY45"/>
      <c r="FOZ45"/>
      <c r="FPA45"/>
      <c r="FPB45"/>
      <c r="FPC45"/>
      <c r="FPD45"/>
      <c r="FPE45"/>
      <c r="FPF45"/>
      <c r="FPG45"/>
      <c r="FPH45"/>
      <c r="FPI45"/>
      <c r="FPJ45"/>
      <c r="FPK45"/>
      <c r="FPL45"/>
      <c r="FPM45"/>
      <c r="FPN45"/>
      <c r="FPO45"/>
      <c r="FPP45"/>
      <c r="FPQ45"/>
      <c r="FPR45"/>
      <c r="FPS45"/>
      <c r="FPT45"/>
      <c r="FPU45"/>
      <c r="FPV45"/>
      <c r="FPW45"/>
      <c r="FPX45"/>
      <c r="FPY45"/>
      <c r="FPZ45"/>
      <c r="FQA45"/>
      <c r="FQB45"/>
      <c r="FQC45"/>
      <c r="FQD45"/>
      <c r="FQE45"/>
      <c r="FQF45"/>
      <c r="FQG45"/>
      <c r="FQH45"/>
      <c r="FQI45"/>
      <c r="FQJ45"/>
      <c r="FQK45"/>
      <c r="FQL45"/>
      <c r="FQM45"/>
      <c r="FQN45"/>
      <c r="FQO45"/>
      <c r="FQP45"/>
      <c r="FQQ45"/>
      <c r="FQR45"/>
      <c r="FQS45"/>
      <c r="FQT45"/>
      <c r="FQU45"/>
      <c r="FQV45"/>
      <c r="FQW45"/>
      <c r="FQX45"/>
      <c r="FQY45"/>
      <c r="FQZ45"/>
      <c r="FRA45"/>
      <c r="FRB45"/>
      <c r="FRC45"/>
      <c r="FRD45"/>
      <c r="FRE45"/>
      <c r="FRF45"/>
      <c r="FRG45"/>
      <c r="FRH45"/>
      <c r="FRI45"/>
      <c r="FRJ45"/>
      <c r="FRK45"/>
      <c r="FRL45"/>
      <c r="FRM45"/>
      <c r="FRN45"/>
      <c r="FRO45"/>
      <c r="FRP45"/>
      <c r="FRQ45"/>
      <c r="FRR45"/>
      <c r="FRS45"/>
      <c r="FRT45"/>
      <c r="FRU45"/>
      <c r="FRV45"/>
      <c r="FRW45"/>
      <c r="FRX45"/>
      <c r="FRY45"/>
      <c r="FRZ45"/>
      <c r="FSA45"/>
      <c r="FSB45"/>
      <c r="FSC45"/>
      <c r="FSD45"/>
      <c r="FSE45"/>
      <c r="FSF45"/>
      <c r="FSG45"/>
      <c r="FSH45"/>
      <c r="FSI45"/>
      <c r="FSJ45"/>
      <c r="FSK45"/>
      <c r="FSL45"/>
      <c r="FSM45"/>
      <c r="FSN45"/>
      <c r="FSO45"/>
      <c r="FSP45"/>
      <c r="FSQ45"/>
      <c r="FSR45"/>
      <c r="FSS45"/>
      <c r="FST45"/>
      <c r="FSU45"/>
      <c r="FSV45"/>
      <c r="FSW45"/>
      <c r="FSX45"/>
      <c r="FSY45"/>
      <c r="FSZ45"/>
      <c r="FTA45"/>
      <c r="FTB45"/>
      <c r="FTC45"/>
      <c r="FTD45"/>
      <c r="FTE45"/>
      <c r="FTF45"/>
      <c r="FTG45"/>
      <c r="FTH45"/>
      <c r="FTI45"/>
      <c r="FTJ45"/>
      <c r="FTK45"/>
      <c r="FTL45"/>
      <c r="FTM45"/>
      <c r="FTN45"/>
      <c r="FTO45"/>
      <c r="FTP45"/>
      <c r="FTQ45"/>
      <c r="FTR45"/>
      <c r="FTS45"/>
      <c r="FTT45"/>
      <c r="FTU45"/>
      <c r="FTV45"/>
      <c r="FTW45"/>
      <c r="FTX45"/>
      <c r="FTY45"/>
      <c r="FTZ45"/>
      <c r="FUA45"/>
      <c r="FUB45"/>
      <c r="FUC45"/>
      <c r="FUD45"/>
      <c r="FUE45"/>
      <c r="FUF45"/>
      <c r="FUG45"/>
      <c r="FUH45"/>
      <c r="FUI45"/>
      <c r="FUJ45"/>
      <c r="FUK45"/>
      <c r="FUL45"/>
      <c r="FUM45"/>
      <c r="FUN45"/>
      <c r="FUO45"/>
      <c r="FUP45"/>
      <c r="FUQ45"/>
      <c r="FUR45"/>
      <c r="FUS45"/>
      <c r="FUT45"/>
      <c r="FUU45"/>
      <c r="FUV45"/>
      <c r="FUW45"/>
      <c r="FUX45"/>
      <c r="FUY45"/>
      <c r="FUZ45"/>
      <c r="FVA45"/>
      <c r="FVB45"/>
      <c r="FVC45"/>
      <c r="FVD45"/>
      <c r="FVE45"/>
      <c r="FVF45"/>
      <c r="FVG45"/>
      <c r="FVH45"/>
      <c r="FVI45"/>
      <c r="FVJ45"/>
      <c r="FVK45"/>
      <c r="FVL45"/>
      <c r="FVM45"/>
      <c r="FVN45"/>
      <c r="FVO45"/>
      <c r="FVP45"/>
      <c r="FVQ45"/>
      <c r="FVR45"/>
      <c r="FVS45"/>
      <c r="FVT45"/>
      <c r="FVU45"/>
      <c r="FVV45"/>
      <c r="FVW45"/>
      <c r="FVX45"/>
      <c r="FVY45"/>
      <c r="FVZ45"/>
      <c r="FWA45"/>
      <c r="FWB45"/>
      <c r="FWC45"/>
      <c r="FWD45"/>
      <c r="FWE45"/>
      <c r="FWF45"/>
      <c r="FWG45"/>
      <c r="FWH45"/>
      <c r="FWI45"/>
      <c r="FWJ45"/>
      <c r="FWK45"/>
      <c r="FWL45"/>
      <c r="FWM45"/>
      <c r="FWN45"/>
      <c r="FWO45"/>
      <c r="FWP45"/>
      <c r="FWQ45"/>
      <c r="FWR45"/>
      <c r="FWS45"/>
      <c r="FWT45"/>
      <c r="FWU45"/>
      <c r="FWV45"/>
      <c r="FWW45"/>
      <c r="FWX45"/>
      <c r="FWY45"/>
      <c r="FWZ45"/>
      <c r="FXA45"/>
      <c r="FXB45"/>
      <c r="FXC45"/>
      <c r="FXD45"/>
      <c r="FXE45"/>
      <c r="FXF45"/>
      <c r="FXG45"/>
      <c r="FXH45"/>
      <c r="FXI45"/>
      <c r="FXJ45"/>
      <c r="FXK45"/>
      <c r="FXL45"/>
      <c r="FXM45"/>
      <c r="FXN45"/>
      <c r="FXO45"/>
      <c r="FXP45"/>
      <c r="FXQ45"/>
      <c r="FXR45"/>
      <c r="FXS45"/>
      <c r="FXT45"/>
      <c r="FXU45"/>
      <c r="FXV45"/>
      <c r="FXW45"/>
      <c r="FXX45"/>
      <c r="FXY45"/>
      <c r="FXZ45"/>
      <c r="FYA45"/>
      <c r="FYB45"/>
      <c r="FYC45"/>
      <c r="FYD45"/>
      <c r="FYE45"/>
      <c r="FYF45"/>
      <c r="FYG45"/>
      <c r="FYH45"/>
      <c r="FYI45"/>
      <c r="FYJ45"/>
      <c r="FYK45"/>
      <c r="FYL45"/>
      <c r="FYM45"/>
      <c r="FYN45"/>
      <c r="FYO45"/>
      <c r="FYP45"/>
      <c r="FYQ45"/>
      <c r="FYR45"/>
      <c r="FYS45"/>
      <c r="FYT45"/>
      <c r="FYU45"/>
      <c r="FYV45"/>
      <c r="FYW45"/>
      <c r="FYX45"/>
      <c r="FYY45"/>
      <c r="FYZ45"/>
      <c r="FZA45"/>
      <c r="FZB45"/>
      <c r="FZC45"/>
      <c r="FZD45"/>
      <c r="FZE45"/>
      <c r="FZF45"/>
      <c r="FZG45"/>
      <c r="FZH45"/>
      <c r="FZI45"/>
      <c r="FZJ45"/>
      <c r="FZK45"/>
      <c r="FZL45"/>
      <c r="FZM45"/>
      <c r="FZN45"/>
      <c r="FZO45"/>
      <c r="FZP45"/>
      <c r="FZQ45"/>
      <c r="FZR45"/>
      <c r="FZS45"/>
      <c r="FZT45"/>
      <c r="FZU45"/>
      <c r="FZV45"/>
      <c r="FZW45"/>
      <c r="FZX45"/>
      <c r="FZY45"/>
      <c r="FZZ45"/>
      <c r="GAA45"/>
      <c r="GAB45"/>
      <c r="GAC45"/>
      <c r="GAD45"/>
      <c r="GAE45"/>
      <c r="GAF45"/>
      <c r="GAG45"/>
      <c r="GAH45"/>
      <c r="GAI45"/>
      <c r="GAJ45"/>
      <c r="GAK45"/>
      <c r="GAL45"/>
      <c r="GAM45"/>
      <c r="GAN45"/>
      <c r="GAO45"/>
      <c r="GAP45"/>
      <c r="GAQ45"/>
      <c r="GAR45"/>
      <c r="GAS45"/>
      <c r="GAT45"/>
      <c r="GAU45"/>
      <c r="GAV45"/>
      <c r="GAW45"/>
      <c r="GAX45"/>
      <c r="GAY45"/>
      <c r="GAZ45"/>
      <c r="GBA45"/>
      <c r="GBB45"/>
      <c r="GBC45"/>
      <c r="GBD45"/>
      <c r="GBE45"/>
      <c r="GBF45"/>
      <c r="GBG45"/>
      <c r="GBH45"/>
      <c r="GBI45"/>
      <c r="GBJ45"/>
      <c r="GBK45"/>
      <c r="GBL45"/>
      <c r="GBM45"/>
      <c r="GBN45"/>
      <c r="GBO45"/>
      <c r="GBP45"/>
      <c r="GBQ45"/>
      <c r="GBR45"/>
      <c r="GBS45"/>
      <c r="GBT45"/>
      <c r="GBU45"/>
      <c r="GBV45"/>
      <c r="GBW45"/>
      <c r="GBX45"/>
      <c r="GBY45"/>
      <c r="GBZ45"/>
      <c r="GCA45"/>
      <c r="GCB45"/>
      <c r="GCC45"/>
      <c r="GCD45"/>
      <c r="GCE45"/>
      <c r="GCF45"/>
      <c r="GCG45"/>
      <c r="GCH45"/>
      <c r="GCI45"/>
      <c r="GCJ45"/>
      <c r="GCK45"/>
      <c r="GCL45"/>
      <c r="GCM45"/>
      <c r="GCN45"/>
      <c r="GCO45"/>
      <c r="GCP45"/>
      <c r="GCQ45"/>
      <c r="GCR45"/>
      <c r="GCS45"/>
      <c r="GCT45"/>
      <c r="GCU45"/>
      <c r="GCV45"/>
      <c r="GCW45"/>
      <c r="GCX45"/>
      <c r="GCY45"/>
      <c r="GCZ45"/>
      <c r="GDA45"/>
      <c r="GDB45"/>
      <c r="GDC45"/>
      <c r="GDD45"/>
      <c r="GDE45"/>
      <c r="GDF45"/>
      <c r="GDG45"/>
      <c r="GDH45"/>
      <c r="GDI45"/>
      <c r="GDJ45"/>
      <c r="GDK45"/>
      <c r="GDL45"/>
      <c r="GDM45"/>
      <c r="GDN45"/>
      <c r="GDO45"/>
      <c r="GDP45"/>
      <c r="GDQ45"/>
      <c r="GDR45"/>
      <c r="GDS45"/>
      <c r="GDT45"/>
      <c r="GDU45"/>
      <c r="GDV45"/>
      <c r="GDW45"/>
      <c r="GDX45"/>
      <c r="GDY45"/>
      <c r="GDZ45"/>
      <c r="GEA45"/>
      <c r="GEB45"/>
      <c r="GEC45"/>
      <c r="GED45"/>
      <c r="GEE45"/>
      <c r="GEF45"/>
      <c r="GEG45"/>
      <c r="GEH45"/>
      <c r="GEI45"/>
      <c r="GEJ45"/>
      <c r="GEK45"/>
      <c r="GEL45"/>
      <c r="GEM45"/>
      <c r="GEN45"/>
      <c r="GEO45"/>
      <c r="GEP45"/>
      <c r="GEQ45"/>
      <c r="GER45"/>
      <c r="GES45"/>
      <c r="GET45"/>
      <c r="GEU45"/>
      <c r="GEV45"/>
      <c r="GEW45"/>
      <c r="GEX45"/>
      <c r="GEY45"/>
      <c r="GEZ45"/>
      <c r="GFA45"/>
      <c r="GFB45"/>
      <c r="GFC45"/>
      <c r="GFD45"/>
      <c r="GFE45"/>
      <c r="GFF45"/>
      <c r="GFG45"/>
      <c r="GFH45"/>
      <c r="GFI45"/>
      <c r="GFJ45"/>
      <c r="GFK45"/>
      <c r="GFL45"/>
      <c r="GFM45"/>
      <c r="GFN45"/>
      <c r="GFO45"/>
      <c r="GFP45"/>
      <c r="GFQ45"/>
      <c r="GFR45"/>
      <c r="GFS45"/>
      <c r="GFT45"/>
      <c r="GFU45"/>
      <c r="GFV45"/>
      <c r="GFW45"/>
      <c r="GFX45"/>
      <c r="GFY45"/>
      <c r="GFZ45"/>
      <c r="GGA45"/>
      <c r="GGB45"/>
      <c r="GGC45"/>
      <c r="GGD45"/>
      <c r="GGE45"/>
      <c r="GGF45"/>
      <c r="GGG45"/>
      <c r="GGH45"/>
      <c r="GGI45"/>
      <c r="GGJ45"/>
      <c r="GGK45"/>
      <c r="GGL45"/>
      <c r="GGM45"/>
      <c r="GGN45"/>
      <c r="GGO45"/>
      <c r="GGP45"/>
      <c r="GGQ45"/>
      <c r="GGR45"/>
      <c r="GGS45"/>
      <c r="GGT45"/>
      <c r="GGU45"/>
      <c r="GGV45"/>
      <c r="GGW45"/>
      <c r="GGX45"/>
      <c r="GGY45"/>
      <c r="GGZ45"/>
      <c r="GHA45"/>
      <c r="GHB45"/>
      <c r="GHC45"/>
      <c r="GHD45"/>
      <c r="GHE45"/>
      <c r="GHF45"/>
      <c r="GHG45"/>
      <c r="GHH45"/>
      <c r="GHI45"/>
      <c r="GHJ45"/>
      <c r="GHK45"/>
      <c r="GHL45"/>
      <c r="GHM45"/>
      <c r="GHN45"/>
      <c r="GHO45"/>
      <c r="GHP45"/>
      <c r="GHQ45"/>
      <c r="GHR45"/>
      <c r="GHS45"/>
      <c r="GHT45"/>
      <c r="GHU45"/>
      <c r="GHV45"/>
      <c r="GHW45"/>
      <c r="GHX45"/>
      <c r="GHY45"/>
      <c r="GHZ45"/>
      <c r="GIA45"/>
      <c r="GIB45"/>
      <c r="GIC45"/>
      <c r="GID45"/>
      <c r="GIE45"/>
      <c r="GIF45"/>
      <c r="GIG45"/>
      <c r="GIH45"/>
      <c r="GII45"/>
      <c r="GIJ45"/>
      <c r="GIK45"/>
      <c r="GIL45"/>
      <c r="GIM45"/>
      <c r="GIN45"/>
      <c r="GIO45"/>
      <c r="GIP45"/>
      <c r="GIQ45"/>
      <c r="GIR45"/>
      <c r="GIS45"/>
      <c r="GIT45"/>
      <c r="GIU45"/>
      <c r="GIV45"/>
      <c r="GIW45"/>
      <c r="GIX45"/>
      <c r="GIY45"/>
      <c r="GIZ45"/>
      <c r="GJA45"/>
      <c r="GJB45"/>
      <c r="GJC45"/>
      <c r="GJD45"/>
      <c r="GJE45"/>
      <c r="GJF45"/>
      <c r="GJG45"/>
      <c r="GJH45"/>
      <c r="GJI45"/>
      <c r="GJJ45"/>
      <c r="GJK45"/>
      <c r="GJL45"/>
      <c r="GJM45"/>
      <c r="GJN45"/>
      <c r="GJO45"/>
      <c r="GJP45"/>
      <c r="GJQ45"/>
      <c r="GJR45"/>
      <c r="GJS45"/>
      <c r="GJT45"/>
      <c r="GJU45"/>
      <c r="GJV45"/>
      <c r="GJW45"/>
      <c r="GJX45"/>
      <c r="GJY45"/>
      <c r="GJZ45"/>
      <c r="GKA45"/>
      <c r="GKB45"/>
      <c r="GKC45"/>
      <c r="GKD45"/>
      <c r="GKE45"/>
      <c r="GKF45"/>
      <c r="GKG45"/>
      <c r="GKH45"/>
      <c r="GKI45"/>
      <c r="GKJ45"/>
      <c r="GKK45"/>
      <c r="GKL45"/>
      <c r="GKM45"/>
      <c r="GKN45"/>
      <c r="GKO45"/>
      <c r="GKP45"/>
      <c r="GKQ45"/>
      <c r="GKR45"/>
      <c r="GKS45"/>
      <c r="GKT45"/>
      <c r="GKU45"/>
      <c r="GKV45"/>
      <c r="GKW45"/>
      <c r="GKX45"/>
      <c r="GKY45"/>
      <c r="GKZ45"/>
      <c r="GLA45"/>
      <c r="GLB45"/>
      <c r="GLC45"/>
      <c r="GLD45"/>
      <c r="GLE45"/>
      <c r="GLF45"/>
      <c r="GLG45"/>
      <c r="GLH45"/>
      <c r="GLI45"/>
      <c r="GLJ45"/>
      <c r="GLK45"/>
      <c r="GLL45"/>
      <c r="GLM45"/>
      <c r="GLN45"/>
      <c r="GLO45"/>
      <c r="GLP45"/>
      <c r="GLQ45"/>
      <c r="GLR45"/>
      <c r="GLS45"/>
      <c r="GLT45"/>
      <c r="GLU45"/>
      <c r="GLV45"/>
      <c r="GLW45"/>
      <c r="GLX45"/>
      <c r="GLY45"/>
      <c r="GLZ45"/>
      <c r="GMA45"/>
      <c r="GMB45"/>
      <c r="GMC45"/>
      <c r="GMD45"/>
      <c r="GME45"/>
      <c r="GMF45"/>
      <c r="GMG45"/>
      <c r="GMH45"/>
      <c r="GMI45"/>
      <c r="GMJ45"/>
      <c r="GMK45"/>
      <c r="GML45"/>
      <c r="GMM45"/>
      <c r="GMN45"/>
      <c r="GMO45"/>
      <c r="GMP45"/>
      <c r="GMQ45"/>
      <c r="GMR45"/>
      <c r="GMS45"/>
      <c r="GMT45"/>
      <c r="GMU45"/>
      <c r="GMV45"/>
      <c r="GMW45"/>
      <c r="GMX45"/>
      <c r="GMY45"/>
      <c r="GMZ45"/>
      <c r="GNA45"/>
      <c r="GNB45"/>
      <c r="GNC45"/>
      <c r="GND45"/>
      <c r="GNE45"/>
      <c r="GNF45"/>
      <c r="GNG45"/>
      <c r="GNH45"/>
      <c r="GNI45"/>
      <c r="GNJ45"/>
      <c r="GNK45"/>
      <c r="GNL45"/>
      <c r="GNM45"/>
      <c r="GNN45"/>
      <c r="GNO45"/>
      <c r="GNP45"/>
      <c r="GNQ45"/>
      <c r="GNR45"/>
      <c r="GNS45"/>
      <c r="GNT45"/>
      <c r="GNU45"/>
      <c r="GNV45"/>
      <c r="GNW45"/>
      <c r="GNX45"/>
      <c r="GNY45"/>
      <c r="GNZ45"/>
      <c r="GOA45"/>
      <c r="GOB45"/>
      <c r="GOC45"/>
      <c r="GOD45"/>
      <c r="GOE45"/>
      <c r="GOF45"/>
      <c r="GOG45"/>
      <c r="GOH45"/>
      <c r="GOI45"/>
      <c r="GOJ45"/>
      <c r="GOK45"/>
      <c r="GOL45"/>
      <c r="GOM45"/>
      <c r="GON45"/>
      <c r="GOO45"/>
      <c r="GOP45"/>
      <c r="GOQ45"/>
      <c r="GOR45"/>
      <c r="GOS45"/>
      <c r="GOT45"/>
      <c r="GOU45"/>
      <c r="GOV45"/>
      <c r="GOW45"/>
      <c r="GOX45"/>
      <c r="GOY45"/>
      <c r="GOZ45"/>
      <c r="GPA45"/>
      <c r="GPB45"/>
      <c r="GPC45"/>
      <c r="GPD45"/>
      <c r="GPE45"/>
      <c r="GPF45"/>
      <c r="GPG45"/>
      <c r="GPH45"/>
      <c r="GPI45"/>
      <c r="GPJ45"/>
      <c r="GPK45"/>
      <c r="GPL45"/>
      <c r="GPM45"/>
      <c r="GPN45"/>
      <c r="GPO45"/>
      <c r="GPP45"/>
      <c r="GPQ45"/>
      <c r="GPR45"/>
      <c r="GPS45"/>
      <c r="GPT45"/>
      <c r="GPU45"/>
      <c r="GPV45"/>
      <c r="GPW45"/>
      <c r="GPX45"/>
      <c r="GPY45"/>
      <c r="GPZ45"/>
      <c r="GQA45"/>
      <c r="GQB45"/>
      <c r="GQC45"/>
      <c r="GQD45"/>
      <c r="GQE45"/>
      <c r="GQF45"/>
      <c r="GQG45"/>
      <c r="GQH45"/>
      <c r="GQI45"/>
      <c r="GQJ45"/>
      <c r="GQK45"/>
      <c r="GQL45"/>
      <c r="GQM45"/>
      <c r="GQN45"/>
      <c r="GQO45"/>
      <c r="GQP45"/>
      <c r="GQQ45"/>
      <c r="GQR45"/>
      <c r="GQS45"/>
      <c r="GQT45"/>
      <c r="GQU45"/>
      <c r="GQV45"/>
      <c r="GQW45"/>
      <c r="GQX45"/>
      <c r="GQY45"/>
      <c r="GQZ45"/>
      <c r="GRA45"/>
      <c r="GRB45"/>
      <c r="GRC45"/>
      <c r="GRD45"/>
      <c r="GRE45"/>
      <c r="GRF45"/>
      <c r="GRG45"/>
      <c r="GRH45"/>
      <c r="GRI45"/>
      <c r="GRJ45"/>
      <c r="GRK45"/>
      <c r="GRL45"/>
      <c r="GRM45"/>
      <c r="GRN45"/>
      <c r="GRO45"/>
      <c r="GRP45"/>
      <c r="GRQ45"/>
      <c r="GRR45"/>
      <c r="GRS45"/>
      <c r="GRT45"/>
      <c r="GRU45"/>
      <c r="GRV45"/>
      <c r="GRW45"/>
      <c r="GRX45"/>
      <c r="GRY45"/>
      <c r="GRZ45"/>
      <c r="GSA45"/>
      <c r="GSB45"/>
      <c r="GSC45"/>
      <c r="GSD45"/>
      <c r="GSE45"/>
      <c r="GSF45"/>
      <c r="GSG45"/>
      <c r="GSH45"/>
      <c r="GSI45"/>
      <c r="GSJ45"/>
      <c r="GSK45"/>
      <c r="GSL45"/>
      <c r="GSM45"/>
      <c r="GSN45"/>
      <c r="GSO45"/>
      <c r="GSP45"/>
      <c r="GSQ45"/>
      <c r="GSR45"/>
      <c r="GSS45"/>
      <c r="GST45"/>
      <c r="GSU45"/>
      <c r="GSV45"/>
      <c r="GSW45"/>
      <c r="GSX45"/>
      <c r="GSY45"/>
      <c r="GSZ45"/>
      <c r="GTA45"/>
      <c r="GTB45"/>
      <c r="GTC45"/>
      <c r="GTD45"/>
      <c r="GTE45"/>
      <c r="GTF45"/>
      <c r="GTG45"/>
      <c r="GTH45"/>
      <c r="GTI45"/>
      <c r="GTJ45"/>
      <c r="GTK45"/>
      <c r="GTL45"/>
      <c r="GTM45"/>
      <c r="GTN45"/>
      <c r="GTO45"/>
      <c r="GTP45"/>
      <c r="GTQ45"/>
      <c r="GTR45"/>
      <c r="GTS45"/>
      <c r="GTT45"/>
      <c r="GTU45"/>
      <c r="GTV45"/>
      <c r="GTW45"/>
      <c r="GTX45"/>
      <c r="GTY45"/>
      <c r="GTZ45"/>
      <c r="GUA45"/>
      <c r="GUB45"/>
      <c r="GUC45"/>
      <c r="GUD45"/>
      <c r="GUE45"/>
      <c r="GUF45"/>
      <c r="GUG45"/>
      <c r="GUH45"/>
      <c r="GUI45"/>
      <c r="GUJ45"/>
      <c r="GUK45"/>
      <c r="GUL45"/>
      <c r="GUM45"/>
      <c r="GUN45"/>
      <c r="GUO45"/>
      <c r="GUP45"/>
      <c r="GUQ45"/>
      <c r="GUR45"/>
      <c r="GUS45"/>
      <c r="GUT45"/>
      <c r="GUU45"/>
      <c r="GUV45"/>
      <c r="GUW45"/>
      <c r="GUX45"/>
      <c r="GUY45"/>
      <c r="GUZ45"/>
      <c r="GVA45"/>
      <c r="GVB45"/>
      <c r="GVC45"/>
      <c r="GVD45"/>
      <c r="GVE45"/>
      <c r="GVF45"/>
      <c r="GVG45"/>
      <c r="GVH45"/>
      <c r="GVI45"/>
      <c r="GVJ45"/>
      <c r="GVK45"/>
      <c r="GVL45"/>
      <c r="GVM45"/>
      <c r="GVN45"/>
      <c r="GVO45"/>
      <c r="GVP45"/>
      <c r="GVQ45"/>
      <c r="GVR45"/>
      <c r="GVS45"/>
      <c r="GVT45"/>
      <c r="GVU45"/>
      <c r="GVV45"/>
      <c r="GVW45"/>
      <c r="GVX45"/>
      <c r="GVY45"/>
      <c r="GVZ45"/>
      <c r="GWA45"/>
      <c r="GWB45"/>
      <c r="GWC45"/>
      <c r="GWD45"/>
      <c r="GWE45"/>
      <c r="GWF45"/>
      <c r="GWG45"/>
      <c r="GWH45"/>
      <c r="GWI45"/>
      <c r="GWJ45"/>
      <c r="GWK45"/>
      <c r="GWL45"/>
      <c r="GWM45"/>
      <c r="GWN45"/>
      <c r="GWO45"/>
      <c r="GWP45"/>
      <c r="GWQ45"/>
      <c r="GWR45"/>
      <c r="GWS45"/>
      <c r="GWT45"/>
      <c r="GWU45"/>
      <c r="GWV45"/>
      <c r="GWW45"/>
      <c r="GWX45"/>
      <c r="GWY45"/>
      <c r="GWZ45"/>
      <c r="GXA45"/>
      <c r="GXB45"/>
      <c r="GXC45"/>
      <c r="GXD45"/>
      <c r="GXE45"/>
      <c r="GXF45"/>
      <c r="GXG45"/>
      <c r="GXH45"/>
      <c r="GXI45"/>
      <c r="GXJ45"/>
      <c r="GXK45"/>
      <c r="GXL45"/>
      <c r="GXM45"/>
      <c r="GXN45"/>
      <c r="GXO45"/>
      <c r="GXP45"/>
      <c r="GXQ45"/>
      <c r="GXR45"/>
      <c r="GXS45"/>
      <c r="GXT45"/>
      <c r="GXU45"/>
      <c r="GXV45"/>
      <c r="GXW45"/>
      <c r="GXX45"/>
      <c r="GXY45"/>
      <c r="GXZ45"/>
      <c r="GYA45"/>
      <c r="GYB45"/>
      <c r="GYC45"/>
      <c r="GYD45"/>
      <c r="GYE45"/>
      <c r="GYF45"/>
      <c r="GYG45"/>
      <c r="GYH45"/>
      <c r="GYI45"/>
      <c r="GYJ45"/>
      <c r="GYK45"/>
      <c r="GYL45"/>
      <c r="GYM45"/>
      <c r="GYN45"/>
      <c r="GYO45"/>
      <c r="GYP45"/>
      <c r="GYQ45"/>
      <c r="GYR45"/>
      <c r="GYS45"/>
      <c r="GYT45"/>
      <c r="GYU45"/>
      <c r="GYV45"/>
      <c r="GYW45"/>
      <c r="GYX45"/>
      <c r="GYY45"/>
      <c r="GYZ45"/>
      <c r="GZA45"/>
      <c r="GZB45"/>
      <c r="GZC45"/>
      <c r="GZD45"/>
      <c r="GZE45"/>
      <c r="GZF45"/>
      <c r="GZG45"/>
      <c r="GZH45"/>
      <c r="GZI45"/>
      <c r="GZJ45"/>
      <c r="GZK45"/>
      <c r="GZL45"/>
      <c r="GZM45"/>
      <c r="GZN45"/>
      <c r="GZO45"/>
      <c r="GZP45"/>
      <c r="GZQ45"/>
      <c r="GZR45"/>
      <c r="GZS45"/>
      <c r="GZT45"/>
      <c r="GZU45"/>
      <c r="GZV45"/>
      <c r="GZW45"/>
      <c r="GZX45"/>
      <c r="GZY45"/>
      <c r="GZZ45"/>
      <c r="HAA45"/>
      <c r="HAB45"/>
      <c r="HAC45"/>
      <c r="HAD45"/>
      <c r="HAE45"/>
      <c r="HAF45"/>
      <c r="HAG45"/>
      <c r="HAH45"/>
      <c r="HAI45"/>
      <c r="HAJ45"/>
      <c r="HAK45"/>
      <c r="HAL45"/>
      <c r="HAM45"/>
      <c r="HAN45"/>
      <c r="HAO45"/>
      <c r="HAP45"/>
      <c r="HAQ45"/>
      <c r="HAR45"/>
      <c r="HAS45"/>
      <c r="HAT45"/>
      <c r="HAU45"/>
      <c r="HAV45"/>
      <c r="HAW45"/>
      <c r="HAX45"/>
      <c r="HAY45"/>
      <c r="HAZ45"/>
      <c r="HBA45"/>
      <c r="HBB45"/>
      <c r="HBC45"/>
      <c r="HBD45"/>
      <c r="HBE45"/>
      <c r="HBF45"/>
      <c r="HBG45"/>
      <c r="HBH45"/>
      <c r="HBI45"/>
      <c r="HBJ45"/>
      <c r="HBK45"/>
      <c r="HBL45"/>
      <c r="HBM45"/>
      <c r="HBN45"/>
      <c r="HBO45"/>
      <c r="HBP45"/>
      <c r="HBQ45"/>
      <c r="HBR45"/>
      <c r="HBS45"/>
      <c r="HBT45"/>
      <c r="HBU45"/>
      <c r="HBV45"/>
      <c r="HBW45"/>
      <c r="HBX45"/>
      <c r="HBY45"/>
      <c r="HBZ45"/>
      <c r="HCA45"/>
      <c r="HCB45"/>
      <c r="HCC45"/>
      <c r="HCD45"/>
      <c r="HCE45"/>
      <c r="HCF45"/>
      <c r="HCG45"/>
      <c r="HCH45"/>
      <c r="HCI45"/>
      <c r="HCJ45"/>
      <c r="HCK45"/>
      <c r="HCL45"/>
      <c r="HCM45"/>
      <c r="HCN45"/>
      <c r="HCO45"/>
      <c r="HCP45"/>
      <c r="HCQ45"/>
      <c r="HCR45"/>
      <c r="HCS45"/>
      <c r="HCT45"/>
      <c r="HCU45"/>
      <c r="HCV45"/>
      <c r="HCW45"/>
      <c r="HCX45"/>
      <c r="HCY45"/>
      <c r="HCZ45"/>
      <c r="HDA45"/>
      <c r="HDB45"/>
      <c r="HDC45"/>
      <c r="HDD45"/>
      <c r="HDE45"/>
      <c r="HDF45"/>
      <c r="HDG45"/>
      <c r="HDH45"/>
      <c r="HDI45"/>
      <c r="HDJ45"/>
      <c r="HDK45"/>
      <c r="HDL45"/>
      <c r="HDM45"/>
      <c r="HDN45"/>
      <c r="HDO45"/>
      <c r="HDP45"/>
      <c r="HDQ45"/>
      <c r="HDR45"/>
      <c r="HDS45"/>
      <c r="HDT45"/>
      <c r="HDU45"/>
      <c r="HDV45"/>
      <c r="HDW45"/>
      <c r="HDX45"/>
      <c r="HDY45"/>
      <c r="HDZ45"/>
      <c r="HEA45"/>
      <c r="HEB45"/>
      <c r="HEC45"/>
      <c r="HED45"/>
      <c r="HEE45"/>
      <c r="HEF45"/>
      <c r="HEG45"/>
      <c r="HEH45"/>
      <c r="HEI45"/>
      <c r="HEJ45"/>
      <c r="HEK45"/>
      <c r="HEL45"/>
      <c r="HEM45"/>
      <c r="HEN45"/>
      <c r="HEO45"/>
      <c r="HEP45"/>
      <c r="HEQ45"/>
      <c r="HER45"/>
      <c r="HES45"/>
      <c r="HET45"/>
      <c r="HEU45"/>
      <c r="HEV45"/>
      <c r="HEW45"/>
      <c r="HEX45"/>
      <c r="HEY45"/>
      <c r="HEZ45"/>
      <c r="HFA45"/>
      <c r="HFB45"/>
      <c r="HFC45"/>
      <c r="HFD45"/>
      <c r="HFE45"/>
      <c r="HFF45"/>
      <c r="HFG45"/>
      <c r="HFH45"/>
      <c r="HFI45"/>
      <c r="HFJ45"/>
      <c r="HFK45"/>
      <c r="HFL45"/>
      <c r="HFM45"/>
      <c r="HFN45"/>
      <c r="HFO45"/>
      <c r="HFP45"/>
      <c r="HFQ45"/>
      <c r="HFR45"/>
      <c r="HFS45"/>
      <c r="HFT45"/>
      <c r="HFU45"/>
      <c r="HFV45"/>
      <c r="HFW45"/>
      <c r="HFX45"/>
      <c r="HFY45"/>
      <c r="HFZ45"/>
      <c r="HGA45"/>
      <c r="HGB45"/>
      <c r="HGC45"/>
      <c r="HGD45"/>
      <c r="HGE45"/>
      <c r="HGF45"/>
      <c r="HGG45"/>
      <c r="HGH45"/>
      <c r="HGI45"/>
      <c r="HGJ45"/>
      <c r="HGK45"/>
      <c r="HGL45"/>
      <c r="HGM45"/>
      <c r="HGN45"/>
      <c r="HGO45"/>
      <c r="HGP45"/>
      <c r="HGQ45"/>
      <c r="HGR45"/>
      <c r="HGS45"/>
      <c r="HGT45"/>
      <c r="HGU45"/>
      <c r="HGV45"/>
      <c r="HGW45"/>
      <c r="HGX45"/>
      <c r="HGY45"/>
      <c r="HGZ45"/>
      <c r="HHA45"/>
      <c r="HHB45"/>
      <c r="HHC45"/>
      <c r="HHD45"/>
      <c r="HHE45"/>
      <c r="HHF45"/>
      <c r="HHG45"/>
      <c r="HHH45"/>
      <c r="HHI45"/>
      <c r="HHJ45"/>
      <c r="HHK45"/>
      <c r="HHL45"/>
      <c r="HHM45"/>
      <c r="HHN45"/>
      <c r="HHO45"/>
      <c r="HHP45"/>
      <c r="HHQ45"/>
      <c r="HHR45"/>
      <c r="HHS45"/>
      <c r="HHT45"/>
      <c r="HHU45"/>
      <c r="HHV45"/>
      <c r="HHW45"/>
      <c r="HHX45"/>
      <c r="HHY45"/>
      <c r="HHZ45"/>
      <c r="HIA45"/>
      <c r="HIB45"/>
      <c r="HIC45"/>
      <c r="HID45"/>
      <c r="HIE45"/>
      <c r="HIF45"/>
      <c r="HIG45"/>
      <c r="HIH45"/>
      <c r="HII45"/>
      <c r="HIJ45"/>
      <c r="HIK45"/>
      <c r="HIL45"/>
      <c r="HIM45"/>
      <c r="HIN45"/>
      <c r="HIO45"/>
      <c r="HIP45"/>
      <c r="HIQ45"/>
      <c r="HIR45"/>
      <c r="HIS45"/>
      <c r="HIT45"/>
      <c r="HIU45"/>
      <c r="HIV45"/>
      <c r="HIW45"/>
      <c r="HIX45"/>
      <c r="HIY45"/>
      <c r="HIZ45"/>
      <c r="HJA45"/>
      <c r="HJB45"/>
      <c r="HJC45"/>
      <c r="HJD45"/>
      <c r="HJE45"/>
      <c r="HJF45"/>
      <c r="HJG45"/>
      <c r="HJH45"/>
      <c r="HJI45"/>
      <c r="HJJ45"/>
      <c r="HJK45"/>
      <c r="HJL45"/>
      <c r="HJM45"/>
      <c r="HJN45"/>
      <c r="HJO45"/>
      <c r="HJP45"/>
      <c r="HJQ45"/>
      <c r="HJR45"/>
      <c r="HJS45"/>
      <c r="HJT45"/>
      <c r="HJU45"/>
      <c r="HJV45"/>
      <c r="HJW45"/>
      <c r="HJX45"/>
      <c r="HJY45"/>
      <c r="HJZ45"/>
      <c r="HKA45"/>
      <c r="HKB45"/>
      <c r="HKC45"/>
      <c r="HKD45"/>
      <c r="HKE45"/>
      <c r="HKF45"/>
      <c r="HKG45"/>
      <c r="HKH45"/>
      <c r="HKI45"/>
      <c r="HKJ45"/>
      <c r="HKK45"/>
      <c r="HKL45"/>
      <c r="HKM45"/>
      <c r="HKN45"/>
      <c r="HKO45"/>
      <c r="HKP45"/>
      <c r="HKQ45"/>
      <c r="HKR45"/>
      <c r="HKS45"/>
      <c r="HKT45"/>
      <c r="HKU45"/>
      <c r="HKV45"/>
      <c r="HKW45"/>
      <c r="HKX45"/>
      <c r="HKY45"/>
      <c r="HKZ45"/>
      <c r="HLA45"/>
      <c r="HLB45"/>
      <c r="HLC45"/>
      <c r="HLD45"/>
      <c r="HLE45"/>
      <c r="HLF45"/>
      <c r="HLG45"/>
      <c r="HLH45"/>
      <c r="HLI45"/>
      <c r="HLJ45"/>
      <c r="HLK45"/>
      <c r="HLL45"/>
      <c r="HLM45"/>
      <c r="HLN45"/>
      <c r="HLO45"/>
      <c r="HLP45"/>
      <c r="HLQ45"/>
      <c r="HLR45"/>
      <c r="HLS45"/>
      <c r="HLT45"/>
      <c r="HLU45"/>
      <c r="HLV45"/>
      <c r="HLW45"/>
      <c r="HLX45"/>
      <c r="HLY45"/>
      <c r="HLZ45"/>
      <c r="HMA45"/>
      <c r="HMB45"/>
      <c r="HMC45"/>
      <c r="HMD45"/>
      <c r="HME45"/>
      <c r="HMF45"/>
      <c r="HMG45"/>
      <c r="HMH45"/>
      <c r="HMI45"/>
      <c r="HMJ45"/>
      <c r="HMK45"/>
      <c r="HML45"/>
      <c r="HMM45"/>
      <c r="HMN45"/>
      <c r="HMO45"/>
      <c r="HMP45"/>
      <c r="HMQ45"/>
      <c r="HMR45"/>
      <c r="HMS45"/>
      <c r="HMT45"/>
      <c r="HMU45"/>
      <c r="HMV45"/>
      <c r="HMW45"/>
      <c r="HMX45"/>
      <c r="HMY45"/>
      <c r="HMZ45"/>
      <c r="HNA45"/>
      <c r="HNB45"/>
      <c r="HNC45"/>
      <c r="HND45"/>
      <c r="HNE45"/>
      <c r="HNF45"/>
      <c r="HNG45"/>
      <c r="HNH45"/>
      <c r="HNI45"/>
      <c r="HNJ45"/>
      <c r="HNK45"/>
      <c r="HNL45"/>
      <c r="HNM45"/>
      <c r="HNN45"/>
      <c r="HNO45"/>
      <c r="HNP45"/>
      <c r="HNQ45"/>
      <c r="HNR45"/>
      <c r="HNS45"/>
      <c r="HNT45"/>
      <c r="HNU45"/>
      <c r="HNV45"/>
      <c r="HNW45"/>
      <c r="HNX45"/>
      <c r="HNY45"/>
      <c r="HNZ45"/>
      <c r="HOA45"/>
      <c r="HOB45"/>
      <c r="HOC45"/>
      <c r="HOD45"/>
      <c r="HOE45"/>
      <c r="HOF45"/>
      <c r="HOG45"/>
      <c r="HOH45"/>
      <c r="HOI45"/>
      <c r="HOJ45"/>
      <c r="HOK45"/>
      <c r="HOL45"/>
      <c r="HOM45"/>
      <c r="HON45"/>
      <c r="HOO45"/>
      <c r="HOP45"/>
      <c r="HOQ45"/>
      <c r="HOR45"/>
      <c r="HOS45"/>
      <c r="HOT45"/>
      <c r="HOU45"/>
      <c r="HOV45"/>
      <c r="HOW45"/>
      <c r="HOX45"/>
      <c r="HOY45"/>
      <c r="HOZ45"/>
      <c r="HPA45"/>
      <c r="HPB45"/>
      <c r="HPC45"/>
      <c r="HPD45"/>
      <c r="HPE45"/>
      <c r="HPF45"/>
      <c r="HPG45"/>
      <c r="HPH45"/>
      <c r="HPI45"/>
      <c r="HPJ45"/>
      <c r="HPK45"/>
      <c r="HPL45"/>
      <c r="HPM45"/>
      <c r="HPN45"/>
      <c r="HPO45"/>
      <c r="HPP45"/>
      <c r="HPQ45"/>
      <c r="HPR45"/>
      <c r="HPS45"/>
      <c r="HPT45"/>
      <c r="HPU45"/>
      <c r="HPV45"/>
      <c r="HPW45"/>
      <c r="HPX45"/>
      <c r="HPY45"/>
      <c r="HPZ45"/>
      <c r="HQA45"/>
      <c r="HQB45"/>
      <c r="HQC45"/>
      <c r="HQD45"/>
      <c r="HQE45"/>
      <c r="HQF45"/>
      <c r="HQG45"/>
      <c r="HQH45"/>
      <c r="HQI45"/>
      <c r="HQJ45"/>
      <c r="HQK45"/>
      <c r="HQL45"/>
      <c r="HQM45"/>
      <c r="HQN45"/>
      <c r="HQO45"/>
      <c r="HQP45"/>
      <c r="HQQ45"/>
      <c r="HQR45"/>
      <c r="HQS45"/>
      <c r="HQT45"/>
      <c r="HQU45"/>
      <c r="HQV45"/>
      <c r="HQW45"/>
      <c r="HQX45"/>
      <c r="HQY45"/>
      <c r="HQZ45"/>
      <c r="HRA45"/>
      <c r="HRB45"/>
      <c r="HRC45"/>
      <c r="HRD45"/>
      <c r="HRE45"/>
      <c r="HRF45"/>
      <c r="HRG45"/>
      <c r="HRH45"/>
      <c r="HRI45"/>
      <c r="HRJ45"/>
      <c r="HRK45"/>
      <c r="HRL45"/>
      <c r="HRM45"/>
      <c r="HRN45"/>
      <c r="HRO45"/>
      <c r="HRP45"/>
      <c r="HRQ45"/>
      <c r="HRR45"/>
      <c r="HRS45"/>
      <c r="HRT45"/>
      <c r="HRU45"/>
      <c r="HRV45"/>
      <c r="HRW45"/>
      <c r="HRX45"/>
      <c r="HRY45"/>
      <c r="HRZ45"/>
      <c r="HSA45"/>
      <c r="HSB45"/>
      <c r="HSC45"/>
      <c r="HSD45"/>
      <c r="HSE45"/>
      <c r="HSF45"/>
      <c r="HSG45"/>
      <c r="HSH45"/>
      <c r="HSI45"/>
      <c r="HSJ45"/>
      <c r="HSK45"/>
      <c r="HSL45"/>
      <c r="HSM45"/>
      <c r="HSN45"/>
      <c r="HSO45"/>
      <c r="HSP45"/>
      <c r="HSQ45"/>
      <c r="HSR45"/>
      <c r="HSS45"/>
      <c r="HST45"/>
      <c r="HSU45"/>
      <c r="HSV45"/>
      <c r="HSW45"/>
      <c r="HSX45"/>
      <c r="HSY45"/>
      <c r="HSZ45"/>
      <c r="HTA45"/>
      <c r="HTB45"/>
      <c r="HTC45"/>
      <c r="HTD45"/>
      <c r="HTE45"/>
      <c r="HTF45"/>
      <c r="HTG45"/>
      <c r="HTH45"/>
      <c r="HTI45"/>
      <c r="HTJ45"/>
      <c r="HTK45"/>
      <c r="HTL45"/>
      <c r="HTM45"/>
      <c r="HTN45"/>
      <c r="HTO45"/>
      <c r="HTP45"/>
      <c r="HTQ45"/>
      <c r="HTR45"/>
      <c r="HTS45"/>
      <c r="HTT45"/>
      <c r="HTU45"/>
      <c r="HTV45"/>
      <c r="HTW45"/>
      <c r="HTX45"/>
      <c r="HTY45"/>
      <c r="HTZ45"/>
      <c r="HUA45"/>
      <c r="HUB45"/>
      <c r="HUC45"/>
      <c r="HUD45"/>
      <c r="HUE45"/>
      <c r="HUF45"/>
      <c r="HUG45"/>
      <c r="HUH45"/>
      <c r="HUI45"/>
      <c r="HUJ45"/>
      <c r="HUK45"/>
      <c r="HUL45"/>
      <c r="HUM45"/>
      <c r="HUN45"/>
      <c r="HUO45"/>
      <c r="HUP45"/>
      <c r="HUQ45"/>
      <c r="HUR45"/>
      <c r="HUS45"/>
      <c r="HUT45"/>
      <c r="HUU45"/>
      <c r="HUV45"/>
      <c r="HUW45"/>
      <c r="HUX45"/>
      <c r="HUY45"/>
      <c r="HUZ45"/>
      <c r="HVA45"/>
      <c r="HVB45"/>
      <c r="HVC45"/>
      <c r="HVD45"/>
      <c r="HVE45"/>
      <c r="HVF45"/>
      <c r="HVG45"/>
      <c r="HVH45"/>
      <c r="HVI45"/>
      <c r="HVJ45"/>
      <c r="HVK45"/>
      <c r="HVL45"/>
      <c r="HVM45"/>
      <c r="HVN45"/>
      <c r="HVO45"/>
      <c r="HVP45"/>
      <c r="HVQ45"/>
      <c r="HVR45"/>
      <c r="HVS45"/>
      <c r="HVT45"/>
      <c r="HVU45"/>
      <c r="HVV45"/>
      <c r="HVW45"/>
      <c r="HVX45"/>
      <c r="HVY45"/>
      <c r="HVZ45"/>
      <c r="HWA45"/>
      <c r="HWB45"/>
      <c r="HWC45"/>
      <c r="HWD45"/>
      <c r="HWE45"/>
      <c r="HWF45"/>
      <c r="HWG45"/>
      <c r="HWH45"/>
      <c r="HWI45"/>
      <c r="HWJ45"/>
      <c r="HWK45"/>
      <c r="HWL45"/>
      <c r="HWM45"/>
      <c r="HWN45"/>
      <c r="HWO45"/>
      <c r="HWP45"/>
      <c r="HWQ45"/>
      <c r="HWR45"/>
      <c r="HWS45"/>
      <c r="HWT45"/>
      <c r="HWU45"/>
      <c r="HWV45"/>
      <c r="HWW45"/>
      <c r="HWX45"/>
      <c r="HWY45"/>
      <c r="HWZ45"/>
      <c r="HXA45"/>
      <c r="HXB45"/>
      <c r="HXC45"/>
      <c r="HXD45"/>
      <c r="HXE45"/>
      <c r="HXF45"/>
      <c r="HXG45"/>
      <c r="HXH45"/>
      <c r="HXI45"/>
      <c r="HXJ45"/>
      <c r="HXK45"/>
      <c r="HXL45"/>
      <c r="HXM45"/>
      <c r="HXN45"/>
      <c r="HXO45"/>
      <c r="HXP45"/>
      <c r="HXQ45"/>
      <c r="HXR45"/>
      <c r="HXS45"/>
      <c r="HXT45"/>
      <c r="HXU45"/>
      <c r="HXV45"/>
      <c r="HXW45"/>
      <c r="HXX45"/>
      <c r="HXY45"/>
      <c r="HXZ45"/>
      <c r="HYA45"/>
      <c r="HYB45"/>
      <c r="HYC45"/>
      <c r="HYD45"/>
      <c r="HYE45"/>
      <c r="HYF45"/>
      <c r="HYG45"/>
      <c r="HYH45"/>
      <c r="HYI45"/>
      <c r="HYJ45"/>
      <c r="HYK45"/>
      <c r="HYL45"/>
      <c r="HYM45"/>
      <c r="HYN45"/>
      <c r="HYO45"/>
      <c r="HYP45"/>
      <c r="HYQ45"/>
      <c r="HYR45"/>
      <c r="HYS45"/>
      <c r="HYT45"/>
      <c r="HYU45"/>
      <c r="HYV45"/>
      <c r="HYW45"/>
      <c r="HYX45"/>
      <c r="HYY45"/>
      <c r="HYZ45"/>
      <c r="HZA45"/>
      <c r="HZB45"/>
      <c r="HZC45"/>
      <c r="HZD45"/>
      <c r="HZE45"/>
      <c r="HZF45"/>
      <c r="HZG45"/>
      <c r="HZH45"/>
      <c r="HZI45"/>
      <c r="HZJ45"/>
      <c r="HZK45"/>
      <c r="HZL45"/>
      <c r="HZM45"/>
      <c r="HZN45"/>
      <c r="HZO45"/>
      <c r="HZP45"/>
      <c r="HZQ45"/>
      <c r="HZR45"/>
      <c r="HZS45"/>
      <c r="HZT45"/>
      <c r="HZU45"/>
      <c r="HZV45"/>
      <c r="HZW45"/>
      <c r="HZX45"/>
      <c r="HZY45"/>
      <c r="HZZ45"/>
      <c r="IAA45"/>
      <c r="IAB45"/>
      <c r="IAC45"/>
      <c r="IAD45"/>
      <c r="IAE45"/>
      <c r="IAF45"/>
      <c r="IAG45"/>
      <c r="IAH45"/>
      <c r="IAI45"/>
      <c r="IAJ45"/>
      <c r="IAK45"/>
      <c r="IAL45"/>
      <c r="IAM45"/>
      <c r="IAN45"/>
      <c r="IAO45"/>
      <c r="IAP45"/>
      <c r="IAQ45"/>
      <c r="IAR45"/>
      <c r="IAS45"/>
      <c r="IAT45"/>
      <c r="IAU45"/>
      <c r="IAV45"/>
      <c r="IAW45"/>
      <c r="IAX45"/>
      <c r="IAY45"/>
      <c r="IAZ45"/>
      <c r="IBA45"/>
      <c r="IBB45"/>
      <c r="IBC45"/>
      <c r="IBD45"/>
      <c r="IBE45"/>
      <c r="IBF45"/>
      <c r="IBG45"/>
      <c r="IBH45"/>
      <c r="IBI45"/>
      <c r="IBJ45"/>
      <c r="IBK45"/>
      <c r="IBL45"/>
      <c r="IBM45"/>
      <c r="IBN45"/>
      <c r="IBO45"/>
      <c r="IBP45"/>
      <c r="IBQ45"/>
      <c r="IBR45"/>
      <c r="IBS45"/>
      <c r="IBT45"/>
      <c r="IBU45"/>
      <c r="IBV45"/>
      <c r="IBW45"/>
      <c r="IBX45"/>
      <c r="IBY45"/>
      <c r="IBZ45"/>
      <c r="ICA45"/>
      <c r="ICB45"/>
      <c r="ICC45"/>
      <c r="ICD45"/>
      <c r="ICE45"/>
      <c r="ICF45"/>
      <c r="ICG45"/>
      <c r="ICH45"/>
      <c r="ICI45"/>
      <c r="ICJ45"/>
      <c r="ICK45"/>
      <c r="ICL45"/>
      <c r="ICM45"/>
      <c r="ICN45"/>
      <c r="ICO45"/>
      <c r="ICP45"/>
      <c r="ICQ45"/>
      <c r="ICR45"/>
      <c r="ICS45"/>
      <c r="ICT45"/>
      <c r="ICU45"/>
      <c r="ICV45"/>
      <c r="ICW45"/>
      <c r="ICX45"/>
      <c r="ICY45"/>
      <c r="ICZ45"/>
      <c r="IDA45"/>
      <c r="IDB45"/>
      <c r="IDC45"/>
      <c r="IDD45"/>
      <c r="IDE45"/>
      <c r="IDF45"/>
      <c r="IDG45"/>
      <c r="IDH45"/>
      <c r="IDI45"/>
      <c r="IDJ45"/>
      <c r="IDK45"/>
      <c r="IDL45"/>
      <c r="IDM45"/>
      <c r="IDN45"/>
      <c r="IDO45"/>
      <c r="IDP45"/>
      <c r="IDQ45"/>
      <c r="IDR45"/>
      <c r="IDS45"/>
      <c r="IDT45"/>
      <c r="IDU45"/>
      <c r="IDV45"/>
      <c r="IDW45"/>
      <c r="IDX45"/>
      <c r="IDY45"/>
      <c r="IDZ45"/>
      <c r="IEA45"/>
      <c r="IEB45"/>
      <c r="IEC45"/>
      <c r="IED45"/>
      <c r="IEE45"/>
      <c r="IEF45"/>
      <c r="IEG45"/>
      <c r="IEH45"/>
      <c r="IEI45"/>
      <c r="IEJ45"/>
      <c r="IEK45"/>
      <c r="IEL45"/>
      <c r="IEM45"/>
      <c r="IEN45"/>
      <c r="IEO45"/>
      <c r="IEP45"/>
      <c r="IEQ45"/>
      <c r="IER45"/>
      <c r="IES45"/>
      <c r="IET45"/>
      <c r="IEU45"/>
      <c r="IEV45"/>
      <c r="IEW45"/>
      <c r="IEX45"/>
      <c r="IEY45"/>
      <c r="IEZ45"/>
      <c r="IFA45"/>
      <c r="IFB45"/>
      <c r="IFC45"/>
      <c r="IFD45"/>
      <c r="IFE45"/>
      <c r="IFF45"/>
      <c r="IFG45"/>
      <c r="IFH45"/>
      <c r="IFI45"/>
      <c r="IFJ45"/>
      <c r="IFK45"/>
      <c r="IFL45"/>
      <c r="IFM45"/>
      <c r="IFN45"/>
      <c r="IFO45"/>
      <c r="IFP45"/>
      <c r="IFQ45"/>
      <c r="IFR45"/>
      <c r="IFS45"/>
      <c r="IFT45"/>
      <c r="IFU45"/>
      <c r="IFV45"/>
      <c r="IFW45"/>
      <c r="IFX45"/>
      <c r="IFY45"/>
      <c r="IFZ45"/>
      <c r="IGA45"/>
      <c r="IGB45"/>
      <c r="IGC45"/>
      <c r="IGD45"/>
      <c r="IGE45"/>
      <c r="IGF45"/>
      <c r="IGG45"/>
      <c r="IGH45"/>
      <c r="IGI45"/>
      <c r="IGJ45"/>
      <c r="IGK45"/>
      <c r="IGL45"/>
      <c r="IGM45"/>
      <c r="IGN45"/>
      <c r="IGO45"/>
      <c r="IGP45"/>
      <c r="IGQ45"/>
      <c r="IGR45"/>
      <c r="IGS45"/>
      <c r="IGT45"/>
      <c r="IGU45"/>
      <c r="IGV45"/>
      <c r="IGW45"/>
      <c r="IGX45"/>
      <c r="IGY45"/>
      <c r="IGZ45"/>
      <c r="IHA45"/>
      <c r="IHB45"/>
      <c r="IHC45"/>
      <c r="IHD45"/>
      <c r="IHE45"/>
      <c r="IHF45"/>
      <c r="IHG45"/>
      <c r="IHH45"/>
      <c r="IHI45"/>
      <c r="IHJ45"/>
      <c r="IHK45"/>
      <c r="IHL45"/>
      <c r="IHM45"/>
      <c r="IHN45"/>
      <c r="IHO45"/>
      <c r="IHP45"/>
      <c r="IHQ45"/>
      <c r="IHR45"/>
      <c r="IHS45"/>
      <c r="IHT45"/>
      <c r="IHU45"/>
      <c r="IHV45"/>
      <c r="IHW45"/>
      <c r="IHX45"/>
      <c r="IHY45"/>
      <c r="IHZ45"/>
      <c r="IIA45"/>
      <c r="IIB45"/>
      <c r="IIC45"/>
      <c r="IID45"/>
      <c r="IIE45"/>
      <c r="IIF45"/>
      <c r="IIG45"/>
      <c r="IIH45"/>
      <c r="III45"/>
      <c r="IIJ45"/>
      <c r="IIK45"/>
      <c r="IIL45"/>
      <c r="IIM45"/>
      <c r="IIN45"/>
      <c r="IIO45"/>
      <c r="IIP45"/>
      <c r="IIQ45"/>
      <c r="IIR45"/>
      <c r="IIS45"/>
      <c r="IIT45"/>
      <c r="IIU45"/>
      <c r="IIV45"/>
      <c r="IIW45"/>
      <c r="IIX45"/>
      <c r="IIY45"/>
      <c r="IIZ45"/>
      <c r="IJA45"/>
      <c r="IJB45"/>
      <c r="IJC45"/>
      <c r="IJD45"/>
      <c r="IJE45"/>
      <c r="IJF45"/>
      <c r="IJG45"/>
      <c r="IJH45"/>
      <c r="IJI45"/>
      <c r="IJJ45"/>
      <c r="IJK45"/>
      <c r="IJL45"/>
      <c r="IJM45"/>
      <c r="IJN45"/>
      <c r="IJO45"/>
      <c r="IJP45"/>
      <c r="IJQ45"/>
      <c r="IJR45"/>
      <c r="IJS45"/>
      <c r="IJT45"/>
      <c r="IJU45"/>
      <c r="IJV45"/>
      <c r="IJW45"/>
      <c r="IJX45"/>
      <c r="IJY45"/>
      <c r="IJZ45"/>
      <c r="IKA45"/>
      <c r="IKB45"/>
      <c r="IKC45"/>
      <c r="IKD45"/>
      <c r="IKE45"/>
      <c r="IKF45"/>
      <c r="IKG45"/>
      <c r="IKH45"/>
      <c r="IKI45"/>
      <c r="IKJ45"/>
      <c r="IKK45"/>
      <c r="IKL45"/>
      <c r="IKM45"/>
      <c r="IKN45"/>
      <c r="IKO45"/>
      <c r="IKP45"/>
      <c r="IKQ45"/>
      <c r="IKR45"/>
      <c r="IKS45"/>
      <c r="IKT45"/>
      <c r="IKU45"/>
      <c r="IKV45"/>
      <c r="IKW45"/>
      <c r="IKX45"/>
      <c r="IKY45"/>
      <c r="IKZ45"/>
      <c r="ILA45"/>
      <c r="ILB45"/>
      <c r="ILC45"/>
      <c r="ILD45"/>
      <c r="ILE45"/>
      <c r="ILF45"/>
      <c r="ILG45"/>
      <c r="ILH45"/>
      <c r="ILI45"/>
      <c r="ILJ45"/>
      <c r="ILK45"/>
      <c r="ILL45"/>
      <c r="ILM45"/>
      <c r="ILN45"/>
      <c r="ILO45"/>
      <c r="ILP45"/>
      <c r="ILQ45"/>
      <c r="ILR45"/>
      <c r="ILS45"/>
      <c r="ILT45"/>
      <c r="ILU45"/>
      <c r="ILV45"/>
      <c r="ILW45"/>
      <c r="ILX45"/>
      <c r="ILY45"/>
      <c r="ILZ45"/>
      <c r="IMA45"/>
      <c r="IMB45"/>
      <c r="IMC45"/>
      <c r="IMD45"/>
      <c r="IME45"/>
      <c r="IMF45"/>
      <c r="IMG45"/>
      <c r="IMH45"/>
      <c r="IMI45"/>
      <c r="IMJ45"/>
      <c r="IMK45"/>
      <c r="IML45"/>
      <c r="IMM45"/>
      <c r="IMN45"/>
      <c r="IMO45"/>
      <c r="IMP45"/>
      <c r="IMQ45"/>
      <c r="IMR45"/>
      <c r="IMS45"/>
      <c r="IMT45"/>
      <c r="IMU45"/>
      <c r="IMV45"/>
      <c r="IMW45"/>
      <c r="IMX45"/>
      <c r="IMY45"/>
      <c r="IMZ45"/>
      <c r="INA45"/>
      <c r="INB45"/>
      <c r="INC45"/>
      <c r="IND45"/>
      <c r="INE45"/>
      <c r="INF45"/>
      <c r="ING45"/>
      <c r="INH45"/>
      <c r="INI45"/>
      <c r="INJ45"/>
      <c r="INK45"/>
      <c r="INL45"/>
      <c r="INM45"/>
      <c r="INN45"/>
      <c r="INO45"/>
      <c r="INP45"/>
      <c r="INQ45"/>
      <c r="INR45"/>
      <c r="INS45"/>
      <c r="INT45"/>
      <c r="INU45"/>
      <c r="INV45"/>
      <c r="INW45"/>
      <c r="INX45"/>
      <c r="INY45"/>
      <c r="INZ45"/>
      <c r="IOA45"/>
      <c r="IOB45"/>
      <c r="IOC45"/>
      <c r="IOD45"/>
      <c r="IOE45"/>
      <c r="IOF45"/>
      <c r="IOG45"/>
      <c r="IOH45"/>
      <c r="IOI45"/>
      <c r="IOJ45"/>
      <c r="IOK45"/>
      <c r="IOL45"/>
      <c r="IOM45"/>
      <c r="ION45"/>
      <c r="IOO45"/>
      <c r="IOP45"/>
      <c r="IOQ45"/>
      <c r="IOR45"/>
      <c r="IOS45"/>
      <c r="IOT45"/>
      <c r="IOU45"/>
      <c r="IOV45"/>
      <c r="IOW45"/>
      <c r="IOX45"/>
      <c r="IOY45"/>
      <c r="IOZ45"/>
      <c r="IPA45"/>
      <c r="IPB45"/>
      <c r="IPC45"/>
      <c r="IPD45"/>
      <c r="IPE45"/>
      <c r="IPF45"/>
      <c r="IPG45"/>
      <c r="IPH45"/>
      <c r="IPI45"/>
      <c r="IPJ45"/>
      <c r="IPK45"/>
      <c r="IPL45"/>
      <c r="IPM45"/>
      <c r="IPN45"/>
      <c r="IPO45"/>
      <c r="IPP45"/>
      <c r="IPQ45"/>
      <c r="IPR45"/>
      <c r="IPS45"/>
      <c r="IPT45"/>
      <c r="IPU45"/>
      <c r="IPV45"/>
      <c r="IPW45"/>
      <c r="IPX45"/>
      <c r="IPY45"/>
      <c r="IPZ45"/>
      <c r="IQA45"/>
      <c r="IQB45"/>
      <c r="IQC45"/>
      <c r="IQD45"/>
      <c r="IQE45"/>
      <c r="IQF45"/>
      <c r="IQG45"/>
      <c r="IQH45"/>
      <c r="IQI45"/>
      <c r="IQJ45"/>
      <c r="IQK45"/>
      <c r="IQL45"/>
      <c r="IQM45"/>
      <c r="IQN45"/>
      <c r="IQO45"/>
      <c r="IQP45"/>
      <c r="IQQ45"/>
      <c r="IQR45"/>
      <c r="IQS45"/>
      <c r="IQT45"/>
      <c r="IQU45"/>
      <c r="IQV45"/>
      <c r="IQW45"/>
      <c r="IQX45"/>
      <c r="IQY45"/>
      <c r="IQZ45"/>
      <c r="IRA45"/>
      <c r="IRB45"/>
      <c r="IRC45"/>
      <c r="IRD45"/>
      <c r="IRE45"/>
      <c r="IRF45"/>
      <c r="IRG45"/>
      <c r="IRH45"/>
      <c r="IRI45"/>
      <c r="IRJ45"/>
      <c r="IRK45"/>
      <c r="IRL45"/>
      <c r="IRM45"/>
      <c r="IRN45"/>
      <c r="IRO45"/>
      <c r="IRP45"/>
      <c r="IRQ45"/>
      <c r="IRR45"/>
      <c r="IRS45"/>
      <c r="IRT45"/>
      <c r="IRU45"/>
      <c r="IRV45"/>
      <c r="IRW45"/>
      <c r="IRX45"/>
      <c r="IRY45"/>
      <c r="IRZ45"/>
      <c r="ISA45"/>
      <c r="ISB45"/>
      <c r="ISC45"/>
      <c r="ISD45"/>
      <c r="ISE45"/>
      <c r="ISF45"/>
      <c r="ISG45"/>
      <c r="ISH45"/>
      <c r="ISI45"/>
      <c r="ISJ45"/>
      <c r="ISK45"/>
      <c r="ISL45"/>
      <c r="ISM45"/>
      <c r="ISN45"/>
      <c r="ISO45"/>
      <c r="ISP45"/>
      <c r="ISQ45"/>
      <c r="ISR45"/>
      <c r="ISS45"/>
      <c r="IST45"/>
      <c r="ISU45"/>
      <c r="ISV45"/>
      <c r="ISW45"/>
      <c r="ISX45"/>
      <c r="ISY45"/>
      <c r="ISZ45"/>
      <c r="ITA45"/>
      <c r="ITB45"/>
      <c r="ITC45"/>
      <c r="ITD45"/>
      <c r="ITE45"/>
      <c r="ITF45"/>
      <c r="ITG45"/>
      <c r="ITH45"/>
      <c r="ITI45"/>
      <c r="ITJ45"/>
      <c r="ITK45"/>
      <c r="ITL45"/>
      <c r="ITM45"/>
      <c r="ITN45"/>
      <c r="ITO45"/>
      <c r="ITP45"/>
      <c r="ITQ45"/>
      <c r="ITR45"/>
      <c r="ITS45"/>
      <c r="ITT45"/>
      <c r="ITU45"/>
      <c r="ITV45"/>
      <c r="ITW45"/>
      <c r="ITX45"/>
      <c r="ITY45"/>
      <c r="ITZ45"/>
      <c r="IUA45"/>
      <c r="IUB45"/>
      <c r="IUC45"/>
      <c r="IUD45"/>
      <c r="IUE45"/>
      <c r="IUF45"/>
      <c r="IUG45"/>
      <c r="IUH45"/>
      <c r="IUI45"/>
      <c r="IUJ45"/>
      <c r="IUK45"/>
      <c r="IUL45"/>
      <c r="IUM45"/>
      <c r="IUN45"/>
      <c r="IUO45"/>
      <c r="IUP45"/>
      <c r="IUQ45"/>
      <c r="IUR45"/>
      <c r="IUS45"/>
      <c r="IUT45"/>
      <c r="IUU45"/>
      <c r="IUV45"/>
      <c r="IUW45"/>
      <c r="IUX45"/>
      <c r="IUY45"/>
      <c r="IUZ45"/>
      <c r="IVA45"/>
      <c r="IVB45"/>
      <c r="IVC45"/>
      <c r="IVD45"/>
      <c r="IVE45"/>
      <c r="IVF45"/>
      <c r="IVG45"/>
      <c r="IVH45"/>
      <c r="IVI45"/>
      <c r="IVJ45"/>
      <c r="IVK45"/>
      <c r="IVL45"/>
      <c r="IVM45"/>
      <c r="IVN45"/>
      <c r="IVO45"/>
      <c r="IVP45"/>
      <c r="IVQ45"/>
      <c r="IVR45"/>
      <c r="IVS45"/>
      <c r="IVT45"/>
      <c r="IVU45"/>
      <c r="IVV45"/>
      <c r="IVW45"/>
      <c r="IVX45"/>
      <c r="IVY45"/>
      <c r="IVZ45"/>
      <c r="IWA45"/>
      <c r="IWB45"/>
      <c r="IWC45"/>
      <c r="IWD45"/>
      <c r="IWE45"/>
      <c r="IWF45"/>
      <c r="IWG45"/>
      <c r="IWH45"/>
      <c r="IWI45"/>
      <c r="IWJ45"/>
      <c r="IWK45"/>
      <c r="IWL45"/>
      <c r="IWM45"/>
      <c r="IWN45"/>
      <c r="IWO45"/>
      <c r="IWP45"/>
      <c r="IWQ45"/>
      <c r="IWR45"/>
      <c r="IWS45"/>
      <c r="IWT45"/>
      <c r="IWU45"/>
      <c r="IWV45"/>
      <c r="IWW45"/>
      <c r="IWX45"/>
      <c r="IWY45"/>
      <c r="IWZ45"/>
      <c r="IXA45"/>
      <c r="IXB45"/>
      <c r="IXC45"/>
      <c r="IXD45"/>
      <c r="IXE45"/>
      <c r="IXF45"/>
      <c r="IXG45"/>
      <c r="IXH45"/>
      <c r="IXI45"/>
      <c r="IXJ45"/>
      <c r="IXK45"/>
      <c r="IXL45"/>
      <c r="IXM45"/>
      <c r="IXN45"/>
      <c r="IXO45"/>
      <c r="IXP45"/>
      <c r="IXQ45"/>
      <c r="IXR45"/>
      <c r="IXS45"/>
      <c r="IXT45"/>
      <c r="IXU45"/>
      <c r="IXV45"/>
      <c r="IXW45"/>
      <c r="IXX45"/>
      <c r="IXY45"/>
      <c r="IXZ45"/>
      <c r="IYA45"/>
      <c r="IYB45"/>
      <c r="IYC45"/>
      <c r="IYD45"/>
      <c r="IYE45"/>
      <c r="IYF45"/>
      <c r="IYG45"/>
      <c r="IYH45"/>
      <c r="IYI45"/>
      <c r="IYJ45"/>
      <c r="IYK45"/>
      <c r="IYL45"/>
      <c r="IYM45"/>
      <c r="IYN45"/>
      <c r="IYO45"/>
      <c r="IYP45"/>
      <c r="IYQ45"/>
      <c r="IYR45"/>
      <c r="IYS45"/>
      <c r="IYT45"/>
      <c r="IYU45"/>
      <c r="IYV45"/>
      <c r="IYW45"/>
      <c r="IYX45"/>
      <c r="IYY45"/>
      <c r="IYZ45"/>
      <c r="IZA45"/>
      <c r="IZB45"/>
      <c r="IZC45"/>
      <c r="IZD45"/>
      <c r="IZE45"/>
      <c r="IZF45"/>
      <c r="IZG45"/>
      <c r="IZH45"/>
      <c r="IZI45"/>
      <c r="IZJ45"/>
      <c r="IZK45"/>
      <c r="IZL45"/>
      <c r="IZM45"/>
      <c r="IZN45"/>
      <c r="IZO45"/>
      <c r="IZP45"/>
      <c r="IZQ45"/>
      <c r="IZR45"/>
      <c r="IZS45"/>
      <c r="IZT45"/>
      <c r="IZU45"/>
      <c r="IZV45"/>
      <c r="IZW45"/>
      <c r="IZX45"/>
      <c r="IZY45"/>
      <c r="IZZ45"/>
      <c r="JAA45"/>
      <c r="JAB45"/>
      <c r="JAC45"/>
      <c r="JAD45"/>
      <c r="JAE45"/>
      <c r="JAF45"/>
      <c r="JAG45"/>
      <c r="JAH45"/>
      <c r="JAI45"/>
      <c r="JAJ45"/>
      <c r="JAK45"/>
      <c r="JAL45"/>
      <c r="JAM45"/>
      <c r="JAN45"/>
      <c r="JAO45"/>
      <c r="JAP45"/>
      <c r="JAQ45"/>
      <c r="JAR45"/>
      <c r="JAS45"/>
      <c r="JAT45"/>
      <c r="JAU45"/>
      <c r="JAV45"/>
      <c r="JAW45"/>
      <c r="JAX45"/>
      <c r="JAY45"/>
      <c r="JAZ45"/>
      <c r="JBA45"/>
      <c r="JBB45"/>
      <c r="JBC45"/>
      <c r="JBD45"/>
      <c r="JBE45"/>
      <c r="JBF45"/>
      <c r="JBG45"/>
      <c r="JBH45"/>
      <c r="JBI45"/>
      <c r="JBJ45"/>
      <c r="JBK45"/>
      <c r="JBL45"/>
      <c r="JBM45"/>
      <c r="JBN45"/>
      <c r="JBO45"/>
      <c r="JBP45"/>
      <c r="JBQ45"/>
      <c r="JBR45"/>
      <c r="JBS45"/>
      <c r="JBT45"/>
      <c r="JBU45"/>
      <c r="JBV45"/>
      <c r="JBW45"/>
      <c r="JBX45"/>
      <c r="JBY45"/>
      <c r="JBZ45"/>
      <c r="JCA45"/>
      <c r="JCB45"/>
      <c r="JCC45"/>
      <c r="JCD45"/>
      <c r="JCE45"/>
      <c r="JCF45"/>
      <c r="JCG45"/>
      <c r="JCH45"/>
      <c r="JCI45"/>
      <c r="JCJ45"/>
      <c r="JCK45"/>
      <c r="JCL45"/>
      <c r="JCM45"/>
      <c r="JCN45"/>
      <c r="JCO45"/>
      <c r="JCP45"/>
      <c r="JCQ45"/>
      <c r="JCR45"/>
      <c r="JCS45"/>
      <c r="JCT45"/>
      <c r="JCU45"/>
      <c r="JCV45"/>
      <c r="JCW45"/>
      <c r="JCX45"/>
      <c r="JCY45"/>
      <c r="JCZ45"/>
      <c r="JDA45"/>
      <c r="JDB45"/>
      <c r="JDC45"/>
      <c r="JDD45"/>
      <c r="JDE45"/>
      <c r="JDF45"/>
      <c r="JDG45"/>
      <c r="JDH45"/>
      <c r="JDI45"/>
      <c r="JDJ45"/>
      <c r="JDK45"/>
      <c r="JDL45"/>
      <c r="JDM45"/>
      <c r="JDN45"/>
      <c r="JDO45"/>
      <c r="JDP45"/>
      <c r="JDQ45"/>
      <c r="JDR45"/>
      <c r="JDS45"/>
      <c r="JDT45"/>
      <c r="JDU45"/>
      <c r="JDV45"/>
      <c r="JDW45"/>
      <c r="JDX45"/>
      <c r="JDY45"/>
      <c r="JDZ45"/>
      <c r="JEA45"/>
      <c r="JEB45"/>
      <c r="JEC45"/>
      <c r="JED45"/>
      <c r="JEE45"/>
      <c r="JEF45"/>
      <c r="JEG45"/>
      <c r="JEH45"/>
      <c r="JEI45"/>
      <c r="JEJ45"/>
      <c r="JEK45"/>
      <c r="JEL45"/>
      <c r="JEM45"/>
      <c r="JEN45"/>
      <c r="JEO45"/>
      <c r="JEP45"/>
      <c r="JEQ45"/>
      <c r="JER45"/>
      <c r="JES45"/>
      <c r="JET45"/>
      <c r="JEU45"/>
      <c r="JEV45"/>
      <c r="JEW45"/>
      <c r="JEX45"/>
      <c r="JEY45"/>
      <c r="JEZ45"/>
      <c r="JFA45"/>
      <c r="JFB45"/>
      <c r="JFC45"/>
      <c r="JFD45"/>
      <c r="JFE45"/>
      <c r="JFF45"/>
      <c r="JFG45"/>
      <c r="JFH45"/>
      <c r="JFI45"/>
      <c r="JFJ45"/>
      <c r="JFK45"/>
      <c r="JFL45"/>
      <c r="JFM45"/>
      <c r="JFN45"/>
      <c r="JFO45"/>
      <c r="JFP45"/>
      <c r="JFQ45"/>
      <c r="JFR45"/>
      <c r="JFS45"/>
      <c r="JFT45"/>
      <c r="JFU45"/>
      <c r="JFV45"/>
      <c r="JFW45"/>
      <c r="JFX45"/>
      <c r="JFY45"/>
      <c r="JFZ45"/>
      <c r="JGA45"/>
      <c r="JGB45"/>
      <c r="JGC45"/>
      <c r="JGD45"/>
      <c r="JGE45"/>
      <c r="JGF45"/>
      <c r="JGG45"/>
      <c r="JGH45"/>
      <c r="JGI45"/>
      <c r="JGJ45"/>
      <c r="JGK45"/>
      <c r="JGL45"/>
      <c r="JGM45"/>
      <c r="JGN45"/>
      <c r="JGO45"/>
      <c r="JGP45"/>
      <c r="JGQ45"/>
      <c r="JGR45"/>
      <c r="JGS45"/>
      <c r="JGT45"/>
      <c r="JGU45"/>
      <c r="JGV45"/>
      <c r="JGW45"/>
      <c r="JGX45"/>
      <c r="JGY45"/>
      <c r="JGZ45"/>
      <c r="JHA45"/>
      <c r="JHB45"/>
      <c r="JHC45"/>
      <c r="JHD45"/>
      <c r="JHE45"/>
      <c r="JHF45"/>
      <c r="JHG45"/>
      <c r="JHH45"/>
      <c r="JHI45"/>
      <c r="JHJ45"/>
      <c r="JHK45"/>
      <c r="JHL45"/>
      <c r="JHM45"/>
      <c r="JHN45"/>
      <c r="JHO45"/>
      <c r="JHP45"/>
      <c r="JHQ45"/>
      <c r="JHR45"/>
      <c r="JHS45"/>
      <c r="JHT45"/>
      <c r="JHU45"/>
      <c r="JHV45"/>
      <c r="JHW45"/>
      <c r="JHX45"/>
      <c r="JHY45"/>
      <c r="JHZ45"/>
      <c r="JIA45"/>
      <c r="JIB45"/>
      <c r="JIC45"/>
      <c r="JID45"/>
      <c r="JIE45"/>
      <c r="JIF45"/>
      <c r="JIG45"/>
      <c r="JIH45"/>
      <c r="JII45"/>
      <c r="JIJ45"/>
      <c r="JIK45"/>
      <c r="JIL45"/>
      <c r="JIM45"/>
      <c r="JIN45"/>
      <c r="JIO45"/>
      <c r="JIP45"/>
      <c r="JIQ45"/>
      <c r="JIR45"/>
      <c r="JIS45"/>
      <c r="JIT45"/>
      <c r="JIU45"/>
      <c r="JIV45"/>
      <c r="JIW45"/>
      <c r="JIX45"/>
      <c r="JIY45"/>
      <c r="JIZ45"/>
      <c r="JJA45"/>
      <c r="JJB45"/>
      <c r="JJC45"/>
      <c r="JJD45"/>
      <c r="JJE45"/>
      <c r="JJF45"/>
      <c r="JJG45"/>
      <c r="JJH45"/>
      <c r="JJI45"/>
      <c r="JJJ45"/>
      <c r="JJK45"/>
      <c r="JJL45"/>
      <c r="JJM45"/>
      <c r="JJN45"/>
      <c r="JJO45"/>
      <c r="JJP45"/>
      <c r="JJQ45"/>
      <c r="JJR45"/>
      <c r="JJS45"/>
      <c r="JJT45"/>
      <c r="JJU45"/>
      <c r="JJV45"/>
      <c r="JJW45"/>
      <c r="JJX45"/>
      <c r="JJY45"/>
      <c r="JJZ45"/>
      <c r="JKA45"/>
      <c r="JKB45"/>
      <c r="JKC45"/>
      <c r="JKD45"/>
      <c r="JKE45"/>
      <c r="JKF45"/>
      <c r="JKG45"/>
      <c r="JKH45"/>
      <c r="JKI45"/>
      <c r="JKJ45"/>
      <c r="JKK45"/>
      <c r="JKL45"/>
      <c r="JKM45"/>
      <c r="JKN45"/>
      <c r="JKO45"/>
      <c r="JKP45"/>
      <c r="JKQ45"/>
      <c r="JKR45"/>
      <c r="JKS45"/>
      <c r="JKT45"/>
      <c r="JKU45"/>
      <c r="JKV45"/>
      <c r="JKW45"/>
      <c r="JKX45"/>
      <c r="JKY45"/>
      <c r="JKZ45"/>
      <c r="JLA45"/>
      <c r="JLB45"/>
      <c r="JLC45"/>
      <c r="JLD45"/>
      <c r="JLE45"/>
      <c r="JLF45"/>
      <c r="JLG45"/>
      <c r="JLH45"/>
      <c r="JLI45"/>
      <c r="JLJ45"/>
      <c r="JLK45"/>
      <c r="JLL45"/>
      <c r="JLM45"/>
      <c r="JLN45"/>
      <c r="JLO45"/>
      <c r="JLP45"/>
      <c r="JLQ45"/>
      <c r="JLR45"/>
      <c r="JLS45"/>
      <c r="JLT45"/>
      <c r="JLU45"/>
      <c r="JLV45"/>
      <c r="JLW45"/>
      <c r="JLX45"/>
      <c r="JLY45"/>
      <c r="JLZ45"/>
      <c r="JMA45"/>
      <c r="JMB45"/>
      <c r="JMC45"/>
      <c r="JMD45"/>
      <c r="JME45"/>
      <c r="JMF45"/>
      <c r="JMG45"/>
      <c r="JMH45"/>
      <c r="JMI45"/>
      <c r="JMJ45"/>
      <c r="JMK45"/>
      <c r="JML45"/>
      <c r="JMM45"/>
      <c r="JMN45"/>
      <c r="JMO45"/>
      <c r="JMP45"/>
      <c r="JMQ45"/>
      <c r="JMR45"/>
      <c r="JMS45"/>
      <c r="JMT45"/>
      <c r="JMU45"/>
      <c r="JMV45"/>
      <c r="JMW45"/>
      <c r="JMX45"/>
      <c r="JMY45"/>
      <c r="JMZ45"/>
      <c r="JNA45"/>
      <c r="JNB45"/>
      <c r="JNC45"/>
      <c r="JND45"/>
      <c r="JNE45"/>
      <c r="JNF45"/>
      <c r="JNG45"/>
      <c r="JNH45"/>
      <c r="JNI45"/>
      <c r="JNJ45"/>
      <c r="JNK45"/>
      <c r="JNL45"/>
      <c r="JNM45"/>
      <c r="JNN45"/>
      <c r="JNO45"/>
      <c r="JNP45"/>
      <c r="JNQ45"/>
      <c r="JNR45"/>
      <c r="JNS45"/>
      <c r="JNT45"/>
      <c r="JNU45"/>
      <c r="JNV45"/>
      <c r="JNW45"/>
      <c r="JNX45"/>
      <c r="JNY45"/>
      <c r="JNZ45"/>
      <c r="JOA45"/>
      <c r="JOB45"/>
      <c r="JOC45"/>
      <c r="JOD45"/>
      <c r="JOE45"/>
      <c r="JOF45"/>
      <c r="JOG45"/>
      <c r="JOH45"/>
      <c r="JOI45"/>
      <c r="JOJ45"/>
      <c r="JOK45"/>
      <c r="JOL45"/>
      <c r="JOM45"/>
      <c r="JON45"/>
      <c r="JOO45"/>
      <c r="JOP45"/>
      <c r="JOQ45"/>
      <c r="JOR45"/>
      <c r="JOS45"/>
      <c r="JOT45"/>
      <c r="JOU45"/>
      <c r="JOV45"/>
      <c r="JOW45"/>
      <c r="JOX45"/>
      <c r="JOY45"/>
      <c r="JOZ45"/>
      <c r="JPA45"/>
      <c r="JPB45"/>
      <c r="JPC45"/>
      <c r="JPD45"/>
      <c r="JPE45"/>
      <c r="JPF45"/>
      <c r="JPG45"/>
      <c r="JPH45"/>
      <c r="JPI45"/>
      <c r="JPJ45"/>
      <c r="JPK45"/>
      <c r="JPL45"/>
      <c r="JPM45"/>
      <c r="JPN45"/>
      <c r="JPO45"/>
      <c r="JPP45"/>
      <c r="JPQ45"/>
      <c r="JPR45"/>
      <c r="JPS45"/>
      <c r="JPT45"/>
      <c r="JPU45"/>
      <c r="JPV45"/>
      <c r="JPW45"/>
      <c r="JPX45"/>
      <c r="JPY45"/>
      <c r="JPZ45"/>
      <c r="JQA45"/>
      <c r="JQB45"/>
      <c r="JQC45"/>
      <c r="JQD45"/>
      <c r="JQE45"/>
      <c r="JQF45"/>
      <c r="JQG45"/>
      <c r="JQH45"/>
      <c r="JQI45"/>
      <c r="JQJ45"/>
      <c r="JQK45"/>
      <c r="JQL45"/>
      <c r="JQM45"/>
      <c r="JQN45"/>
      <c r="JQO45"/>
      <c r="JQP45"/>
      <c r="JQQ45"/>
      <c r="JQR45"/>
      <c r="JQS45"/>
      <c r="JQT45"/>
      <c r="JQU45"/>
      <c r="JQV45"/>
      <c r="JQW45"/>
      <c r="JQX45"/>
      <c r="JQY45"/>
      <c r="JQZ45"/>
      <c r="JRA45"/>
      <c r="JRB45"/>
      <c r="JRC45"/>
      <c r="JRD45"/>
      <c r="JRE45"/>
      <c r="JRF45"/>
      <c r="JRG45"/>
      <c r="JRH45"/>
      <c r="JRI45"/>
      <c r="JRJ45"/>
      <c r="JRK45"/>
      <c r="JRL45"/>
      <c r="JRM45"/>
      <c r="JRN45"/>
      <c r="JRO45"/>
      <c r="JRP45"/>
      <c r="JRQ45"/>
      <c r="JRR45"/>
      <c r="JRS45"/>
      <c r="JRT45"/>
      <c r="JRU45"/>
      <c r="JRV45"/>
      <c r="JRW45"/>
      <c r="JRX45"/>
      <c r="JRY45"/>
      <c r="JRZ45"/>
      <c r="JSA45"/>
      <c r="JSB45"/>
      <c r="JSC45"/>
      <c r="JSD45"/>
      <c r="JSE45"/>
      <c r="JSF45"/>
      <c r="JSG45"/>
      <c r="JSH45"/>
      <c r="JSI45"/>
      <c r="JSJ45"/>
      <c r="JSK45"/>
      <c r="JSL45"/>
      <c r="JSM45"/>
      <c r="JSN45"/>
      <c r="JSO45"/>
      <c r="JSP45"/>
      <c r="JSQ45"/>
      <c r="JSR45"/>
      <c r="JSS45"/>
      <c r="JST45"/>
      <c r="JSU45"/>
      <c r="JSV45"/>
      <c r="JSW45"/>
      <c r="JSX45"/>
      <c r="JSY45"/>
      <c r="JSZ45"/>
      <c r="JTA45"/>
      <c r="JTB45"/>
      <c r="JTC45"/>
      <c r="JTD45"/>
      <c r="JTE45"/>
      <c r="JTF45"/>
      <c r="JTG45"/>
      <c r="JTH45"/>
      <c r="JTI45"/>
      <c r="JTJ45"/>
      <c r="JTK45"/>
      <c r="JTL45"/>
      <c r="JTM45"/>
      <c r="JTN45"/>
      <c r="JTO45"/>
      <c r="JTP45"/>
      <c r="JTQ45"/>
      <c r="JTR45"/>
      <c r="JTS45"/>
      <c r="JTT45"/>
      <c r="JTU45"/>
      <c r="JTV45"/>
      <c r="JTW45"/>
      <c r="JTX45"/>
      <c r="JTY45"/>
      <c r="JTZ45"/>
      <c r="JUA45"/>
      <c r="JUB45"/>
      <c r="JUC45"/>
      <c r="JUD45"/>
      <c r="JUE45"/>
      <c r="JUF45"/>
      <c r="JUG45"/>
      <c r="JUH45"/>
      <c r="JUI45"/>
      <c r="JUJ45"/>
      <c r="JUK45"/>
      <c r="JUL45"/>
      <c r="JUM45"/>
      <c r="JUN45"/>
      <c r="JUO45"/>
      <c r="JUP45"/>
      <c r="JUQ45"/>
      <c r="JUR45"/>
      <c r="JUS45"/>
      <c r="JUT45"/>
      <c r="JUU45"/>
      <c r="JUV45"/>
      <c r="JUW45"/>
      <c r="JUX45"/>
      <c r="JUY45"/>
      <c r="JUZ45"/>
      <c r="JVA45"/>
      <c r="JVB45"/>
      <c r="JVC45"/>
      <c r="JVD45"/>
      <c r="JVE45"/>
      <c r="JVF45"/>
      <c r="JVG45"/>
      <c r="JVH45"/>
      <c r="JVI45"/>
      <c r="JVJ45"/>
      <c r="JVK45"/>
      <c r="JVL45"/>
      <c r="JVM45"/>
      <c r="JVN45"/>
      <c r="JVO45"/>
      <c r="JVP45"/>
      <c r="JVQ45"/>
      <c r="JVR45"/>
      <c r="JVS45"/>
      <c r="JVT45"/>
      <c r="JVU45"/>
      <c r="JVV45"/>
      <c r="JVW45"/>
      <c r="JVX45"/>
      <c r="JVY45"/>
      <c r="JVZ45"/>
      <c r="JWA45"/>
      <c r="JWB45"/>
      <c r="JWC45"/>
      <c r="JWD45"/>
      <c r="JWE45"/>
      <c r="JWF45"/>
      <c r="JWG45"/>
      <c r="JWH45"/>
      <c r="JWI45"/>
      <c r="JWJ45"/>
      <c r="JWK45"/>
      <c r="JWL45"/>
      <c r="JWM45"/>
      <c r="JWN45"/>
      <c r="JWO45"/>
      <c r="JWP45"/>
      <c r="JWQ45"/>
      <c r="JWR45"/>
      <c r="JWS45"/>
      <c r="JWT45"/>
      <c r="JWU45"/>
      <c r="JWV45"/>
      <c r="JWW45"/>
      <c r="JWX45"/>
      <c r="JWY45"/>
      <c r="JWZ45"/>
      <c r="JXA45"/>
      <c r="JXB45"/>
      <c r="JXC45"/>
      <c r="JXD45"/>
      <c r="JXE45"/>
      <c r="JXF45"/>
      <c r="JXG45"/>
      <c r="JXH45"/>
      <c r="JXI45"/>
      <c r="JXJ45"/>
      <c r="JXK45"/>
      <c r="JXL45"/>
      <c r="JXM45"/>
      <c r="JXN45"/>
      <c r="JXO45"/>
      <c r="JXP45"/>
      <c r="JXQ45"/>
      <c r="JXR45"/>
      <c r="JXS45"/>
      <c r="JXT45"/>
      <c r="JXU45"/>
      <c r="JXV45"/>
      <c r="JXW45"/>
      <c r="JXX45"/>
      <c r="JXY45"/>
      <c r="JXZ45"/>
      <c r="JYA45"/>
      <c r="JYB45"/>
      <c r="JYC45"/>
      <c r="JYD45"/>
      <c r="JYE45"/>
      <c r="JYF45"/>
      <c r="JYG45"/>
      <c r="JYH45"/>
      <c r="JYI45"/>
      <c r="JYJ45"/>
      <c r="JYK45"/>
      <c r="JYL45"/>
      <c r="JYM45"/>
      <c r="JYN45"/>
      <c r="JYO45"/>
      <c r="JYP45"/>
      <c r="JYQ45"/>
      <c r="JYR45"/>
      <c r="JYS45"/>
      <c r="JYT45"/>
      <c r="JYU45"/>
      <c r="JYV45"/>
      <c r="JYW45"/>
      <c r="JYX45"/>
      <c r="JYY45"/>
      <c r="JYZ45"/>
      <c r="JZA45"/>
      <c r="JZB45"/>
      <c r="JZC45"/>
      <c r="JZD45"/>
      <c r="JZE45"/>
      <c r="JZF45"/>
      <c r="JZG45"/>
      <c r="JZH45"/>
      <c r="JZI45"/>
      <c r="JZJ45"/>
      <c r="JZK45"/>
      <c r="JZL45"/>
      <c r="JZM45"/>
      <c r="JZN45"/>
      <c r="JZO45"/>
      <c r="JZP45"/>
      <c r="JZQ45"/>
      <c r="JZR45"/>
      <c r="JZS45"/>
      <c r="JZT45"/>
      <c r="JZU45"/>
      <c r="JZV45"/>
      <c r="JZW45"/>
      <c r="JZX45"/>
      <c r="JZY45"/>
      <c r="JZZ45"/>
      <c r="KAA45"/>
      <c r="KAB45"/>
      <c r="KAC45"/>
      <c r="KAD45"/>
      <c r="KAE45"/>
      <c r="KAF45"/>
      <c r="KAG45"/>
      <c r="KAH45"/>
      <c r="KAI45"/>
      <c r="KAJ45"/>
      <c r="KAK45"/>
      <c r="KAL45"/>
      <c r="KAM45"/>
      <c r="KAN45"/>
      <c r="KAO45"/>
      <c r="KAP45"/>
      <c r="KAQ45"/>
      <c r="KAR45"/>
      <c r="KAS45"/>
      <c r="KAT45"/>
      <c r="KAU45"/>
      <c r="KAV45"/>
      <c r="KAW45"/>
      <c r="KAX45"/>
      <c r="KAY45"/>
      <c r="KAZ45"/>
      <c r="KBA45"/>
      <c r="KBB45"/>
      <c r="KBC45"/>
      <c r="KBD45"/>
      <c r="KBE45"/>
      <c r="KBF45"/>
      <c r="KBG45"/>
      <c r="KBH45"/>
      <c r="KBI45"/>
      <c r="KBJ45"/>
      <c r="KBK45"/>
      <c r="KBL45"/>
      <c r="KBM45"/>
      <c r="KBN45"/>
      <c r="KBO45"/>
      <c r="KBP45"/>
      <c r="KBQ45"/>
      <c r="KBR45"/>
      <c r="KBS45"/>
      <c r="KBT45"/>
      <c r="KBU45"/>
      <c r="KBV45"/>
      <c r="KBW45"/>
      <c r="KBX45"/>
      <c r="KBY45"/>
      <c r="KBZ45"/>
      <c r="KCA45"/>
      <c r="KCB45"/>
      <c r="KCC45"/>
      <c r="KCD45"/>
      <c r="KCE45"/>
      <c r="KCF45"/>
      <c r="KCG45"/>
      <c r="KCH45"/>
      <c r="KCI45"/>
      <c r="KCJ45"/>
      <c r="KCK45"/>
      <c r="KCL45"/>
      <c r="KCM45"/>
      <c r="KCN45"/>
      <c r="KCO45"/>
      <c r="KCP45"/>
      <c r="KCQ45"/>
      <c r="KCR45"/>
      <c r="KCS45"/>
      <c r="KCT45"/>
      <c r="KCU45"/>
      <c r="KCV45"/>
      <c r="KCW45"/>
      <c r="KCX45"/>
      <c r="KCY45"/>
      <c r="KCZ45"/>
      <c r="KDA45"/>
      <c r="KDB45"/>
      <c r="KDC45"/>
      <c r="KDD45"/>
      <c r="KDE45"/>
      <c r="KDF45"/>
      <c r="KDG45"/>
      <c r="KDH45"/>
      <c r="KDI45"/>
      <c r="KDJ45"/>
      <c r="KDK45"/>
      <c r="KDL45"/>
      <c r="KDM45"/>
      <c r="KDN45"/>
      <c r="KDO45"/>
      <c r="KDP45"/>
      <c r="KDQ45"/>
      <c r="KDR45"/>
      <c r="KDS45"/>
      <c r="KDT45"/>
      <c r="KDU45"/>
      <c r="KDV45"/>
      <c r="KDW45"/>
      <c r="KDX45"/>
      <c r="KDY45"/>
      <c r="KDZ45"/>
      <c r="KEA45"/>
      <c r="KEB45"/>
      <c r="KEC45"/>
      <c r="KED45"/>
      <c r="KEE45"/>
      <c r="KEF45"/>
      <c r="KEG45"/>
      <c r="KEH45"/>
      <c r="KEI45"/>
      <c r="KEJ45"/>
      <c r="KEK45"/>
      <c r="KEL45"/>
      <c r="KEM45"/>
      <c r="KEN45"/>
      <c r="KEO45"/>
      <c r="KEP45"/>
      <c r="KEQ45"/>
      <c r="KER45"/>
      <c r="KES45"/>
      <c r="KET45"/>
      <c r="KEU45"/>
      <c r="KEV45"/>
      <c r="KEW45"/>
      <c r="KEX45"/>
      <c r="KEY45"/>
      <c r="KEZ45"/>
      <c r="KFA45"/>
      <c r="KFB45"/>
      <c r="KFC45"/>
      <c r="KFD45"/>
      <c r="KFE45"/>
      <c r="KFF45"/>
      <c r="KFG45"/>
      <c r="KFH45"/>
      <c r="KFI45"/>
      <c r="KFJ45"/>
      <c r="KFK45"/>
      <c r="KFL45"/>
      <c r="KFM45"/>
      <c r="KFN45"/>
      <c r="KFO45"/>
      <c r="KFP45"/>
      <c r="KFQ45"/>
      <c r="KFR45"/>
      <c r="KFS45"/>
      <c r="KFT45"/>
      <c r="KFU45"/>
      <c r="KFV45"/>
      <c r="KFW45"/>
      <c r="KFX45"/>
      <c r="KFY45"/>
      <c r="KFZ45"/>
      <c r="KGA45"/>
      <c r="KGB45"/>
      <c r="KGC45"/>
      <c r="KGD45"/>
      <c r="KGE45"/>
      <c r="KGF45"/>
      <c r="KGG45"/>
      <c r="KGH45"/>
      <c r="KGI45"/>
      <c r="KGJ45"/>
      <c r="KGK45"/>
      <c r="KGL45"/>
      <c r="KGM45"/>
      <c r="KGN45"/>
      <c r="KGO45"/>
      <c r="KGP45"/>
      <c r="KGQ45"/>
      <c r="KGR45"/>
      <c r="KGS45"/>
      <c r="KGT45"/>
      <c r="KGU45"/>
      <c r="KGV45"/>
      <c r="KGW45"/>
      <c r="KGX45"/>
      <c r="KGY45"/>
      <c r="KGZ45"/>
      <c r="KHA45"/>
      <c r="KHB45"/>
      <c r="KHC45"/>
      <c r="KHD45"/>
      <c r="KHE45"/>
      <c r="KHF45"/>
      <c r="KHG45"/>
      <c r="KHH45"/>
      <c r="KHI45"/>
      <c r="KHJ45"/>
      <c r="KHK45"/>
      <c r="KHL45"/>
      <c r="KHM45"/>
      <c r="KHN45"/>
      <c r="KHO45"/>
      <c r="KHP45"/>
      <c r="KHQ45"/>
      <c r="KHR45"/>
      <c r="KHS45"/>
      <c r="KHT45"/>
      <c r="KHU45"/>
      <c r="KHV45"/>
      <c r="KHW45"/>
      <c r="KHX45"/>
      <c r="KHY45"/>
      <c r="KHZ45"/>
      <c r="KIA45"/>
      <c r="KIB45"/>
      <c r="KIC45"/>
      <c r="KID45"/>
      <c r="KIE45"/>
      <c r="KIF45"/>
      <c r="KIG45"/>
      <c r="KIH45"/>
      <c r="KII45"/>
      <c r="KIJ45"/>
      <c r="KIK45"/>
      <c r="KIL45"/>
      <c r="KIM45"/>
      <c r="KIN45"/>
      <c r="KIO45"/>
      <c r="KIP45"/>
      <c r="KIQ45"/>
      <c r="KIR45"/>
      <c r="KIS45"/>
      <c r="KIT45"/>
      <c r="KIU45"/>
      <c r="KIV45"/>
      <c r="KIW45"/>
      <c r="KIX45"/>
      <c r="KIY45"/>
      <c r="KIZ45"/>
      <c r="KJA45"/>
      <c r="KJB45"/>
      <c r="KJC45"/>
      <c r="KJD45"/>
      <c r="KJE45"/>
      <c r="KJF45"/>
      <c r="KJG45"/>
      <c r="KJH45"/>
      <c r="KJI45"/>
      <c r="KJJ45"/>
      <c r="KJK45"/>
      <c r="KJL45"/>
      <c r="KJM45"/>
      <c r="KJN45"/>
      <c r="KJO45"/>
      <c r="KJP45"/>
      <c r="KJQ45"/>
      <c r="KJR45"/>
      <c r="KJS45"/>
      <c r="KJT45"/>
      <c r="KJU45"/>
      <c r="KJV45"/>
      <c r="KJW45"/>
      <c r="KJX45"/>
      <c r="KJY45"/>
      <c r="KJZ45"/>
      <c r="KKA45"/>
      <c r="KKB45"/>
      <c r="KKC45"/>
      <c r="KKD45"/>
      <c r="KKE45"/>
      <c r="KKF45"/>
      <c r="KKG45"/>
      <c r="KKH45"/>
      <c r="KKI45"/>
      <c r="KKJ45"/>
      <c r="KKK45"/>
      <c r="KKL45"/>
      <c r="KKM45"/>
      <c r="KKN45"/>
      <c r="KKO45"/>
      <c r="KKP45"/>
      <c r="KKQ45"/>
      <c r="KKR45"/>
      <c r="KKS45"/>
      <c r="KKT45"/>
      <c r="KKU45"/>
      <c r="KKV45"/>
      <c r="KKW45"/>
      <c r="KKX45"/>
      <c r="KKY45"/>
      <c r="KKZ45"/>
      <c r="KLA45"/>
      <c r="KLB45"/>
      <c r="KLC45"/>
      <c r="KLD45"/>
      <c r="KLE45"/>
      <c r="KLF45"/>
      <c r="KLG45"/>
      <c r="KLH45"/>
      <c r="KLI45"/>
      <c r="KLJ45"/>
      <c r="KLK45"/>
      <c r="KLL45"/>
      <c r="KLM45"/>
      <c r="KLN45"/>
      <c r="KLO45"/>
      <c r="KLP45"/>
      <c r="KLQ45"/>
      <c r="KLR45"/>
      <c r="KLS45"/>
      <c r="KLT45"/>
      <c r="KLU45"/>
      <c r="KLV45"/>
      <c r="KLW45"/>
      <c r="KLX45"/>
      <c r="KLY45"/>
      <c r="KLZ45"/>
      <c r="KMA45"/>
      <c r="KMB45"/>
      <c r="KMC45"/>
      <c r="KMD45"/>
      <c r="KME45"/>
      <c r="KMF45"/>
      <c r="KMG45"/>
      <c r="KMH45"/>
      <c r="KMI45"/>
      <c r="KMJ45"/>
      <c r="KMK45"/>
      <c r="KML45"/>
      <c r="KMM45"/>
      <c r="KMN45"/>
      <c r="KMO45"/>
      <c r="KMP45"/>
      <c r="KMQ45"/>
      <c r="KMR45"/>
      <c r="KMS45"/>
      <c r="KMT45"/>
      <c r="KMU45"/>
      <c r="KMV45"/>
      <c r="KMW45"/>
      <c r="KMX45"/>
      <c r="KMY45"/>
      <c r="KMZ45"/>
      <c r="KNA45"/>
      <c r="KNB45"/>
      <c r="KNC45"/>
      <c r="KND45"/>
      <c r="KNE45"/>
      <c r="KNF45"/>
      <c r="KNG45"/>
      <c r="KNH45"/>
      <c r="KNI45"/>
      <c r="KNJ45"/>
      <c r="KNK45"/>
      <c r="KNL45"/>
      <c r="KNM45"/>
      <c r="KNN45"/>
      <c r="KNO45"/>
      <c r="KNP45"/>
      <c r="KNQ45"/>
      <c r="KNR45"/>
      <c r="KNS45"/>
      <c r="KNT45"/>
      <c r="KNU45"/>
      <c r="KNV45"/>
      <c r="KNW45"/>
      <c r="KNX45"/>
      <c r="KNY45"/>
      <c r="KNZ45"/>
      <c r="KOA45"/>
      <c r="KOB45"/>
      <c r="KOC45"/>
      <c r="KOD45"/>
      <c r="KOE45"/>
      <c r="KOF45"/>
      <c r="KOG45"/>
      <c r="KOH45"/>
      <c r="KOI45"/>
      <c r="KOJ45"/>
      <c r="KOK45"/>
      <c r="KOL45"/>
      <c r="KOM45"/>
      <c r="KON45"/>
      <c r="KOO45"/>
      <c r="KOP45"/>
      <c r="KOQ45"/>
      <c r="KOR45"/>
      <c r="KOS45"/>
      <c r="KOT45"/>
      <c r="KOU45"/>
      <c r="KOV45"/>
      <c r="KOW45"/>
      <c r="KOX45"/>
      <c r="KOY45"/>
      <c r="KOZ45"/>
      <c r="KPA45"/>
      <c r="KPB45"/>
      <c r="KPC45"/>
      <c r="KPD45"/>
      <c r="KPE45"/>
      <c r="KPF45"/>
      <c r="KPG45"/>
      <c r="KPH45"/>
      <c r="KPI45"/>
      <c r="KPJ45"/>
      <c r="KPK45"/>
      <c r="KPL45"/>
      <c r="KPM45"/>
      <c r="KPN45"/>
      <c r="KPO45"/>
      <c r="KPP45"/>
      <c r="KPQ45"/>
      <c r="KPR45"/>
      <c r="KPS45"/>
      <c r="KPT45"/>
      <c r="KPU45"/>
      <c r="KPV45"/>
      <c r="KPW45"/>
      <c r="KPX45"/>
      <c r="KPY45"/>
      <c r="KPZ45"/>
      <c r="KQA45"/>
      <c r="KQB45"/>
      <c r="KQC45"/>
      <c r="KQD45"/>
      <c r="KQE45"/>
      <c r="KQF45"/>
      <c r="KQG45"/>
      <c r="KQH45"/>
      <c r="KQI45"/>
      <c r="KQJ45"/>
      <c r="KQK45"/>
      <c r="KQL45"/>
      <c r="KQM45"/>
      <c r="KQN45"/>
      <c r="KQO45"/>
      <c r="KQP45"/>
      <c r="KQQ45"/>
      <c r="KQR45"/>
      <c r="KQS45"/>
      <c r="KQT45"/>
      <c r="KQU45"/>
      <c r="KQV45"/>
      <c r="KQW45"/>
      <c r="KQX45"/>
      <c r="KQY45"/>
      <c r="KQZ45"/>
      <c r="KRA45"/>
      <c r="KRB45"/>
      <c r="KRC45"/>
      <c r="KRD45"/>
      <c r="KRE45"/>
      <c r="KRF45"/>
      <c r="KRG45"/>
      <c r="KRH45"/>
      <c r="KRI45"/>
      <c r="KRJ45"/>
      <c r="KRK45"/>
      <c r="KRL45"/>
      <c r="KRM45"/>
      <c r="KRN45"/>
      <c r="KRO45"/>
      <c r="KRP45"/>
      <c r="KRQ45"/>
      <c r="KRR45"/>
      <c r="KRS45"/>
      <c r="KRT45"/>
      <c r="KRU45"/>
      <c r="KRV45"/>
      <c r="KRW45"/>
      <c r="KRX45"/>
      <c r="KRY45"/>
      <c r="KRZ45"/>
      <c r="KSA45"/>
      <c r="KSB45"/>
      <c r="KSC45"/>
      <c r="KSD45"/>
      <c r="KSE45"/>
      <c r="KSF45"/>
      <c r="KSG45"/>
      <c r="KSH45"/>
      <c r="KSI45"/>
      <c r="KSJ45"/>
      <c r="KSK45"/>
      <c r="KSL45"/>
      <c r="KSM45"/>
      <c r="KSN45"/>
      <c r="KSO45"/>
      <c r="KSP45"/>
      <c r="KSQ45"/>
      <c r="KSR45"/>
      <c r="KSS45"/>
      <c r="KST45"/>
      <c r="KSU45"/>
      <c r="KSV45"/>
      <c r="KSW45"/>
      <c r="KSX45"/>
      <c r="KSY45"/>
      <c r="KSZ45"/>
      <c r="KTA45"/>
      <c r="KTB45"/>
      <c r="KTC45"/>
      <c r="KTD45"/>
      <c r="KTE45"/>
      <c r="KTF45"/>
      <c r="KTG45"/>
      <c r="KTH45"/>
      <c r="KTI45"/>
      <c r="KTJ45"/>
      <c r="KTK45"/>
      <c r="KTL45"/>
      <c r="KTM45"/>
      <c r="KTN45"/>
      <c r="KTO45"/>
      <c r="KTP45"/>
      <c r="KTQ45"/>
      <c r="KTR45"/>
      <c r="KTS45"/>
      <c r="KTT45"/>
      <c r="KTU45"/>
      <c r="KTV45"/>
      <c r="KTW45"/>
      <c r="KTX45"/>
      <c r="KTY45"/>
      <c r="KTZ45"/>
      <c r="KUA45"/>
      <c r="KUB45"/>
      <c r="KUC45"/>
      <c r="KUD45"/>
      <c r="KUE45"/>
      <c r="KUF45"/>
      <c r="KUG45"/>
      <c r="KUH45"/>
      <c r="KUI45"/>
      <c r="KUJ45"/>
      <c r="KUK45"/>
      <c r="KUL45"/>
      <c r="KUM45"/>
      <c r="KUN45"/>
      <c r="KUO45"/>
      <c r="KUP45"/>
      <c r="KUQ45"/>
      <c r="KUR45"/>
      <c r="KUS45"/>
      <c r="KUT45"/>
      <c r="KUU45"/>
      <c r="KUV45"/>
      <c r="KUW45"/>
      <c r="KUX45"/>
      <c r="KUY45"/>
      <c r="KUZ45"/>
      <c r="KVA45"/>
      <c r="KVB45"/>
      <c r="KVC45"/>
      <c r="KVD45"/>
      <c r="KVE45"/>
      <c r="KVF45"/>
      <c r="KVG45"/>
      <c r="KVH45"/>
      <c r="KVI45"/>
      <c r="KVJ45"/>
      <c r="KVK45"/>
      <c r="KVL45"/>
      <c r="KVM45"/>
      <c r="KVN45"/>
      <c r="KVO45"/>
      <c r="KVP45"/>
      <c r="KVQ45"/>
      <c r="KVR45"/>
      <c r="KVS45"/>
      <c r="KVT45"/>
      <c r="KVU45"/>
      <c r="KVV45"/>
      <c r="KVW45"/>
      <c r="KVX45"/>
      <c r="KVY45"/>
      <c r="KVZ45"/>
      <c r="KWA45"/>
      <c r="KWB45"/>
      <c r="KWC45"/>
      <c r="KWD45"/>
      <c r="KWE45"/>
      <c r="KWF45"/>
      <c r="KWG45"/>
      <c r="KWH45"/>
      <c r="KWI45"/>
      <c r="KWJ45"/>
      <c r="KWK45"/>
      <c r="KWL45"/>
      <c r="KWM45"/>
      <c r="KWN45"/>
      <c r="KWO45"/>
      <c r="KWP45"/>
      <c r="KWQ45"/>
      <c r="KWR45"/>
      <c r="KWS45"/>
      <c r="KWT45"/>
      <c r="KWU45"/>
      <c r="KWV45"/>
      <c r="KWW45"/>
      <c r="KWX45"/>
      <c r="KWY45"/>
      <c r="KWZ45"/>
      <c r="KXA45"/>
      <c r="KXB45"/>
      <c r="KXC45"/>
      <c r="KXD45"/>
      <c r="KXE45"/>
      <c r="KXF45"/>
      <c r="KXG45"/>
      <c r="KXH45"/>
      <c r="KXI45"/>
      <c r="KXJ45"/>
      <c r="KXK45"/>
      <c r="KXL45"/>
      <c r="KXM45"/>
      <c r="KXN45"/>
      <c r="KXO45"/>
      <c r="KXP45"/>
      <c r="KXQ45"/>
      <c r="KXR45"/>
      <c r="KXS45"/>
      <c r="KXT45"/>
      <c r="KXU45"/>
      <c r="KXV45"/>
      <c r="KXW45"/>
      <c r="KXX45"/>
      <c r="KXY45"/>
      <c r="KXZ45"/>
      <c r="KYA45"/>
      <c r="KYB45"/>
      <c r="KYC45"/>
      <c r="KYD45"/>
      <c r="KYE45"/>
      <c r="KYF45"/>
      <c r="KYG45"/>
      <c r="KYH45"/>
      <c r="KYI45"/>
      <c r="KYJ45"/>
      <c r="KYK45"/>
      <c r="KYL45"/>
      <c r="KYM45"/>
      <c r="KYN45"/>
      <c r="KYO45"/>
      <c r="KYP45"/>
      <c r="KYQ45"/>
      <c r="KYR45"/>
      <c r="KYS45"/>
      <c r="KYT45"/>
      <c r="KYU45"/>
      <c r="KYV45"/>
      <c r="KYW45"/>
      <c r="KYX45"/>
      <c r="KYY45"/>
      <c r="KYZ45"/>
      <c r="KZA45"/>
      <c r="KZB45"/>
      <c r="KZC45"/>
      <c r="KZD45"/>
      <c r="KZE45"/>
      <c r="KZF45"/>
      <c r="KZG45"/>
      <c r="KZH45"/>
      <c r="KZI45"/>
      <c r="KZJ45"/>
      <c r="KZK45"/>
      <c r="KZL45"/>
      <c r="KZM45"/>
      <c r="KZN45"/>
      <c r="KZO45"/>
      <c r="KZP45"/>
      <c r="KZQ45"/>
      <c r="KZR45"/>
      <c r="KZS45"/>
      <c r="KZT45"/>
      <c r="KZU45"/>
      <c r="KZV45"/>
      <c r="KZW45"/>
      <c r="KZX45"/>
      <c r="KZY45"/>
      <c r="KZZ45"/>
      <c r="LAA45"/>
      <c r="LAB45"/>
      <c r="LAC45"/>
      <c r="LAD45"/>
      <c r="LAE45"/>
      <c r="LAF45"/>
      <c r="LAG45"/>
      <c r="LAH45"/>
      <c r="LAI45"/>
      <c r="LAJ45"/>
      <c r="LAK45"/>
      <c r="LAL45"/>
      <c r="LAM45"/>
      <c r="LAN45"/>
      <c r="LAO45"/>
      <c r="LAP45"/>
      <c r="LAQ45"/>
      <c r="LAR45"/>
      <c r="LAS45"/>
      <c r="LAT45"/>
      <c r="LAU45"/>
      <c r="LAV45"/>
      <c r="LAW45"/>
      <c r="LAX45"/>
      <c r="LAY45"/>
      <c r="LAZ45"/>
      <c r="LBA45"/>
      <c r="LBB45"/>
      <c r="LBC45"/>
      <c r="LBD45"/>
      <c r="LBE45"/>
      <c r="LBF45"/>
      <c r="LBG45"/>
      <c r="LBH45"/>
      <c r="LBI45"/>
      <c r="LBJ45"/>
      <c r="LBK45"/>
      <c r="LBL45"/>
      <c r="LBM45"/>
      <c r="LBN45"/>
      <c r="LBO45"/>
      <c r="LBP45"/>
      <c r="LBQ45"/>
      <c r="LBR45"/>
      <c r="LBS45"/>
      <c r="LBT45"/>
      <c r="LBU45"/>
      <c r="LBV45"/>
      <c r="LBW45"/>
      <c r="LBX45"/>
      <c r="LBY45"/>
      <c r="LBZ45"/>
      <c r="LCA45"/>
      <c r="LCB45"/>
      <c r="LCC45"/>
      <c r="LCD45"/>
      <c r="LCE45"/>
      <c r="LCF45"/>
      <c r="LCG45"/>
      <c r="LCH45"/>
      <c r="LCI45"/>
      <c r="LCJ45"/>
      <c r="LCK45"/>
      <c r="LCL45"/>
      <c r="LCM45"/>
      <c r="LCN45"/>
      <c r="LCO45"/>
      <c r="LCP45"/>
      <c r="LCQ45"/>
      <c r="LCR45"/>
      <c r="LCS45"/>
      <c r="LCT45"/>
      <c r="LCU45"/>
      <c r="LCV45"/>
      <c r="LCW45"/>
      <c r="LCX45"/>
      <c r="LCY45"/>
      <c r="LCZ45"/>
      <c r="LDA45"/>
      <c r="LDB45"/>
      <c r="LDC45"/>
      <c r="LDD45"/>
      <c r="LDE45"/>
      <c r="LDF45"/>
      <c r="LDG45"/>
      <c r="LDH45"/>
      <c r="LDI45"/>
      <c r="LDJ45"/>
      <c r="LDK45"/>
      <c r="LDL45"/>
      <c r="LDM45"/>
      <c r="LDN45"/>
      <c r="LDO45"/>
      <c r="LDP45"/>
      <c r="LDQ45"/>
      <c r="LDR45"/>
      <c r="LDS45"/>
      <c r="LDT45"/>
      <c r="LDU45"/>
      <c r="LDV45"/>
      <c r="LDW45"/>
      <c r="LDX45"/>
      <c r="LDY45"/>
      <c r="LDZ45"/>
      <c r="LEA45"/>
      <c r="LEB45"/>
      <c r="LEC45"/>
      <c r="LED45"/>
      <c r="LEE45"/>
      <c r="LEF45"/>
      <c r="LEG45"/>
      <c r="LEH45"/>
      <c r="LEI45"/>
      <c r="LEJ45"/>
      <c r="LEK45"/>
      <c r="LEL45"/>
      <c r="LEM45"/>
      <c r="LEN45"/>
      <c r="LEO45"/>
      <c r="LEP45"/>
      <c r="LEQ45"/>
      <c r="LER45"/>
      <c r="LES45"/>
      <c r="LET45"/>
      <c r="LEU45"/>
      <c r="LEV45"/>
      <c r="LEW45"/>
      <c r="LEX45"/>
      <c r="LEY45"/>
      <c r="LEZ45"/>
      <c r="LFA45"/>
      <c r="LFB45"/>
      <c r="LFC45"/>
      <c r="LFD45"/>
      <c r="LFE45"/>
      <c r="LFF45"/>
      <c r="LFG45"/>
      <c r="LFH45"/>
      <c r="LFI45"/>
      <c r="LFJ45"/>
      <c r="LFK45"/>
      <c r="LFL45"/>
      <c r="LFM45"/>
      <c r="LFN45"/>
      <c r="LFO45"/>
      <c r="LFP45"/>
      <c r="LFQ45"/>
      <c r="LFR45"/>
      <c r="LFS45"/>
      <c r="LFT45"/>
      <c r="LFU45"/>
      <c r="LFV45"/>
      <c r="LFW45"/>
      <c r="LFX45"/>
      <c r="LFY45"/>
      <c r="LFZ45"/>
      <c r="LGA45"/>
      <c r="LGB45"/>
      <c r="LGC45"/>
      <c r="LGD45"/>
      <c r="LGE45"/>
      <c r="LGF45"/>
      <c r="LGG45"/>
      <c r="LGH45"/>
      <c r="LGI45"/>
      <c r="LGJ45"/>
      <c r="LGK45"/>
      <c r="LGL45"/>
      <c r="LGM45"/>
      <c r="LGN45"/>
      <c r="LGO45"/>
      <c r="LGP45"/>
      <c r="LGQ45"/>
      <c r="LGR45"/>
      <c r="LGS45"/>
      <c r="LGT45"/>
      <c r="LGU45"/>
      <c r="LGV45"/>
      <c r="LGW45"/>
      <c r="LGX45"/>
      <c r="LGY45"/>
      <c r="LGZ45"/>
      <c r="LHA45"/>
      <c r="LHB45"/>
      <c r="LHC45"/>
      <c r="LHD45"/>
      <c r="LHE45"/>
      <c r="LHF45"/>
      <c r="LHG45"/>
      <c r="LHH45"/>
      <c r="LHI45"/>
      <c r="LHJ45"/>
      <c r="LHK45"/>
      <c r="LHL45"/>
      <c r="LHM45"/>
      <c r="LHN45"/>
      <c r="LHO45"/>
      <c r="LHP45"/>
      <c r="LHQ45"/>
      <c r="LHR45"/>
      <c r="LHS45"/>
      <c r="LHT45"/>
      <c r="LHU45"/>
      <c r="LHV45"/>
      <c r="LHW45"/>
      <c r="LHX45"/>
      <c r="LHY45"/>
      <c r="LHZ45"/>
      <c r="LIA45"/>
      <c r="LIB45"/>
      <c r="LIC45"/>
      <c r="LID45"/>
      <c r="LIE45"/>
      <c r="LIF45"/>
      <c r="LIG45"/>
      <c r="LIH45"/>
      <c r="LII45"/>
      <c r="LIJ45"/>
      <c r="LIK45"/>
      <c r="LIL45"/>
      <c r="LIM45"/>
      <c r="LIN45"/>
      <c r="LIO45"/>
      <c r="LIP45"/>
      <c r="LIQ45"/>
      <c r="LIR45"/>
      <c r="LIS45"/>
      <c r="LIT45"/>
      <c r="LIU45"/>
      <c r="LIV45"/>
      <c r="LIW45"/>
      <c r="LIX45"/>
      <c r="LIY45"/>
      <c r="LIZ45"/>
      <c r="LJA45"/>
      <c r="LJB45"/>
      <c r="LJC45"/>
      <c r="LJD45"/>
      <c r="LJE45"/>
      <c r="LJF45"/>
      <c r="LJG45"/>
      <c r="LJH45"/>
      <c r="LJI45"/>
      <c r="LJJ45"/>
      <c r="LJK45"/>
      <c r="LJL45"/>
      <c r="LJM45"/>
      <c r="LJN45"/>
      <c r="LJO45"/>
      <c r="LJP45"/>
      <c r="LJQ45"/>
      <c r="LJR45"/>
      <c r="LJS45"/>
      <c r="LJT45"/>
      <c r="LJU45"/>
      <c r="LJV45"/>
      <c r="LJW45"/>
      <c r="LJX45"/>
      <c r="LJY45"/>
      <c r="LJZ45"/>
      <c r="LKA45"/>
      <c r="LKB45"/>
      <c r="LKC45"/>
      <c r="LKD45"/>
      <c r="LKE45"/>
      <c r="LKF45"/>
      <c r="LKG45"/>
      <c r="LKH45"/>
      <c r="LKI45"/>
      <c r="LKJ45"/>
      <c r="LKK45"/>
      <c r="LKL45"/>
      <c r="LKM45"/>
      <c r="LKN45"/>
      <c r="LKO45"/>
      <c r="LKP45"/>
      <c r="LKQ45"/>
      <c r="LKR45"/>
      <c r="LKS45"/>
      <c r="LKT45"/>
      <c r="LKU45"/>
      <c r="LKV45"/>
      <c r="LKW45"/>
      <c r="LKX45"/>
      <c r="LKY45"/>
      <c r="LKZ45"/>
      <c r="LLA45"/>
      <c r="LLB45"/>
      <c r="LLC45"/>
      <c r="LLD45"/>
      <c r="LLE45"/>
      <c r="LLF45"/>
      <c r="LLG45"/>
      <c r="LLH45"/>
      <c r="LLI45"/>
      <c r="LLJ45"/>
      <c r="LLK45"/>
      <c r="LLL45"/>
      <c r="LLM45"/>
      <c r="LLN45"/>
      <c r="LLO45"/>
      <c r="LLP45"/>
      <c r="LLQ45"/>
      <c r="LLR45"/>
      <c r="LLS45"/>
      <c r="LLT45"/>
      <c r="LLU45"/>
      <c r="LLV45"/>
      <c r="LLW45"/>
      <c r="LLX45"/>
      <c r="LLY45"/>
      <c r="LLZ45"/>
      <c r="LMA45"/>
      <c r="LMB45"/>
      <c r="LMC45"/>
      <c r="LMD45"/>
      <c r="LME45"/>
      <c r="LMF45"/>
      <c r="LMG45"/>
      <c r="LMH45"/>
      <c r="LMI45"/>
      <c r="LMJ45"/>
      <c r="LMK45"/>
      <c r="LML45"/>
      <c r="LMM45"/>
      <c r="LMN45"/>
      <c r="LMO45"/>
      <c r="LMP45"/>
      <c r="LMQ45"/>
      <c r="LMR45"/>
      <c r="LMS45"/>
      <c r="LMT45"/>
      <c r="LMU45"/>
      <c r="LMV45"/>
      <c r="LMW45"/>
      <c r="LMX45"/>
      <c r="LMY45"/>
      <c r="LMZ45"/>
      <c r="LNA45"/>
      <c r="LNB45"/>
      <c r="LNC45"/>
      <c r="LND45"/>
      <c r="LNE45"/>
      <c r="LNF45"/>
      <c r="LNG45"/>
      <c r="LNH45"/>
      <c r="LNI45"/>
      <c r="LNJ45"/>
      <c r="LNK45"/>
      <c r="LNL45"/>
      <c r="LNM45"/>
      <c r="LNN45"/>
      <c r="LNO45"/>
      <c r="LNP45"/>
      <c r="LNQ45"/>
      <c r="LNR45"/>
      <c r="LNS45"/>
      <c r="LNT45"/>
      <c r="LNU45"/>
      <c r="LNV45"/>
      <c r="LNW45"/>
      <c r="LNX45"/>
      <c r="LNY45"/>
      <c r="LNZ45"/>
      <c r="LOA45"/>
      <c r="LOB45"/>
      <c r="LOC45"/>
      <c r="LOD45"/>
      <c r="LOE45"/>
      <c r="LOF45"/>
      <c r="LOG45"/>
      <c r="LOH45"/>
      <c r="LOI45"/>
      <c r="LOJ45"/>
      <c r="LOK45"/>
      <c r="LOL45"/>
      <c r="LOM45"/>
      <c r="LON45"/>
      <c r="LOO45"/>
      <c r="LOP45"/>
      <c r="LOQ45"/>
      <c r="LOR45"/>
      <c r="LOS45"/>
      <c r="LOT45"/>
      <c r="LOU45"/>
      <c r="LOV45"/>
      <c r="LOW45"/>
      <c r="LOX45"/>
      <c r="LOY45"/>
      <c r="LOZ45"/>
      <c r="LPA45"/>
      <c r="LPB45"/>
      <c r="LPC45"/>
      <c r="LPD45"/>
      <c r="LPE45"/>
      <c r="LPF45"/>
      <c r="LPG45"/>
      <c r="LPH45"/>
      <c r="LPI45"/>
      <c r="LPJ45"/>
      <c r="LPK45"/>
      <c r="LPL45"/>
      <c r="LPM45"/>
      <c r="LPN45"/>
      <c r="LPO45"/>
      <c r="LPP45"/>
      <c r="LPQ45"/>
      <c r="LPR45"/>
      <c r="LPS45"/>
      <c r="LPT45"/>
      <c r="LPU45"/>
      <c r="LPV45"/>
      <c r="LPW45"/>
      <c r="LPX45"/>
      <c r="LPY45"/>
      <c r="LPZ45"/>
      <c r="LQA45"/>
      <c r="LQB45"/>
      <c r="LQC45"/>
      <c r="LQD45"/>
      <c r="LQE45"/>
      <c r="LQF45"/>
      <c r="LQG45"/>
      <c r="LQH45"/>
      <c r="LQI45"/>
      <c r="LQJ45"/>
      <c r="LQK45"/>
      <c r="LQL45"/>
      <c r="LQM45"/>
      <c r="LQN45"/>
      <c r="LQO45"/>
      <c r="LQP45"/>
      <c r="LQQ45"/>
      <c r="LQR45"/>
      <c r="LQS45"/>
      <c r="LQT45"/>
      <c r="LQU45"/>
      <c r="LQV45"/>
      <c r="LQW45"/>
      <c r="LQX45"/>
      <c r="LQY45"/>
      <c r="LQZ45"/>
      <c r="LRA45"/>
      <c r="LRB45"/>
      <c r="LRC45"/>
      <c r="LRD45"/>
      <c r="LRE45"/>
      <c r="LRF45"/>
      <c r="LRG45"/>
      <c r="LRH45"/>
      <c r="LRI45"/>
      <c r="LRJ45"/>
      <c r="LRK45"/>
      <c r="LRL45"/>
      <c r="LRM45"/>
      <c r="LRN45"/>
      <c r="LRO45"/>
      <c r="LRP45"/>
      <c r="LRQ45"/>
      <c r="LRR45"/>
      <c r="LRS45"/>
      <c r="LRT45"/>
      <c r="LRU45"/>
      <c r="LRV45"/>
      <c r="LRW45"/>
      <c r="LRX45"/>
      <c r="LRY45"/>
      <c r="LRZ45"/>
      <c r="LSA45"/>
      <c r="LSB45"/>
      <c r="LSC45"/>
      <c r="LSD45"/>
      <c r="LSE45"/>
      <c r="LSF45"/>
      <c r="LSG45"/>
      <c r="LSH45"/>
      <c r="LSI45"/>
      <c r="LSJ45"/>
      <c r="LSK45"/>
      <c r="LSL45"/>
      <c r="LSM45"/>
      <c r="LSN45"/>
      <c r="LSO45"/>
      <c r="LSP45"/>
      <c r="LSQ45"/>
      <c r="LSR45"/>
      <c r="LSS45"/>
      <c r="LST45"/>
      <c r="LSU45"/>
      <c r="LSV45"/>
      <c r="LSW45"/>
      <c r="LSX45"/>
      <c r="LSY45"/>
      <c r="LSZ45"/>
      <c r="LTA45"/>
      <c r="LTB45"/>
      <c r="LTC45"/>
      <c r="LTD45"/>
      <c r="LTE45"/>
      <c r="LTF45"/>
      <c r="LTG45"/>
      <c r="LTH45"/>
      <c r="LTI45"/>
      <c r="LTJ45"/>
      <c r="LTK45"/>
      <c r="LTL45"/>
      <c r="LTM45"/>
      <c r="LTN45"/>
      <c r="LTO45"/>
      <c r="LTP45"/>
      <c r="LTQ45"/>
      <c r="LTR45"/>
      <c r="LTS45"/>
      <c r="LTT45"/>
      <c r="LTU45"/>
      <c r="LTV45"/>
      <c r="LTW45"/>
      <c r="LTX45"/>
      <c r="LTY45"/>
      <c r="LTZ45"/>
      <c r="LUA45"/>
      <c r="LUB45"/>
      <c r="LUC45"/>
      <c r="LUD45"/>
      <c r="LUE45"/>
      <c r="LUF45"/>
      <c r="LUG45"/>
      <c r="LUH45"/>
      <c r="LUI45"/>
      <c r="LUJ45"/>
      <c r="LUK45"/>
      <c r="LUL45"/>
      <c r="LUM45"/>
      <c r="LUN45"/>
      <c r="LUO45"/>
      <c r="LUP45"/>
      <c r="LUQ45"/>
      <c r="LUR45"/>
      <c r="LUS45"/>
      <c r="LUT45"/>
      <c r="LUU45"/>
      <c r="LUV45"/>
      <c r="LUW45"/>
      <c r="LUX45"/>
      <c r="LUY45"/>
      <c r="LUZ45"/>
      <c r="LVA45"/>
      <c r="LVB45"/>
      <c r="LVC45"/>
      <c r="LVD45"/>
      <c r="LVE45"/>
      <c r="LVF45"/>
      <c r="LVG45"/>
      <c r="LVH45"/>
      <c r="LVI45"/>
      <c r="LVJ45"/>
      <c r="LVK45"/>
      <c r="LVL45"/>
      <c r="LVM45"/>
      <c r="LVN45"/>
      <c r="LVO45"/>
      <c r="LVP45"/>
      <c r="LVQ45"/>
      <c r="LVR45"/>
      <c r="LVS45"/>
      <c r="LVT45"/>
      <c r="LVU45"/>
      <c r="LVV45"/>
      <c r="LVW45"/>
      <c r="LVX45"/>
      <c r="LVY45"/>
      <c r="LVZ45"/>
      <c r="LWA45"/>
      <c r="LWB45"/>
      <c r="LWC45"/>
      <c r="LWD45"/>
      <c r="LWE45"/>
      <c r="LWF45"/>
      <c r="LWG45"/>
      <c r="LWH45"/>
      <c r="LWI45"/>
      <c r="LWJ45"/>
      <c r="LWK45"/>
      <c r="LWL45"/>
      <c r="LWM45"/>
      <c r="LWN45"/>
      <c r="LWO45"/>
      <c r="LWP45"/>
      <c r="LWQ45"/>
      <c r="LWR45"/>
      <c r="LWS45"/>
      <c r="LWT45"/>
      <c r="LWU45"/>
      <c r="LWV45"/>
      <c r="LWW45"/>
      <c r="LWX45"/>
      <c r="LWY45"/>
      <c r="LWZ45"/>
      <c r="LXA45"/>
      <c r="LXB45"/>
      <c r="LXC45"/>
      <c r="LXD45"/>
      <c r="LXE45"/>
      <c r="LXF45"/>
      <c r="LXG45"/>
      <c r="LXH45"/>
      <c r="LXI45"/>
      <c r="LXJ45"/>
      <c r="LXK45"/>
      <c r="LXL45"/>
      <c r="LXM45"/>
      <c r="LXN45"/>
      <c r="LXO45"/>
      <c r="LXP45"/>
      <c r="LXQ45"/>
      <c r="LXR45"/>
      <c r="LXS45"/>
      <c r="LXT45"/>
      <c r="LXU45"/>
      <c r="LXV45"/>
      <c r="LXW45"/>
      <c r="LXX45"/>
      <c r="LXY45"/>
      <c r="LXZ45"/>
      <c r="LYA45"/>
      <c r="LYB45"/>
      <c r="LYC45"/>
      <c r="LYD45"/>
      <c r="LYE45"/>
      <c r="LYF45"/>
      <c r="LYG45"/>
      <c r="LYH45"/>
      <c r="LYI45"/>
      <c r="LYJ45"/>
      <c r="LYK45"/>
      <c r="LYL45"/>
      <c r="LYM45"/>
      <c r="LYN45"/>
      <c r="LYO45"/>
      <c r="LYP45"/>
      <c r="LYQ45"/>
      <c r="LYR45"/>
      <c r="LYS45"/>
      <c r="LYT45"/>
      <c r="LYU45"/>
      <c r="LYV45"/>
      <c r="LYW45"/>
      <c r="LYX45"/>
      <c r="LYY45"/>
      <c r="LYZ45"/>
      <c r="LZA45"/>
      <c r="LZB45"/>
      <c r="LZC45"/>
      <c r="LZD45"/>
      <c r="LZE45"/>
      <c r="LZF45"/>
      <c r="LZG45"/>
      <c r="LZH45"/>
      <c r="LZI45"/>
      <c r="LZJ45"/>
      <c r="LZK45"/>
      <c r="LZL45"/>
      <c r="LZM45"/>
      <c r="LZN45"/>
      <c r="LZO45"/>
      <c r="LZP45"/>
      <c r="LZQ45"/>
      <c r="LZR45"/>
      <c r="LZS45"/>
      <c r="LZT45"/>
      <c r="LZU45"/>
      <c r="LZV45"/>
      <c r="LZW45"/>
      <c r="LZX45"/>
      <c r="LZY45"/>
      <c r="LZZ45"/>
      <c r="MAA45"/>
      <c r="MAB45"/>
      <c r="MAC45"/>
      <c r="MAD45"/>
      <c r="MAE45"/>
      <c r="MAF45"/>
      <c r="MAG45"/>
      <c r="MAH45"/>
      <c r="MAI45"/>
      <c r="MAJ45"/>
      <c r="MAK45"/>
      <c r="MAL45"/>
      <c r="MAM45"/>
      <c r="MAN45"/>
      <c r="MAO45"/>
      <c r="MAP45"/>
      <c r="MAQ45"/>
      <c r="MAR45"/>
      <c r="MAS45"/>
      <c r="MAT45"/>
      <c r="MAU45"/>
      <c r="MAV45"/>
      <c r="MAW45"/>
      <c r="MAX45"/>
      <c r="MAY45"/>
      <c r="MAZ45"/>
      <c r="MBA45"/>
      <c r="MBB45"/>
      <c r="MBC45"/>
      <c r="MBD45"/>
      <c r="MBE45"/>
      <c r="MBF45"/>
      <c r="MBG45"/>
      <c r="MBH45"/>
      <c r="MBI45"/>
      <c r="MBJ45"/>
      <c r="MBK45"/>
      <c r="MBL45"/>
      <c r="MBM45"/>
      <c r="MBN45"/>
      <c r="MBO45"/>
      <c r="MBP45"/>
      <c r="MBQ45"/>
      <c r="MBR45"/>
      <c r="MBS45"/>
      <c r="MBT45"/>
      <c r="MBU45"/>
      <c r="MBV45"/>
      <c r="MBW45"/>
      <c r="MBX45"/>
      <c r="MBY45"/>
      <c r="MBZ45"/>
      <c r="MCA45"/>
      <c r="MCB45"/>
      <c r="MCC45"/>
      <c r="MCD45"/>
      <c r="MCE45"/>
      <c r="MCF45"/>
      <c r="MCG45"/>
      <c r="MCH45"/>
      <c r="MCI45"/>
      <c r="MCJ45"/>
      <c r="MCK45"/>
      <c r="MCL45"/>
      <c r="MCM45"/>
      <c r="MCN45"/>
      <c r="MCO45"/>
      <c r="MCP45"/>
      <c r="MCQ45"/>
      <c r="MCR45"/>
      <c r="MCS45"/>
      <c r="MCT45"/>
      <c r="MCU45"/>
      <c r="MCV45"/>
      <c r="MCW45"/>
      <c r="MCX45"/>
      <c r="MCY45"/>
      <c r="MCZ45"/>
      <c r="MDA45"/>
      <c r="MDB45"/>
      <c r="MDC45"/>
      <c r="MDD45"/>
      <c r="MDE45"/>
      <c r="MDF45"/>
      <c r="MDG45"/>
      <c r="MDH45"/>
      <c r="MDI45"/>
      <c r="MDJ45"/>
      <c r="MDK45"/>
      <c r="MDL45"/>
      <c r="MDM45"/>
      <c r="MDN45"/>
      <c r="MDO45"/>
      <c r="MDP45"/>
      <c r="MDQ45"/>
      <c r="MDR45"/>
      <c r="MDS45"/>
      <c r="MDT45"/>
      <c r="MDU45"/>
      <c r="MDV45"/>
      <c r="MDW45"/>
      <c r="MDX45"/>
      <c r="MDY45"/>
      <c r="MDZ45"/>
      <c r="MEA45"/>
      <c r="MEB45"/>
      <c r="MEC45"/>
      <c r="MED45"/>
      <c r="MEE45"/>
      <c r="MEF45"/>
      <c r="MEG45"/>
      <c r="MEH45"/>
      <c r="MEI45"/>
      <c r="MEJ45"/>
      <c r="MEK45"/>
      <c r="MEL45"/>
      <c r="MEM45"/>
      <c r="MEN45"/>
      <c r="MEO45"/>
      <c r="MEP45"/>
      <c r="MEQ45"/>
      <c r="MER45"/>
      <c r="MES45"/>
      <c r="MET45"/>
      <c r="MEU45"/>
      <c r="MEV45"/>
      <c r="MEW45"/>
      <c r="MEX45"/>
      <c r="MEY45"/>
      <c r="MEZ45"/>
      <c r="MFA45"/>
      <c r="MFB45"/>
      <c r="MFC45"/>
      <c r="MFD45"/>
      <c r="MFE45"/>
      <c r="MFF45"/>
      <c r="MFG45"/>
      <c r="MFH45"/>
      <c r="MFI45"/>
      <c r="MFJ45"/>
      <c r="MFK45"/>
      <c r="MFL45"/>
      <c r="MFM45"/>
      <c r="MFN45"/>
      <c r="MFO45"/>
      <c r="MFP45"/>
      <c r="MFQ45"/>
      <c r="MFR45"/>
      <c r="MFS45"/>
      <c r="MFT45"/>
      <c r="MFU45"/>
      <c r="MFV45"/>
      <c r="MFW45"/>
      <c r="MFX45"/>
      <c r="MFY45"/>
      <c r="MFZ45"/>
      <c r="MGA45"/>
      <c r="MGB45"/>
      <c r="MGC45"/>
      <c r="MGD45"/>
      <c r="MGE45"/>
      <c r="MGF45"/>
      <c r="MGG45"/>
      <c r="MGH45"/>
      <c r="MGI45"/>
      <c r="MGJ45"/>
      <c r="MGK45"/>
      <c r="MGL45"/>
      <c r="MGM45"/>
      <c r="MGN45"/>
      <c r="MGO45"/>
      <c r="MGP45"/>
      <c r="MGQ45"/>
      <c r="MGR45"/>
      <c r="MGS45"/>
      <c r="MGT45"/>
      <c r="MGU45"/>
      <c r="MGV45"/>
      <c r="MGW45"/>
      <c r="MGX45"/>
      <c r="MGY45"/>
      <c r="MGZ45"/>
      <c r="MHA45"/>
      <c r="MHB45"/>
      <c r="MHC45"/>
      <c r="MHD45"/>
      <c r="MHE45"/>
      <c r="MHF45"/>
      <c r="MHG45"/>
      <c r="MHH45"/>
      <c r="MHI45"/>
      <c r="MHJ45"/>
      <c r="MHK45"/>
      <c r="MHL45"/>
      <c r="MHM45"/>
      <c r="MHN45"/>
      <c r="MHO45"/>
      <c r="MHP45"/>
      <c r="MHQ45"/>
      <c r="MHR45"/>
      <c r="MHS45"/>
      <c r="MHT45"/>
      <c r="MHU45"/>
      <c r="MHV45"/>
      <c r="MHW45"/>
      <c r="MHX45"/>
      <c r="MHY45"/>
      <c r="MHZ45"/>
      <c r="MIA45"/>
      <c r="MIB45"/>
      <c r="MIC45"/>
      <c r="MID45"/>
      <c r="MIE45"/>
      <c r="MIF45"/>
      <c r="MIG45"/>
      <c r="MIH45"/>
      <c r="MII45"/>
      <c r="MIJ45"/>
      <c r="MIK45"/>
      <c r="MIL45"/>
      <c r="MIM45"/>
      <c r="MIN45"/>
      <c r="MIO45"/>
      <c r="MIP45"/>
      <c r="MIQ45"/>
      <c r="MIR45"/>
      <c r="MIS45"/>
      <c r="MIT45"/>
      <c r="MIU45"/>
      <c r="MIV45"/>
      <c r="MIW45"/>
      <c r="MIX45"/>
      <c r="MIY45"/>
      <c r="MIZ45"/>
      <c r="MJA45"/>
      <c r="MJB45"/>
      <c r="MJC45"/>
      <c r="MJD45"/>
      <c r="MJE45"/>
      <c r="MJF45"/>
      <c r="MJG45"/>
      <c r="MJH45"/>
      <c r="MJI45"/>
      <c r="MJJ45"/>
      <c r="MJK45"/>
      <c r="MJL45"/>
      <c r="MJM45"/>
      <c r="MJN45"/>
      <c r="MJO45"/>
      <c r="MJP45"/>
      <c r="MJQ45"/>
      <c r="MJR45"/>
      <c r="MJS45"/>
      <c r="MJT45"/>
      <c r="MJU45"/>
      <c r="MJV45"/>
      <c r="MJW45"/>
      <c r="MJX45"/>
      <c r="MJY45"/>
      <c r="MJZ45"/>
      <c r="MKA45"/>
      <c r="MKB45"/>
      <c r="MKC45"/>
      <c r="MKD45"/>
      <c r="MKE45"/>
      <c r="MKF45"/>
      <c r="MKG45"/>
      <c r="MKH45"/>
      <c r="MKI45"/>
      <c r="MKJ45"/>
      <c r="MKK45"/>
      <c r="MKL45"/>
      <c r="MKM45"/>
      <c r="MKN45"/>
      <c r="MKO45"/>
      <c r="MKP45"/>
      <c r="MKQ45"/>
      <c r="MKR45"/>
      <c r="MKS45"/>
      <c r="MKT45"/>
      <c r="MKU45"/>
      <c r="MKV45"/>
      <c r="MKW45"/>
      <c r="MKX45"/>
      <c r="MKY45"/>
      <c r="MKZ45"/>
      <c r="MLA45"/>
      <c r="MLB45"/>
      <c r="MLC45"/>
      <c r="MLD45"/>
      <c r="MLE45"/>
      <c r="MLF45"/>
      <c r="MLG45"/>
      <c r="MLH45"/>
      <c r="MLI45"/>
      <c r="MLJ45"/>
      <c r="MLK45"/>
      <c r="MLL45"/>
      <c r="MLM45"/>
      <c r="MLN45"/>
      <c r="MLO45"/>
      <c r="MLP45"/>
      <c r="MLQ45"/>
      <c r="MLR45"/>
      <c r="MLS45"/>
      <c r="MLT45"/>
      <c r="MLU45"/>
      <c r="MLV45"/>
      <c r="MLW45"/>
      <c r="MLX45"/>
      <c r="MLY45"/>
      <c r="MLZ45"/>
      <c r="MMA45"/>
      <c r="MMB45"/>
      <c r="MMC45"/>
      <c r="MMD45"/>
      <c r="MME45"/>
      <c r="MMF45"/>
      <c r="MMG45"/>
      <c r="MMH45"/>
      <c r="MMI45"/>
      <c r="MMJ45"/>
      <c r="MMK45"/>
      <c r="MML45"/>
      <c r="MMM45"/>
      <c r="MMN45"/>
      <c r="MMO45"/>
      <c r="MMP45"/>
      <c r="MMQ45"/>
      <c r="MMR45"/>
      <c r="MMS45"/>
      <c r="MMT45"/>
      <c r="MMU45"/>
      <c r="MMV45"/>
      <c r="MMW45"/>
      <c r="MMX45"/>
      <c r="MMY45"/>
      <c r="MMZ45"/>
      <c r="MNA45"/>
      <c r="MNB45"/>
      <c r="MNC45"/>
      <c r="MND45"/>
      <c r="MNE45"/>
      <c r="MNF45"/>
      <c r="MNG45"/>
      <c r="MNH45"/>
      <c r="MNI45"/>
      <c r="MNJ45"/>
      <c r="MNK45"/>
      <c r="MNL45"/>
      <c r="MNM45"/>
      <c r="MNN45"/>
      <c r="MNO45"/>
      <c r="MNP45"/>
      <c r="MNQ45"/>
      <c r="MNR45"/>
      <c r="MNS45"/>
      <c r="MNT45"/>
      <c r="MNU45"/>
      <c r="MNV45"/>
      <c r="MNW45"/>
      <c r="MNX45"/>
      <c r="MNY45"/>
      <c r="MNZ45"/>
      <c r="MOA45"/>
      <c r="MOB45"/>
      <c r="MOC45"/>
      <c r="MOD45"/>
      <c r="MOE45"/>
      <c r="MOF45"/>
      <c r="MOG45"/>
      <c r="MOH45"/>
      <c r="MOI45"/>
      <c r="MOJ45"/>
      <c r="MOK45"/>
      <c r="MOL45"/>
      <c r="MOM45"/>
      <c r="MON45"/>
      <c r="MOO45"/>
      <c r="MOP45"/>
      <c r="MOQ45"/>
      <c r="MOR45"/>
      <c r="MOS45"/>
      <c r="MOT45"/>
      <c r="MOU45"/>
      <c r="MOV45"/>
      <c r="MOW45"/>
      <c r="MOX45"/>
      <c r="MOY45"/>
      <c r="MOZ45"/>
      <c r="MPA45"/>
      <c r="MPB45"/>
      <c r="MPC45"/>
      <c r="MPD45"/>
      <c r="MPE45"/>
      <c r="MPF45"/>
      <c r="MPG45"/>
      <c r="MPH45"/>
      <c r="MPI45"/>
      <c r="MPJ45"/>
      <c r="MPK45"/>
      <c r="MPL45"/>
      <c r="MPM45"/>
      <c r="MPN45"/>
      <c r="MPO45"/>
      <c r="MPP45"/>
      <c r="MPQ45"/>
      <c r="MPR45"/>
      <c r="MPS45"/>
      <c r="MPT45"/>
      <c r="MPU45"/>
      <c r="MPV45"/>
      <c r="MPW45"/>
      <c r="MPX45"/>
      <c r="MPY45"/>
      <c r="MPZ45"/>
      <c r="MQA45"/>
      <c r="MQB45"/>
      <c r="MQC45"/>
      <c r="MQD45"/>
      <c r="MQE45"/>
      <c r="MQF45"/>
      <c r="MQG45"/>
      <c r="MQH45"/>
      <c r="MQI45"/>
      <c r="MQJ45"/>
      <c r="MQK45"/>
      <c r="MQL45"/>
      <c r="MQM45"/>
      <c r="MQN45"/>
      <c r="MQO45"/>
      <c r="MQP45"/>
      <c r="MQQ45"/>
      <c r="MQR45"/>
      <c r="MQS45"/>
      <c r="MQT45"/>
      <c r="MQU45"/>
      <c r="MQV45"/>
      <c r="MQW45"/>
      <c r="MQX45"/>
      <c r="MQY45"/>
      <c r="MQZ45"/>
      <c r="MRA45"/>
      <c r="MRB45"/>
      <c r="MRC45"/>
      <c r="MRD45"/>
      <c r="MRE45"/>
      <c r="MRF45"/>
      <c r="MRG45"/>
      <c r="MRH45"/>
      <c r="MRI45"/>
      <c r="MRJ45"/>
      <c r="MRK45"/>
      <c r="MRL45"/>
      <c r="MRM45"/>
      <c r="MRN45"/>
      <c r="MRO45"/>
      <c r="MRP45"/>
      <c r="MRQ45"/>
      <c r="MRR45"/>
      <c r="MRS45"/>
      <c r="MRT45"/>
      <c r="MRU45"/>
      <c r="MRV45"/>
      <c r="MRW45"/>
      <c r="MRX45"/>
      <c r="MRY45"/>
      <c r="MRZ45"/>
      <c r="MSA45"/>
      <c r="MSB45"/>
      <c r="MSC45"/>
      <c r="MSD45"/>
      <c r="MSE45"/>
      <c r="MSF45"/>
      <c r="MSG45"/>
      <c r="MSH45"/>
      <c r="MSI45"/>
      <c r="MSJ45"/>
      <c r="MSK45"/>
      <c r="MSL45"/>
      <c r="MSM45"/>
      <c r="MSN45"/>
      <c r="MSO45"/>
      <c r="MSP45"/>
      <c r="MSQ45"/>
      <c r="MSR45"/>
      <c r="MSS45"/>
      <c r="MST45"/>
      <c r="MSU45"/>
      <c r="MSV45"/>
      <c r="MSW45"/>
      <c r="MSX45"/>
      <c r="MSY45"/>
      <c r="MSZ45"/>
      <c r="MTA45"/>
      <c r="MTB45"/>
      <c r="MTC45"/>
      <c r="MTD45"/>
      <c r="MTE45"/>
      <c r="MTF45"/>
      <c r="MTG45"/>
      <c r="MTH45"/>
      <c r="MTI45"/>
      <c r="MTJ45"/>
      <c r="MTK45"/>
      <c r="MTL45"/>
      <c r="MTM45"/>
      <c r="MTN45"/>
      <c r="MTO45"/>
      <c r="MTP45"/>
      <c r="MTQ45"/>
      <c r="MTR45"/>
      <c r="MTS45"/>
      <c r="MTT45"/>
      <c r="MTU45"/>
      <c r="MTV45"/>
      <c r="MTW45"/>
      <c r="MTX45"/>
      <c r="MTY45"/>
      <c r="MTZ45"/>
      <c r="MUA45"/>
      <c r="MUB45"/>
      <c r="MUC45"/>
      <c r="MUD45"/>
      <c r="MUE45"/>
      <c r="MUF45"/>
      <c r="MUG45"/>
      <c r="MUH45"/>
      <c r="MUI45"/>
      <c r="MUJ45"/>
      <c r="MUK45"/>
      <c r="MUL45"/>
      <c r="MUM45"/>
      <c r="MUN45"/>
      <c r="MUO45"/>
      <c r="MUP45"/>
      <c r="MUQ45"/>
      <c r="MUR45"/>
      <c r="MUS45"/>
      <c r="MUT45"/>
      <c r="MUU45"/>
      <c r="MUV45"/>
      <c r="MUW45"/>
      <c r="MUX45"/>
      <c r="MUY45"/>
      <c r="MUZ45"/>
      <c r="MVA45"/>
      <c r="MVB45"/>
      <c r="MVC45"/>
      <c r="MVD45"/>
      <c r="MVE45"/>
      <c r="MVF45"/>
      <c r="MVG45"/>
      <c r="MVH45"/>
      <c r="MVI45"/>
      <c r="MVJ45"/>
      <c r="MVK45"/>
      <c r="MVL45"/>
      <c r="MVM45"/>
      <c r="MVN45"/>
      <c r="MVO45"/>
      <c r="MVP45"/>
      <c r="MVQ45"/>
      <c r="MVR45"/>
      <c r="MVS45"/>
      <c r="MVT45"/>
      <c r="MVU45"/>
      <c r="MVV45"/>
      <c r="MVW45"/>
      <c r="MVX45"/>
      <c r="MVY45"/>
      <c r="MVZ45"/>
      <c r="MWA45"/>
      <c r="MWB45"/>
      <c r="MWC45"/>
      <c r="MWD45"/>
      <c r="MWE45"/>
      <c r="MWF45"/>
      <c r="MWG45"/>
      <c r="MWH45"/>
      <c r="MWI45"/>
      <c r="MWJ45"/>
      <c r="MWK45"/>
      <c r="MWL45"/>
      <c r="MWM45"/>
      <c r="MWN45"/>
      <c r="MWO45"/>
      <c r="MWP45"/>
      <c r="MWQ45"/>
      <c r="MWR45"/>
      <c r="MWS45"/>
      <c r="MWT45"/>
      <c r="MWU45"/>
      <c r="MWV45"/>
      <c r="MWW45"/>
      <c r="MWX45"/>
      <c r="MWY45"/>
      <c r="MWZ45"/>
      <c r="MXA45"/>
      <c r="MXB45"/>
      <c r="MXC45"/>
      <c r="MXD45"/>
      <c r="MXE45"/>
      <c r="MXF45"/>
      <c r="MXG45"/>
      <c r="MXH45"/>
      <c r="MXI45"/>
      <c r="MXJ45"/>
      <c r="MXK45"/>
      <c r="MXL45"/>
      <c r="MXM45"/>
      <c r="MXN45"/>
      <c r="MXO45"/>
      <c r="MXP45"/>
      <c r="MXQ45"/>
      <c r="MXR45"/>
      <c r="MXS45"/>
      <c r="MXT45"/>
      <c r="MXU45"/>
      <c r="MXV45"/>
      <c r="MXW45"/>
      <c r="MXX45"/>
      <c r="MXY45"/>
      <c r="MXZ45"/>
      <c r="MYA45"/>
      <c r="MYB45"/>
      <c r="MYC45"/>
      <c r="MYD45"/>
      <c r="MYE45"/>
      <c r="MYF45"/>
      <c r="MYG45"/>
      <c r="MYH45"/>
      <c r="MYI45"/>
      <c r="MYJ45"/>
      <c r="MYK45"/>
      <c r="MYL45"/>
      <c r="MYM45"/>
      <c r="MYN45"/>
      <c r="MYO45"/>
      <c r="MYP45"/>
      <c r="MYQ45"/>
      <c r="MYR45"/>
      <c r="MYS45"/>
      <c r="MYT45"/>
      <c r="MYU45"/>
      <c r="MYV45"/>
      <c r="MYW45"/>
      <c r="MYX45"/>
      <c r="MYY45"/>
      <c r="MYZ45"/>
      <c r="MZA45"/>
      <c r="MZB45"/>
      <c r="MZC45"/>
      <c r="MZD45"/>
      <c r="MZE45"/>
      <c r="MZF45"/>
      <c r="MZG45"/>
      <c r="MZH45"/>
      <c r="MZI45"/>
      <c r="MZJ45"/>
      <c r="MZK45"/>
      <c r="MZL45"/>
      <c r="MZM45"/>
      <c r="MZN45"/>
      <c r="MZO45"/>
      <c r="MZP45"/>
      <c r="MZQ45"/>
      <c r="MZR45"/>
      <c r="MZS45"/>
      <c r="MZT45"/>
      <c r="MZU45"/>
      <c r="MZV45"/>
      <c r="MZW45"/>
      <c r="MZX45"/>
      <c r="MZY45"/>
      <c r="MZZ45"/>
      <c r="NAA45"/>
      <c r="NAB45"/>
      <c r="NAC45"/>
      <c r="NAD45"/>
      <c r="NAE45"/>
      <c r="NAF45"/>
      <c r="NAG45"/>
      <c r="NAH45"/>
      <c r="NAI45"/>
      <c r="NAJ45"/>
      <c r="NAK45"/>
      <c r="NAL45"/>
      <c r="NAM45"/>
      <c r="NAN45"/>
      <c r="NAO45"/>
      <c r="NAP45"/>
      <c r="NAQ45"/>
      <c r="NAR45"/>
      <c r="NAS45"/>
      <c r="NAT45"/>
      <c r="NAU45"/>
      <c r="NAV45"/>
      <c r="NAW45"/>
      <c r="NAX45"/>
      <c r="NAY45"/>
      <c r="NAZ45"/>
      <c r="NBA45"/>
      <c r="NBB45"/>
      <c r="NBC45"/>
      <c r="NBD45"/>
      <c r="NBE45"/>
      <c r="NBF45"/>
      <c r="NBG45"/>
      <c r="NBH45"/>
      <c r="NBI45"/>
      <c r="NBJ45"/>
      <c r="NBK45"/>
      <c r="NBL45"/>
      <c r="NBM45"/>
      <c r="NBN45"/>
      <c r="NBO45"/>
      <c r="NBP45"/>
      <c r="NBQ45"/>
      <c r="NBR45"/>
      <c r="NBS45"/>
      <c r="NBT45"/>
      <c r="NBU45"/>
      <c r="NBV45"/>
      <c r="NBW45"/>
      <c r="NBX45"/>
      <c r="NBY45"/>
      <c r="NBZ45"/>
      <c r="NCA45"/>
      <c r="NCB45"/>
      <c r="NCC45"/>
      <c r="NCD45"/>
      <c r="NCE45"/>
      <c r="NCF45"/>
      <c r="NCG45"/>
      <c r="NCH45"/>
      <c r="NCI45"/>
      <c r="NCJ45"/>
      <c r="NCK45"/>
      <c r="NCL45"/>
      <c r="NCM45"/>
      <c r="NCN45"/>
      <c r="NCO45"/>
      <c r="NCP45"/>
      <c r="NCQ45"/>
      <c r="NCR45"/>
      <c r="NCS45"/>
      <c r="NCT45"/>
      <c r="NCU45"/>
      <c r="NCV45"/>
      <c r="NCW45"/>
      <c r="NCX45"/>
      <c r="NCY45"/>
      <c r="NCZ45"/>
      <c r="NDA45"/>
      <c r="NDB45"/>
      <c r="NDC45"/>
      <c r="NDD45"/>
      <c r="NDE45"/>
      <c r="NDF45"/>
      <c r="NDG45"/>
      <c r="NDH45"/>
      <c r="NDI45"/>
      <c r="NDJ45"/>
      <c r="NDK45"/>
      <c r="NDL45"/>
      <c r="NDM45"/>
      <c r="NDN45"/>
      <c r="NDO45"/>
      <c r="NDP45"/>
      <c r="NDQ45"/>
      <c r="NDR45"/>
      <c r="NDS45"/>
      <c r="NDT45"/>
      <c r="NDU45"/>
      <c r="NDV45"/>
      <c r="NDW45"/>
      <c r="NDX45"/>
      <c r="NDY45"/>
      <c r="NDZ45"/>
      <c r="NEA45"/>
      <c r="NEB45"/>
      <c r="NEC45"/>
      <c r="NED45"/>
      <c r="NEE45"/>
      <c r="NEF45"/>
      <c r="NEG45"/>
      <c r="NEH45"/>
      <c r="NEI45"/>
      <c r="NEJ45"/>
      <c r="NEK45"/>
      <c r="NEL45"/>
      <c r="NEM45"/>
      <c r="NEN45"/>
      <c r="NEO45"/>
      <c r="NEP45"/>
      <c r="NEQ45"/>
      <c r="NER45"/>
      <c r="NES45"/>
      <c r="NET45"/>
      <c r="NEU45"/>
      <c r="NEV45"/>
      <c r="NEW45"/>
      <c r="NEX45"/>
      <c r="NEY45"/>
      <c r="NEZ45"/>
      <c r="NFA45"/>
      <c r="NFB45"/>
      <c r="NFC45"/>
      <c r="NFD45"/>
      <c r="NFE45"/>
      <c r="NFF45"/>
      <c r="NFG45"/>
      <c r="NFH45"/>
      <c r="NFI45"/>
      <c r="NFJ45"/>
      <c r="NFK45"/>
      <c r="NFL45"/>
      <c r="NFM45"/>
      <c r="NFN45"/>
      <c r="NFO45"/>
      <c r="NFP45"/>
      <c r="NFQ45"/>
      <c r="NFR45"/>
      <c r="NFS45"/>
      <c r="NFT45"/>
      <c r="NFU45"/>
      <c r="NFV45"/>
      <c r="NFW45"/>
      <c r="NFX45"/>
      <c r="NFY45"/>
      <c r="NFZ45"/>
      <c r="NGA45"/>
      <c r="NGB45"/>
      <c r="NGC45"/>
      <c r="NGD45"/>
      <c r="NGE45"/>
      <c r="NGF45"/>
      <c r="NGG45"/>
      <c r="NGH45"/>
      <c r="NGI45"/>
      <c r="NGJ45"/>
      <c r="NGK45"/>
      <c r="NGL45"/>
      <c r="NGM45"/>
      <c r="NGN45"/>
      <c r="NGO45"/>
      <c r="NGP45"/>
      <c r="NGQ45"/>
      <c r="NGR45"/>
      <c r="NGS45"/>
      <c r="NGT45"/>
      <c r="NGU45"/>
      <c r="NGV45"/>
      <c r="NGW45"/>
      <c r="NGX45"/>
      <c r="NGY45"/>
      <c r="NGZ45"/>
      <c r="NHA45"/>
      <c r="NHB45"/>
      <c r="NHC45"/>
      <c r="NHD45"/>
      <c r="NHE45"/>
      <c r="NHF45"/>
      <c r="NHG45"/>
      <c r="NHH45"/>
      <c r="NHI45"/>
      <c r="NHJ45"/>
      <c r="NHK45"/>
      <c r="NHL45"/>
      <c r="NHM45"/>
      <c r="NHN45"/>
      <c r="NHO45"/>
      <c r="NHP45"/>
      <c r="NHQ45"/>
      <c r="NHR45"/>
      <c r="NHS45"/>
      <c r="NHT45"/>
      <c r="NHU45"/>
      <c r="NHV45"/>
      <c r="NHW45"/>
      <c r="NHX45"/>
      <c r="NHY45"/>
      <c r="NHZ45"/>
      <c r="NIA45"/>
      <c r="NIB45"/>
      <c r="NIC45"/>
      <c r="NID45"/>
      <c r="NIE45"/>
      <c r="NIF45"/>
      <c r="NIG45"/>
      <c r="NIH45"/>
      <c r="NII45"/>
      <c r="NIJ45"/>
      <c r="NIK45"/>
      <c r="NIL45"/>
      <c r="NIM45"/>
      <c r="NIN45"/>
      <c r="NIO45"/>
      <c r="NIP45"/>
      <c r="NIQ45"/>
      <c r="NIR45"/>
      <c r="NIS45"/>
      <c r="NIT45"/>
      <c r="NIU45"/>
      <c r="NIV45"/>
      <c r="NIW45"/>
      <c r="NIX45"/>
      <c r="NIY45"/>
      <c r="NIZ45"/>
      <c r="NJA45"/>
      <c r="NJB45"/>
      <c r="NJC45"/>
      <c r="NJD45"/>
      <c r="NJE45"/>
      <c r="NJF45"/>
      <c r="NJG45"/>
      <c r="NJH45"/>
      <c r="NJI45"/>
      <c r="NJJ45"/>
      <c r="NJK45"/>
      <c r="NJL45"/>
      <c r="NJM45"/>
      <c r="NJN45"/>
      <c r="NJO45"/>
      <c r="NJP45"/>
      <c r="NJQ45"/>
      <c r="NJR45"/>
      <c r="NJS45"/>
      <c r="NJT45"/>
      <c r="NJU45"/>
      <c r="NJV45"/>
      <c r="NJW45"/>
      <c r="NJX45"/>
      <c r="NJY45"/>
      <c r="NJZ45"/>
      <c r="NKA45"/>
      <c r="NKB45"/>
      <c r="NKC45"/>
      <c r="NKD45"/>
      <c r="NKE45"/>
      <c r="NKF45"/>
      <c r="NKG45"/>
      <c r="NKH45"/>
      <c r="NKI45"/>
      <c r="NKJ45"/>
      <c r="NKK45"/>
      <c r="NKL45"/>
      <c r="NKM45"/>
      <c r="NKN45"/>
      <c r="NKO45"/>
      <c r="NKP45"/>
      <c r="NKQ45"/>
      <c r="NKR45"/>
      <c r="NKS45"/>
      <c r="NKT45"/>
      <c r="NKU45"/>
      <c r="NKV45"/>
      <c r="NKW45"/>
      <c r="NKX45"/>
      <c r="NKY45"/>
      <c r="NKZ45"/>
      <c r="NLA45"/>
      <c r="NLB45"/>
      <c r="NLC45"/>
      <c r="NLD45"/>
      <c r="NLE45"/>
      <c r="NLF45"/>
      <c r="NLG45"/>
      <c r="NLH45"/>
      <c r="NLI45"/>
      <c r="NLJ45"/>
      <c r="NLK45"/>
      <c r="NLL45"/>
      <c r="NLM45"/>
      <c r="NLN45"/>
      <c r="NLO45"/>
      <c r="NLP45"/>
      <c r="NLQ45"/>
      <c r="NLR45"/>
      <c r="NLS45"/>
      <c r="NLT45"/>
      <c r="NLU45"/>
      <c r="NLV45"/>
      <c r="NLW45"/>
      <c r="NLX45"/>
      <c r="NLY45"/>
      <c r="NLZ45"/>
      <c r="NMA45"/>
      <c r="NMB45"/>
      <c r="NMC45"/>
      <c r="NMD45"/>
      <c r="NME45"/>
      <c r="NMF45"/>
      <c r="NMG45"/>
      <c r="NMH45"/>
      <c r="NMI45"/>
      <c r="NMJ45"/>
      <c r="NMK45"/>
      <c r="NML45"/>
      <c r="NMM45"/>
      <c r="NMN45"/>
      <c r="NMO45"/>
      <c r="NMP45"/>
      <c r="NMQ45"/>
      <c r="NMR45"/>
      <c r="NMS45"/>
      <c r="NMT45"/>
      <c r="NMU45"/>
      <c r="NMV45"/>
      <c r="NMW45"/>
      <c r="NMX45"/>
      <c r="NMY45"/>
      <c r="NMZ45"/>
      <c r="NNA45"/>
      <c r="NNB45"/>
      <c r="NNC45"/>
      <c r="NND45"/>
      <c r="NNE45"/>
      <c r="NNF45"/>
      <c r="NNG45"/>
      <c r="NNH45"/>
      <c r="NNI45"/>
      <c r="NNJ45"/>
      <c r="NNK45"/>
      <c r="NNL45"/>
      <c r="NNM45"/>
      <c r="NNN45"/>
      <c r="NNO45"/>
      <c r="NNP45"/>
      <c r="NNQ45"/>
      <c r="NNR45"/>
      <c r="NNS45"/>
      <c r="NNT45"/>
      <c r="NNU45"/>
      <c r="NNV45"/>
      <c r="NNW45"/>
      <c r="NNX45"/>
      <c r="NNY45"/>
      <c r="NNZ45"/>
      <c r="NOA45"/>
      <c r="NOB45"/>
      <c r="NOC45"/>
      <c r="NOD45"/>
      <c r="NOE45"/>
      <c r="NOF45"/>
      <c r="NOG45"/>
      <c r="NOH45"/>
      <c r="NOI45"/>
      <c r="NOJ45"/>
      <c r="NOK45"/>
      <c r="NOL45"/>
      <c r="NOM45"/>
      <c r="NON45"/>
      <c r="NOO45"/>
      <c r="NOP45"/>
      <c r="NOQ45"/>
      <c r="NOR45"/>
      <c r="NOS45"/>
      <c r="NOT45"/>
      <c r="NOU45"/>
      <c r="NOV45"/>
      <c r="NOW45"/>
      <c r="NOX45"/>
      <c r="NOY45"/>
      <c r="NOZ45"/>
      <c r="NPA45"/>
      <c r="NPB45"/>
      <c r="NPC45"/>
      <c r="NPD45"/>
      <c r="NPE45"/>
      <c r="NPF45"/>
      <c r="NPG45"/>
      <c r="NPH45"/>
      <c r="NPI45"/>
      <c r="NPJ45"/>
      <c r="NPK45"/>
      <c r="NPL45"/>
      <c r="NPM45"/>
      <c r="NPN45"/>
      <c r="NPO45"/>
      <c r="NPP45"/>
      <c r="NPQ45"/>
      <c r="NPR45"/>
      <c r="NPS45"/>
      <c r="NPT45"/>
      <c r="NPU45"/>
      <c r="NPV45"/>
      <c r="NPW45"/>
      <c r="NPX45"/>
      <c r="NPY45"/>
      <c r="NPZ45"/>
      <c r="NQA45"/>
      <c r="NQB45"/>
      <c r="NQC45"/>
      <c r="NQD45"/>
      <c r="NQE45"/>
      <c r="NQF45"/>
      <c r="NQG45"/>
      <c r="NQH45"/>
      <c r="NQI45"/>
      <c r="NQJ45"/>
      <c r="NQK45"/>
      <c r="NQL45"/>
      <c r="NQM45"/>
      <c r="NQN45"/>
      <c r="NQO45"/>
      <c r="NQP45"/>
      <c r="NQQ45"/>
      <c r="NQR45"/>
      <c r="NQS45"/>
      <c r="NQT45"/>
      <c r="NQU45"/>
      <c r="NQV45"/>
      <c r="NQW45"/>
      <c r="NQX45"/>
      <c r="NQY45"/>
      <c r="NQZ45"/>
      <c r="NRA45"/>
      <c r="NRB45"/>
      <c r="NRC45"/>
      <c r="NRD45"/>
      <c r="NRE45"/>
      <c r="NRF45"/>
      <c r="NRG45"/>
      <c r="NRH45"/>
      <c r="NRI45"/>
      <c r="NRJ45"/>
      <c r="NRK45"/>
      <c r="NRL45"/>
      <c r="NRM45"/>
      <c r="NRN45"/>
      <c r="NRO45"/>
      <c r="NRP45"/>
      <c r="NRQ45"/>
      <c r="NRR45"/>
      <c r="NRS45"/>
      <c r="NRT45"/>
      <c r="NRU45"/>
      <c r="NRV45"/>
      <c r="NRW45"/>
      <c r="NRX45"/>
      <c r="NRY45"/>
      <c r="NRZ45"/>
      <c r="NSA45"/>
      <c r="NSB45"/>
      <c r="NSC45"/>
      <c r="NSD45"/>
      <c r="NSE45"/>
      <c r="NSF45"/>
      <c r="NSG45"/>
      <c r="NSH45"/>
      <c r="NSI45"/>
      <c r="NSJ45"/>
      <c r="NSK45"/>
      <c r="NSL45"/>
      <c r="NSM45"/>
      <c r="NSN45"/>
      <c r="NSO45"/>
      <c r="NSP45"/>
      <c r="NSQ45"/>
      <c r="NSR45"/>
      <c r="NSS45"/>
      <c r="NST45"/>
      <c r="NSU45"/>
      <c r="NSV45"/>
      <c r="NSW45"/>
      <c r="NSX45"/>
      <c r="NSY45"/>
      <c r="NSZ45"/>
      <c r="NTA45"/>
      <c r="NTB45"/>
      <c r="NTC45"/>
      <c r="NTD45"/>
      <c r="NTE45"/>
      <c r="NTF45"/>
      <c r="NTG45"/>
      <c r="NTH45"/>
      <c r="NTI45"/>
      <c r="NTJ45"/>
      <c r="NTK45"/>
      <c r="NTL45"/>
      <c r="NTM45"/>
      <c r="NTN45"/>
      <c r="NTO45"/>
      <c r="NTP45"/>
      <c r="NTQ45"/>
      <c r="NTR45"/>
      <c r="NTS45"/>
      <c r="NTT45"/>
      <c r="NTU45"/>
      <c r="NTV45"/>
      <c r="NTW45"/>
      <c r="NTX45"/>
      <c r="NTY45"/>
      <c r="NTZ45"/>
      <c r="NUA45"/>
      <c r="NUB45"/>
      <c r="NUC45"/>
      <c r="NUD45"/>
      <c r="NUE45"/>
      <c r="NUF45"/>
      <c r="NUG45"/>
      <c r="NUH45"/>
      <c r="NUI45"/>
      <c r="NUJ45"/>
      <c r="NUK45"/>
      <c r="NUL45"/>
      <c r="NUM45"/>
      <c r="NUN45"/>
      <c r="NUO45"/>
      <c r="NUP45"/>
      <c r="NUQ45"/>
      <c r="NUR45"/>
      <c r="NUS45"/>
      <c r="NUT45"/>
      <c r="NUU45"/>
      <c r="NUV45"/>
      <c r="NUW45"/>
      <c r="NUX45"/>
      <c r="NUY45"/>
      <c r="NUZ45"/>
      <c r="NVA45"/>
      <c r="NVB45"/>
      <c r="NVC45"/>
      <c r="NVD45"/>
      <c r="NVE45"/>
      <c r="NVF45"/>
      <c r="NVG45"/>
      <c r="NVH45"/>
      <c r="NVI45"/>
      <c r="NVJ45"/>
      <c r="NVK45"/>
      <c r="NVL45"/>
      <c r="NVM45"/>
      <c r="NVN45"/>
      <c r="NVO45"/>
      <c r="NVP45"/>
      <c r="NVQ45"/>
      <c r="NVR45"/>
      <c r="NVS45"/>
      <c r="NVT45"/>
      <c r="NVU45"/>
      <c r="NVV45"/>
      <c r="NVW45"/>
      <c r="NVX45"/>
      <c r="NVY45"/>
      <c r="NVZ45"/>
      <c r="NWA45"/>
      <c r="NWB45"/>
      <c r="NWC45"/>
      <c r="NWD45"/>
      <c r="NWE45"/>
      <c r="NWF45"/>
      <c r="NWG45"/>
      <c r="NWH45"/>
      <c r="NWI45"/>
      <c r="NWJ45"/>
      <c r="NWK45"/>
      <c r="NWL45"/>
      <c r="NWM45"/>
      <c r="NWN45"/>
      <c r="NWO45"/>
      <c r="NWP45"/>
      <c r="NWQ45"/>
      <c r="NWR45"/>
      <c r="NWS45"/>
      <c r="NWT45"/>
      <c r="NWU45"/>
      <c r="NWV45"/>
      <c r="NWW45"/>
      <c r="NWX45"/>
      <c r="NWY45"/>
      <c r="NWZ45"/>
      <c r="NXA45"/>
      <c r="NXB45"/>
      <c r="NXC45"/>
      <c r="NXD45"/>
      <c r="NXE45"/>
      <c r="NXF45"/>
      <c r="NXG45"/>
      <c r="NXH45"/>
      <c r="NXI45"/>
      <c r="NXJ45"/>
      <c r="NXK45"/>
      <c r="NXL45"/>
      <c r="NXM45"/>
      <c r="NXN45"/>
      <c r="NXO45"/>
      <c r="NXP45"/>
      <c r="NXQ45"/>
      <c r="NXR45"/>
      <c r="NXS45"/>
      <c r="NXT45"/>
      <c r="NXU45"/>
      <c r="NXV45"/>
      <c r="NXW45"/>
      <c r="NXX45"/>
      <c r="NXY45"/>
      <c r="NXZ45"/>
      <c r="NYA45"/>
      <c r="NYB45"/>
      <c r="NYC45"/>
      <c r="NYD45"/>
      <c r="NYE45"/>
      <c r="NYF45"/>
      <c r="NYG45"/>
      <c r="NYH45"/>
      <c r="NYI45"/>
      <c r="NYJ45"/>
      <c r="NYK45"/>
      <c r="NYL45"/>
      <c r="NYM45"/>
      <c r="NYN45"/>
      <c r="NYO45"/>
      <c r="NYP45"/>
      <c r="NYQ45"/>
      <c r="NYR45"/>
      <c r="NYS45"/>
      <c r="NYT45"/>
      <c r="NYU45"/>
      <c r="NYV45"/>
      <c r="NYW45"/>
      <c r="NYX45"/>
      <c r="NYY45"/>
      <c r="NYZ45"/>
      <c r="NZA45"/>
      <c r="NZB45"/>
      <c r="NZC45"/>
      <c r="NZD45"/>
      <c r="NZE45"/>
      <c r="NZF45"/>
      <c r="NZG45"/>
      <c r="NZH45"/>
      <c r="NZI45"/>
      <c r="NZJ45"/>
      <c r="NZK45"/>
      <c r="NZL45"/>
      <c r="NZM45"/>
      <c r="NZN45"/>
      <c r="NZO45"/>
      <c r="NZP45"/>
      <c r="NZQ45"/>
      <c r="NZR45"/>
      <c r="NZS45"/>
      <c r="NZT45"/>
      <c r="NZU45"/>
      <c r="NZV45"/>
      <c r="NZW45"/>
      <c r="NZX45"/>
      <c r="NZY45"/>
      <c r="NZZ45"/>
      <c r="OAA45"/>
      <c r="OAB45"/>
      <c r="OAC45"/>
      <c r="OAD45"/>
      <c r="OAE45"/>
      <c r="OAF45"/>
      <c r="OAG45"/>
      <c r="OAH45"/>
      <c r="OAI45"/>
      <c r="OAJ45"/>
      <c r="OAK45"/>
      <c r="OAL45"/>
      <c r="OAM45"/>
      <c r="OAN45"/>
      <c r="OAO45"/>
      <c r="OAP45"/>
      <c r="OAQ45"/>
      <c r="OAR45"/>
      <c r="OAS45"/>
      <c r="OAT45"/>
      <c r="OAU45"/>
      <c r="OAV45"/>
      <c r="OAW45"/>
      <c r="OAX45"/>
      <c r="OAY45"/>
      <c r="OAZ45"/>
      <c r="OBA45"/>
      <c r="OBB45"/>
      <c r="OBC45"/>
      <c r="OBD45"/>
      <c r="OBE45"/>
      <c r="OBF45"/>
      <c r="OBG45"/>
      <c r="OBH45"/>
      <c r="OBI45"/>
      <c r="OBJ45"/>
      <c r="OBK45"/>
      <c r="OBL45"/>
      <c r="OBM45"/>
      <c r="OBN45"/>
      <c r="OBO45"/>
      <c r="OBP45"/>
      <c r="OBQ45"/>
      <c r="OBR45"/>
      <c r="OBS45"/>
      <c r="OBT45"/>
      <c r="OBU45"/>
      <c r="OBV45"/>
      <c r="OBW45"/>
      <c r="OBX45"/>
      <c r="OBY45"/>
      <c r="OBZ45"/>
      <c r="OCA45"/>
      <c r="OCB45"/>
      <c r="OCC45"/>
      <c r="OCD45"/>
      <c r="OCE45"/>
      <c r="OCF45"/>
      <c r="OCG45"/>
      <c r="OCH45"/>
      <c r="OCI45"/>
      <c r="OCJ45"/>
      <c r="OCK45"/>
      <c r="OCL45"/>
      <c r="OCM45"/>
      <c r="OCN45"/>
      <c r="OCO45"/>
      <c r="OCP45"/>
      <c r="OCQ45"/>
      <c r="OCR45"/>
      <c r="OCS45"/>
      <c r="OCT45"/>
      <c r="OCU45"/>
      <c r="OCV45"/>
      <c r="OCW45"/>
      <c r="OCX45"/>
      <c r="OCY45"/>
      <c r="OCZ45"/>
      <c r="ODA45"/>
      <c r="ODB45"/>
      <c r="ODC45"/>
      <c r="ODD45"/>
      <c r="ODE45"/>
      <c r="ODF45"/>
      <c r="ODG45"/>
      <c r="ODH45"/>
      <c r="ODI45"/>
      <c r="ODJ45"/>
      <c r="ODK45"/>
      <c r="ODL45"/>
      <c r="ODM45"/>
      <c r="ODN45"/>
      <c r="ODO45"/>
      <c r="ODP45"/>
      <c r="ODQ45"/>
      <c r="ODR45"/>
      <c r="ODS45"/>
      <c r="ODT45"/>
      <c r="ODU45"/>
      <c r="ODV45"/>
      <c r="ODW45"/>
      <c r="ODX45"/>
      <c r="ODY45"/>
      <c r="ODZ45"/>
      <c r="OEA45"/>
      <c r="OEB45"/>
      <c r="OEC45"/>
      <c r="OED45"/>
      <c r="OEE45"/>
      <c r="OEF45"/>
      <c r="OEG45"/>
      <c r="OEH45"/>
      <c r="OEI45"/>
      <c r="OEJ45"/>
      <c r="OEK45"/>
      <c r="OEL45"/>
      <c r="OEM45"/>
      <c r="OEN45"/>
      <c r="OEO45"/>
      <c r="OEP45"/>
      <c r="OEQ45"/>
      <c r="OER45"/>
      <c r="OES45"/>
      <c r="OET45"/>
      <c r="OEU45"/>
      <c r="OEV45"/>
      <c r="OEW45"/>
      <c r="OEX45"/>
      <c r="OEY45"/>
      <c r="OEZ45"/>
      <c r="OFA45"/>
      <c r="OFB45"/>
      <c r="OFC45"/>
      <c r="OFD45"/>
      <c r="OFE45"/>
      <c r="OFF45"/>
      <c r="OFG45"/>
      <c r="OFH45"/>
      <c r="OFI45"/>
      <c r="OFJ45"/>
      <c r="OFK45"/>
      <c r="OFL45"/>
      <c r="OFM45"/>
      <c r="OFN45"/>
      <c r="OFO45"/>
      <c r="OFP45"/>
      <c r="OFQ45"/>
      <c r="OFR45"/>
      <c r="OFS45"/>
      <c r="OFT45"/>
      <c r="OFU45"/>
      <c r="OFV45"/>
      <c r="OFW45"/>
      <c r="OFX45"/>
      <c r="OFY45"/>
      <c r="OFZ45"/>
      <c r="OGA45"/>
      <c r="OGB45"/>
      <c r="OGC45"/>
      <c r="OGD45"/>
      <c r="OGE45"/>
      <c r="OGF45"/>
      <c r="OGG45"/>
      <c r="OGH45"/>
      <c r="OGI45"/>
      <c r="OGJ45"/>
      <c r="OGK45"/>
      <c r="OGL45"/>
      <c r="OGM45"/>
      <c r="OGN45"/>
      <c r="OGO45"/>
      <c r="OGP45"/>
      <c r="OGQ45"/>
      <c r="OGR45"/>
      <c r="OGS45"/>
      <c r="OGT45"/>
      <c r="OGU45"/>
      <c r="OGV45"/>
      <c r="OGW45"/>
      <c r="OGX45"/>
      <c r="OGY45"/>
      <c r="OGZ45"/>
      <c r="OHA45"/>
      <c r="OHB45"/>
      <c r="OHC45"/>
      <c r="OHD45"/>
      <c r="OHE45"/>
      <c r="OHF45"/>
      <c r="OHG45"/>
      <c r="OHH45"/>
      <c r="OHI45"/>
      <c r="OHJ45"/>
      <c r="OHK45"/>
      <c r="OHL45"/>
      <c r="OHM45"/>
      <c r="OHN45"/>
      <c r="OHO45"/>
      <c r="OHP45"/>
      <c r="OHQ45"/>
      <c r="OHR45"/>
      <c r="OHS45"/>
      <c r="OHT45"/>
      <c r="OHU45"/>
      <c r="OHV45"/>
      <c r="OHW45"/>
      <c r="OHX45"/>
      <c r="OHY45"/>
      <c r="OHZ45"/>
      <c r="OIA45"/>
      <c r="OIB45"/>
      <c r="OIC45"/>
      <c r="OID45"/>
      <c r="OIE45"/>
      <c r="OIF45"/>
      <c r="OIG45"/>
      <c r="OIH45"/>
      <c r="OII45"/>
      <c r="OIJ45"/>
      <c r="OIK45"/>
      <c r="OIL45"/>
      <c r="OIM45"/>
      <c r="OIN45"/>
      <c r="OIO45"/>
      <c r="OIP45"/>
      <c r="OIQ45"/>
      <c r="OIR45"/>
      <c r="OIS45"/>
      <c r="OIT45"/>
      <c r="OIU45"/>
      <c r="OIV45"/>
      <c r="OIW45"/>
      <c r="OIX45"/>
      <c r="OIY45"/>
      <c r="OIZ45"/>
      <c r="OJA45"/>
      <c r="OJB45"/>
      <c r="OJC45"/>
      <c r="OJD45"/>
      <c r="OJE45"/>
      <c r="OJF45"/>
      <c r="OJG45"/>
      <c r="OJH45"/>
      <c r="OJI45"/>
      <c r="OJJ45"/>
      <c r="OJK45"/>
      <c r="OJL45"/>
      <c r="OJM45"/>
      <c r="OJN45"/>
      <c r="OJO45"/>
      <c r="OJP45"/>
      <c r="OJQ45"/>
      <c r="OJR45"/>
      <c r="OJS45"/>
      <c r="OJT45"/>
      <c r="OJU45"/>
      <c r="OJV45"/>
      <c r="OJW45"/>
      <c r="OJX45"/>
      <c r="OJY45"/>
      <c r="OJZ45"/>
      <c r="OKA45"/>
      <c r="OKB45"/>
      <c r="OKC45"/>
      <c r="OKD45"/>
      <c r="OKE45"/>
      <c r="OKF45"/>
      <c r="OKG45"/>
      <c r="OKH45"/>
      <c r="OKI45"/>
      <c r="OKJ45"/>
      <c r="OKK45"/>
      <c r="OKL45"/>
      <c r="OKM45"/>
      <c r="OKN45"/>
      <c r="OKO45"/>
      <c r="OKP45"/>
      <c r="OKQ45"/>
      <c r="OKR45"/>
      <c r="OKS45"/>
      <c r="OKT45"/>
      <c r="OKU45"/>
      <c r="OKV45"/>
      <c r="OKW45"/>
      <c r="OKX45"/>
      <c r="OKY45"/>
      <c r="OKZ45"/>
      <c r="OLA45"/>
      <c r="OLB45"/>
      <c r="OLC45"/>
      <c r="OLD45"/>
      <c r="OLE45"/>
      <c r="OLF45"/>
      <c r="OLG45"/>
      <c r="OLH45"/>
      <c r="OLI45"/>
      <c r="OLJ45"/>
      <c r="OLK45"/>
      <c r="OLL45"/>
      <c r="OLM45"/>
      <c r="OLN45"/>
      <c r="OLO45"/>
      <c r="OLP45"/>
      <c r="OLQ45"/>
      <c r="OLR45"/>
      <c r="OLS45"/>
      <c r="OLT45"/>
      <c r="OLU45"/>
      <c r="OLV45"/>
      <c r="OLW45"/>
      <c r="OLX45"/>
      <c r="OLY45"/>
      <c r="OLZ45"/>
      <c r="OMA45"/>
      <c r="OMB45"/>
      <c r="OMC45"/>
      <c r="OMD45"/>
      <c r="OME45"/>
      <c r="OMF45"/>
      <c r="OMG45"/>
      <c r="OMH45"/>
      <c r="OMI45"/>
      <c r="OMJ45"/>
      <c r="OMK45"/>
      <c r="OML45"/>
      <c r="OMM45"/>
      <c r="OMN45"/>
      <c r="OMO45"/>
      <c r="OMP45"/>
      <c r="OMQ45"/>
      <c r="OMR45"/>
      <c r="OMS45"/>
      <c r="OMT45"/>
      <c r="OMU45"/>
      <c r="OMV45"/>
      <c r="OMW45"/>
      <c r="OMX45"/>
      <c r="OMY45"/>
      <c r="OMZ45"/>
      <c r="ONA45"/>
      <c r="ONB45"/>
      <c r="ONC45"/>
      <c r="OND45"/>
      <c r="ONE45"/>
      <c r="ONF45"/>
      <c r="ONG45"/>
      <c r="ONH45"/>
      <c r="ONI45"/>
      <c r="ONJ45"/>
      <c r="ONK45"/>
      <c r="ONL45"/>
      <c r="ONM45"/>
      <c r="ONN45"/>
      <c r="ONO45"/>
      <c r="ONP45"/>
      <c r="ONQ45"/>
      <c r="ONR45"/>
      <c r="ONS45"/>
      <c r="ONT45"/>
      <c r="ONU45"/>
      <c r="ONV45"/>
      <c r="ONW45"/>
      <c r="ONX45"/>
      <c r="ONY45"/>
      <c r="ONZ45"/>
      <c r="OOA45"/>
      <c r="OOB45"/>
      <c r="OOC45"/>
      <c r="OOD45"/>
      <c r="OOE45"/>
      <c r="OOF45"/>
      <c r="OOG45"/>
      <c r="OOH45"/>
      <c r="OOI45"/>
      <c r="OOJ45"/>
      <c r="OOK45"/>
      <c r="OOL45"/>
      <c r="OOM45"/>
      <c r="OON45"/>
      <c r="OOO45"/>
      <c r="OOP45"/>
      <c r="OOQ45"/>
      <c r="OOR45"/>
      <c r="OOS45"/>
      <c r="OOT45"/>
      <c r="OOU45"/>
      <c r="OOV45"/>
      <c r="OOW45"/>
      <c r="OOX45"/>
      <c r="OOY45"/>
      <c r="OOZ45"/>
      <c r="OPA45"/>
      <c r="OPB45"/>
      <c r="OPC45"/>
      <c r="OPD45"/>
      <c r="OPE45"/>
      <c r="OPF45"/>
      <c r="OPG45"/>
      <c r="OPH45"/>
      <c r="OPI45"/>
      <c r="OPJ45"/>
      <c r="OPK45"/>
      <c r="OPL45"/>
      <c r="OPM45"/>
      <c r="OPN45"/>
      <c r="OPO45"/>
      <c r="OPP45"/>
      <c r="OPQ45"/>
      <c r="OPR45"/>
      <c r="OPS45"/>
      <c r="OPT45"/>
      <c r="OPU45"/>
      <c r="OPV45"/>
      <c r="OPW45"/>
      <c r="OPX45"/>
      <c r="OPY45"/>
      <c r="OPZ45"/>
      <c r="OQA45"/>
      <c r="OQB45"/>
      <c r="OQC45"/>
      <c r="OQD45"/>
      <c r="OQE45"/>
      <c r="OQF45"/>
      <c r="OQG45"/>
      <c r="OQH45"/>
      <c r="OQI45"/>
      <c r="OQJ45"/>
      <c r="OQK45"/>
      <c r="OQL45"/>
      <c r="OQM45"/>
      <c r="OQN45"/>
      <c r="OQO45"/>
      <c r="OQP45"/>
      <c r="OQQ45"/>
      <c r="OQR45"/>
      <c r="OQS45"/>
      <c r="OQT45"/>
      <c r="OQU45"/>
      <c r="OQV45"/>
      <c r="OQW45"/>
      <c r="OQX45"/>
      <c r="OQY45"/>
      <c r="OQZ45"/>
      <c r="ORA45"/>
      <c r="ORB45"/>
      <c r="ORC45"/>
      <c r="ORD45"/>
      <c r="ORE45"/>
      <c r="ORF45"/>
      <c r="ORG45"/>
      <c r="ORH45"/>
      <c r="ORI45"/>
      <c r="ORJ45"/>
      <c r="ORK45"/>
      <c r="ORL45"/>
      <c r="ORM45"/>
      <c r="ORN45"/>
      <c r="ORO45"/>
      <c r="ORP45"/>
      <c r="ORQ45"/>
      <c r="ORR45"/>
      <c r="ORS45"/>
      <c r="ORT45"/>
      <c r="ORU45"/>
      <c r="ORV45"/>
      <c r="ORW45"/>
      <c r="ORX45"/>
      <c r="ORY45"/>
      <c r="ORZ45"/>
      <c r="OSA45"/>
      <c r="OSB45"/>
      <c r="OSC45"/>
      <c r="OSD45"/>
      <c r="OSE45"/>
      <c r="OSF45"/>
      <c r="OSG45"/>
      <c r="OSH45"/>
      <c r="OSI45"/>
      <c r="OSJ45"/>
      <c r="OSK45"/>
      <c r="OSL45"/>
      <c r="OSM45"/>
      <c r="OSN45"/>
      <c r="OSO45"/>
      <c r="OSP45"/>
      <c r="OSQ45"/>
      <c r="OSR45"/>
      <c r="OSS45"/>
      <c r="OST45"/>
      <c r="OSU45"/>
      <c r="OSV45"/>
      <c r="OSW45"/>
      <c r="OSX45"/>
      <c r="OSY45"/>
      <c r="OSZ45"/>
      <c r="OTA45"/>
      <c r="OTB45"/>
      <c r="OTC45"/>
      <c r="OTD45"/>
      <c r="OTE45"/>
      <c r="OTF45"/>
      <c r="OTG45"/>
      <c r="OTH45"/>
      <c r="OTI45"/>
      <c r="OTJ45"/>
      <c r="OTK45"/>
      <c r="OTL45"/>
      <c r="OTM45"/>
      <c r="OTN45"/>
      <c r="OTO45"/>
      <c r="OTP45"/>
      <c r="OTQ45"/>
      <c r="OTR45"/>
      <c r="OTS45"/>
      <c r="OTT45"/>
      <c r="OTU45"/>
      <c r="OTV45"/>
      <c r="OTW45"/>
      <c r="OTX45"/>
      <c r="OTY45"/>
      <c r="OTZ45"/>
      <c r="OUA45"/>
      <c r="OUB45"/>
      <c r="OUC45"/>
      <c r="OUD45"/>
      <c r="OUE45"/>
      <c r="OUF45"/>
      <c r="OUG45"/>
      <c r="OUH45"/>
      <c r="OUI45"/>
      <c r="OUJ45"/>
      <c r="OUK45"/>
      <c r="OUL45"/>
      <c r="OUM45"/>
      <c r="OUN45"/>
      <c r="OUO45"/>
      <c r="OUP45"/>
      <c r="OUQ45"/>
      <c r="OUR45"/>
      <c r="OUS45"/>
      <c r="OUT45"/>
      <c r="OUU45"/>
      <c r="OUV45"/>
      <c r="OUW45"/>
      <c r="OUX45"/>
      <c r="OUY45"/>
      <c r="OUZ45"/>
      <c r="OVA45"/>
      <c r="OVB45"/>
      <c r="OVC45"/>
      <c r="OVD45"/>
      <c r="OVE45"/>
      <c r="OVF45"/>
      <c r="OVG45"/>
      <c r="OVH45"/>
      <c r="OVI45"/>
      <c r="OVJ45"/>
      <c r="OVK45"/>
      <c r="OVL45"/>
      <c r="OVM45"/>
      <c r="OVN45"/>
      <c r="OVO45"/>
      <c r="OVP45"/>
      <c r="OVQ45"/>
      <c r="OVR45"/>
      <c r="OVS45"/>
      <c r="OVT45"/>
      <c r="OVU45"/>
      <c r="OVV45"/>
      <c r="OVW45"/>
      <c r="OVX45"/>
      <c r="OVY45"/>
      <c r="OVZ45"/>
      <c r="OWA45"/>
      <c r="OWB45"/>
      <c r="OWC45"/>
      <c r="OWD45"/>
      <c r="OWE45"/>
      <c r="OWF45"/>
      <c r="OWG45"/>
      <c r="OWH45"/>
      <c r="OWI45"/>
      <c r="OWJ45"/>
      <c r="OWK45"/>
      <c r="OWL45"/>
      <c r="OWM45"/>
      <c r="OWN45"/>
      <c r="OWO45"/>
      <c r="OWP45"/>
      <c r="OWQ45"/>
      <c r="OWR45"/>
      <c r="OWS45"/>
      <c r="OWT45"/>
      <c r="OWU45"/>
      <c r="OWV45"/>
      <c r="OWW45"/>
      <c r="OWX45"/>
      <c r="OWY45"/>
      <c r="OWZ45"/>
      <c r="OXA45"/>
      <c r="OXB45"/>
      <c r="OXC45"/>
      <c r="OXD45"/>
      <c r="OXE45"/>
      <c r="OXF45"/>
      <c r="OXG45"/>
      <c r="OXH45"/>
      <c r="OXI45"/>
      <c r="OXJ45"/>
      <c r="OXK45"/>
      <c r="OXL45"/>
      <c r="OXM45"/>
      <c r="OXN45"/>
      <c r="OXO45"/>
      <c r="OXP45"/>
      <c r="OXQ45"/>
      <c r="OXR45"/>
      <c r="OXS45"/>
      <c r="OXT45"/>
      <c r="OXU45"/>
      <c r="OXV45"/>
      <c r="OXW45"/>
      <c r="OXX45"/>
      <c r="OXY45"/>
      <c r="OXZ45"/>
      <c r="OYA45"/>
      <c r="OYB45"/>
      <c r="OYC45"/>
      <c r="OYD45"/>
      <c r="OYE45"/>
      <c r="OYF45"/>
      <c r="OYG45"/>
      <c r="OYH45"/>
      <c r="OYI45"/>
      <c r="OYJ45"/>
      <c r="OYK45"/>
      <c r="OYL45"/>
      <c r="OYM45"/>
      <c r="OYN45"/>
      <c r="OYO45"/>
      <c r="OYP45"/>
      <c r="OYQ45"/>
      <c r="OYR45"/>
      <c r="OYS45"/>
      <c r="OYT45"/>
      <c r="OYU45"/>
      <c r="OYV45"/>
      <c r="OYW45"/>
      <c r="OYX45"/>
      <c r="OYY45"/>
      <c r="OYZ45"/>
      <c r="OZA45"/>
      <c r="OZB45"/>
      <c r="OZC45"/>
      <c r="OZD45"/>
      <c r="OZE45"/>
      <c r="OZF45"/>
      <c r="OZG45"/>
      <c r="OZH45"/>
      <c r="OZI45"/>
      <c r="OZJ45"/>
      <c r="OZK45"/>
      <c r="OZL45"/>
      <c r="OZM45"/>
      <c r="OZN45"/>
      <c r="OZO45"/>
      <c r="OZP45"/>
      <c r="OZQ45"/>
      <c r="OZR45"/>
      <c r="OZS45"/>
      <c r="OZT45"/>
      <c r="OZU45"/>
      <c r="OZV45"/>
      <c r="OZW45"/>
      <c r="OZX45"/>
      <c r="OZY45"/>
      <c r="OZZ45"/>
      <c r="PAA45"/>
      <c r="PAB45"/>
      <c r="PAC45"/>
      <c r="PAD45"/>
      <c r="PAE45"/>
      <c r="PAF45"/>
      <c r="PAG45"/>
      <c r="PAH45"/>
      <c r="PAI45"/>
      <c r="PAJ45"/>
      <c r="PAK45"/>
      <c r="PAL45"/>
      <c r="PAM45"/>
      <c r="PAN45"/>
      <c r="PAO45"/>
      <c r="PAP45"/>
      <c r="PAQ45"/>
      <c r="PAR45"/>
      <c r="PAS45"/>
      <c r="PAT45"/>
      <c r="PAU45"/>
      <c r="PAV45"/>
      <c r="PAW45"/>
      <c r="PAX45"/>
      <c r="PAY45"/>
      <c r="PAZ45"/>
      <c r="PBA45"/>
      <c r="PBB45"/>
      <c r="PBC45"/>
      <c r="PBD45"/>
      <c r="PBE45"/>
      <c r="PBF45"/>
      <c r="PBG45"/>
      <c r="PBH45"/>
      <c r="PBI45"/>
      <c r="PBJ45"/>
      <c r="PBK45"/>
      <c r="PBL45"/>
      <c r="PBM45"/>
      <c r="PBN45"/>
      <c r="PBO45"/>
      <c r="PBP45"/>
      <c r="PBQ45"/>
      <c r="PBR45"/>
      <c r="PBS45"/>
      <c r="PBT45"/>
      <c r="PBU45"/>
      <c r="PBV45"/>
      <c r="PBW45"/>
      <c r="PBX45"/>
      <c r="PBY45"/>
      <c r="PBZ45"/>
      <c r="PCA45"/>
      <c r="PCB45"/>
      <c r="PCC45"/>
      <c r="PCD45"/>
      <c r="PCE45"/>
      <c r="PCF45"/>
      <c r="PCG45"/>
      <c r="PCH45"/>
      <c r="PCI45"/>
      <c r="PCJ45"/>
      <c r="PCK45"/>
      <c r="PCL45"/>
      <c r="PCM45"/>
      <c r="PCN45"/>
      <c r="PCO45"/>
      <c r="PCP45"/>
      <c r="PCQ45"/>
      <c r="PCR45"/>
      <c r="PCS45"/>
      <c r="PCT45"/>
      <c r="PCU45"/>
      <c r="PCV45"/>
      <c r="PCW45"/>
      <c r="PCX45"/>
      <c r="PCY45"/>
      <c r="PCZ45"/>
      <c r="PDA45"/>
      <c r="PDB45"/>
      <c r="PDC45"/>
      <c r="PDD45"/>
      <c r="PDE45"/>
      <c r="PDF45"/>
      <c r="PDG45"/>
      <c r="PDH45"/>
      <c r="PDI45"/>
      <c r="PDJ45"/>
      <c r="PDK45"/>
      <c r="PDL45"/>
      <c r="PDM45"/>
      <c r="PDN45"/>
      <c r="PDO45"/>
      <c r="PDP45"/>
      <c r="PDQ45"/>
      <c r="PDR45"/>
      <c r="PDS45"/>
      <c r="PDT45"/>
      <c r="PDU45"/>
      <c r="PDV45"/>
      <c r="PDW45"/>
      <c r="PDX45"/>
      <c r="PDY45"/>
      <c r="PDZ45"/>
      <c r="PEA45"/>
      <c r="PEB45"/>
      <c r="PEC45"/>
      <c r="PED45"/>
      <c r="PEE45"/>
      <c r="PEF45"/>
      <c r="PEG45"/>
      <c r="PEH45"/>
      <c r="PEI45"/>
      <c r="PEJ45"/>
      <c r="PEK45"/>
      <c r="PEL45"/>
      <c r="PEM45"/>
      <c r="PEN45"/>
      <c r="PEO45"/>
      <c r="PEP45"/>
      <c r="PEQ45"/>
      <c r="PER45"/>
      <c r="PES45"/>
      <c r="PET45"/>
      <c r="PEU45"/>
      <c r="PEV45"/>
      <c r="PEW45"/>
      <c r="PEX45"/>
      <c r="PEY45"/>
      <c r="PEZ45"/>
      <c r="PFA45"/>
      <c r="PFB45"/>
      <c r="PFC45"/>
      <c r="PFD45"/>
      <c r="PFE45"/>
      <c r="PFF45"/>
      <c r="PFG45"/>
      <c r="PFH45"/>
      <c r="PFI45"/>
      <c r="PFJ45"/>
      <c r="PFK45"/>
      <c r="PFL45"/>
      <c r="PFM45"/>
      <c r="PFN45"/>
      <c r="PFO45"/>
      <c r="PFP45"/>
      <c r="PFQ45"/>
      <c r="PFR45"/>
      <c r="PFS45"/>
      <c r="PFT45"/>
      <c r="PFU45"/>
      <c r="PFV45"/>
      <c r="PFW45"/>
      <c r="PFX45"/>
      <c r="PFY45"/>
      <c r="PFZ45"/>
      <c r="PGA45"/>
      <c r="PGB45"/>
      <c r="PGC45"/>
      <c r="PGD45"/>
      <c r="PGE45"/>
      <c r="PGF45"/>
      <c r="PGG45"/>
      <c r="PGH45"/>
      <c r="PGI45"/>
      <c r="PGJ45"/>
      <c r="PGK45"/>
      <c r="PGL45"/>
      <c r="PGM45"/>
      <c r="PGN45"/>
      <c r="PGO45"/>
      <c r="PGP45"/>
      <c r="PGQ45"/>
      <c r="PGR45"/>
      <c r="PGS45"/>
      <c r="PGT45"/>
      <c r="PGU45"/>
      <c r="PGV45"/>
      <c r="PGW45"/>
      <c r="PGX45"/>
      <c r="PGY45"/>
      <c r="PGZ45"/>
      <c r="PHA45"/>
      <c r="PHB45"/>
      <c r="PHC45"/>
      <c r="PHD45"/>
      <c r="PHE45"/>
      <c r="PHF45"/>
      <c r="PHG45"/>
      <c r="PHH45"/>
      <c r="PHI45"/>
      <c r="PHJ45"/>
      <c r="PHK45"/>
      <c r="PHL45"/>
      <c r="PHM45"/>
      <c r="PHN45"/>
      <c r="PHO45"/>
      <c r="PHP45"/>
      <c r="PHQ45"/>
      <c r="PHR45"/>
      <c r="PHS45"/>
      <c r="PHT45"/>
      <c r="PHU45"/>
      <c r="PHV45"/>
      <c r="PHW45"/>
      <c r="PHX45"/>
      <c r="PHY45"/>
      <c r="PHZ45"/>
      <c r="PIA45"/>
      <c r="PIB45"/>
      <c r="PIC45"/>
      <c r="PID45"/>
      <c r="PIE45"/>
      <c r="PIF45"/>
      <c r="PIG45"/>
      <c r="PIH45"/>
      <c r="PII45"/>
      <c r="PIJ45"/>
      <c r="PIK45"/>
      <c r="PIL45"/>
      <c r="PIM45"/>
      <c r="PIN45"/>
      <c r="PIO45"/>
      <c r="PIP45"/>
      <c r="PIQ45"/>
      <c r="PIR45"/>
      <c r="PIS45"/>
      <c r="PIT45"/>
      <c r="PIU45"/>
      <c r="PIV45"/>
      <c r="PIW45"/>
      <c r="PIX45"/>
      <c r="PIY45"/>
      <c r="PIZ45"/>
      <c r="PJA45"/>
      <c r="PJB45"/>
      <c r="PJC45"/>
      <c r="PJD45"/>
      <c r="PJE45"/>
      <c r="PJF45"/>
      <c r="PJG45"/>
      <c r="PJH45"/>
      <c r="PJI45"/>
      <c r="PJJ45"/>
      <c r="PJK45"/>
      <c r="PJL45"/>
      <c r="PJM45"/>
      <c r="PJN45"/>
      <c r="PJO45"/>
      <c r="PJP45"/>
      <c r="PJQ45"/>
      <c r="PJR45"/>
      <c r="PJS45"/>
      <c r="PJT45"/>
      <c r="PJU45"/>
      <c r="PJV45"/>
      <c r="PJW45"/>
      <c r="PJX45"/>
      <c r="PJY45"/>
      <c r="PJZ45"/>
      <c r="PKA45"/>
      <c r="PKB45"/>
      <c r="PKC45"/>
      <c r="PKD45"/>
      <c r="PKE45"/>
      <c r="PKF45"/>
      <c r="PKG45"/>
      <c r="PKH45"/>
      <c r="PKI45"/>
      <c r="PKJ45"/>
      <c r="PKK45"/>
      <c r="PKL45"/>
      <c r="PKM45"/>
      <c r="PKN45"/>
      <c r="PKO45"/>
      <c r="PKP45"/>
      <c r="PKQ45"/>
      <c r="PKR45"/>
      <c r="PKS45"/>
      <c r="PKT45"/>
      <c r="PKU45"/>
      <c r="PKV45"/>
      <c r="PKW45"/>
      <c r="PKX45"/>
      <c r="PKY45"/>
      <c r="PKZ45"/>
      <c r="PLA45"/>
      <c r="PLB45"/>
      <c r="PLC45"/>
      <c r="PLD45"/>
      <c r="PLE45"/>
      <c r="PLF45"/>
      <c r="PLG45"/>
      <c r="PLH45"/>
      <c r="PLI45"/>
      <c r="PLJ45"/>
      <c r="PLK45"/>
      <c r="PLL45"/>
      <c r="PLM45"/>
      <c r="PLN45"/>
      <c r="PLO45"/>
      <c r="PLP45"/>
      <c r="PLQ45"/>
      <c r="PLR45"/>
      <c r="PLS45"/>
      <c r="PLT45"/>
      <c r="PLU45"/>
      <c r="PLV45"/>
      <c r="PLW45"/>
      <c r="PLX45"/>
      <c r="PLY45"/>
      <c r="PLZ45"/>
      <c r="PMA45"/>
      <c r="PMB45"/>
      <c r="PMC45"/>
      <c r="PMD45"/>
      <c r="PME45"/>
      <c r="PMF45"/>
      <c r="PMG45"/>
      <c r="PMH45"/>
      <c r="PMI45"/>
      <c r="PMJ45"/>
      <c r="PMK45"/>
      <c r="PML45"/>
      <c r="PMM45"/>
      <c r="PMN45"/>
      <c r="PMO45"/>
      <c r="PMP45"/>
      <c r="PMQ45"/>
      <c r="PMR45"/>
      <c r="PMS45"/>
      <c r="PMT45"/>
      <c r="PMU45"/>
      <c r="PMV45"/>
      <c r="PMW45"/>
      <c r="PMX45"/>
      <c r="PMY45"/>
      <c r="PMZ45"/>
      <c r="PNA45"/>
      <c r="PNB45"/>
      <c r="PNC45"/>
      <c r="PND45"/>
      <c r="PNE45"/>
      <c r="PNF45"/>
      <c r="PNG45"/>
      <c r="PNH45"/>
      <c r="PNI45"/>
      <c r="PNJ45"/>
      <c r="PNK45"/>
      <c r="PNL45"/>
      <c r="PNM45"/>
      <c r="PNN45"/>
      <c r="PNO45"/>
      <c r="PNP45"/>
      <c r="PNQ45"/>
      <c r="PNR45"/>
      <c r="PNS45"/>
      <c r="PNT45"/>
      <c r="PNU45"/>
      <c r="PNV45"/>
      <c r="PNW45"/>
      <c r="PNX45"/>
      <c r="PNY45"/>
      <c r="PNZ45"/>
      <c r="POA45"/>
      <c r="POB45"/>
      <c r="POC45"/>
      <c r="POD45"/>
      <c r="POE45"/>
      <c r="POF45"/>
      <c r="POG45"/>
      <c r="POH45"/>
      <c r="POI45"/>
      <c r="POJ45"/>
      <c r="POK45"/>
      <c r="POL45"/>
      <c r="POM45"/>
      <c r="PON45"/>
      <c r="POO45"/>
      <c r="POP45"/>
      <c r="POQ45"/>
      <c r="POR45"/>
      <c r="POS45"/>
      <c r="POT45"/>
      <c r="POU45"/>
      <c r="POV45"/>
      <c r="POW45"/>
      <c r="POX45"/>
      <c r="POY45"/>
      <c r="POZ45"/>
      <c r="PPA45"/>
      <c r="PPB45"/>
      <c r="PPC45"/>
      <c r="PPD45"/>
      <c r="PPE45"/>
      <c r="PPF45"/>
      <c r="PPG45"/>
      <c r="PPH45"/>
      <c r="PPI45"/>
      <c r="PPJ45"/>
      <c r="PPK45"/>
      <c r="PPL45"/>
      <c r="PPM45"/>
      <c r="PPN45"/>
      <c r="PPO45"/>
      <c r="PPP45"/>
      <c r="PPQ45"/>
      <c r="PPR45"/>
      <c r="PPS45"/>
      <c r="PPT45"/>
      <c r="PPU45"/>
      <c r="PPV45"/>
      <c r="PPW45"/>
      <c r="PPX45"/>
      <c r="PPY45"/>
      <c r="PPZ45"/>
      <c r="PQA45"/>
      <c r="PQB45"/>
      <c r="PQC45"/>
      <c r="PQD45"/>
      <c r="PQE45"/>
      <c r="PQF45"/>
      <c r="PQG45"/>
      <c r="PQH45"/>
      <c r="PQI45"/>
      <c r="PQJ45"/>
      <c r="PQK45"/>
      <c r="PQL45"/>
      <c r="PQM45"/>
      <c r="PQN45"/>
      <c r="PQO45"/>
      <c r="PQP45"/>
      <c r="PQQ45"/>
      <c r="PQR45"/>
      <c r="PQS45"/>
      <c r="PQT45"/>
      <c r="PQU45"/>
      <c r="PQV45"/>
      <c r="PQW45"/>
      <c r="PQX45"/>
      <c r="PQY45"/>
      <c r="PQZ45"/>
      <c r="PRA45"/>
      <c r="PRB45"/>
      <c r="PRC45"/>
      <c r="PRD45"/>
      <c r="PRE45"/>
      <c r="PRF45"/>
      <c r="PRG45"/>
      <c r="PRH45"/>
      <c r="PRI45"/>
      <c r="PRJ45"/>
      <c r="PRK45"/>
      <c r="PRL45"/>
      <c r="PRM45"/>
      <c r="PRN45"/>
      <c r="PRO45"/>
      <c r="PRP45"/>
      <c r="PRQ45"/>
      <c r="PRR45"/>
      <c r="PRS45"/>
      <c r="PRT45"/>
      <c r="PRU45"/>
      <c r="PRV45"/>
      <c r="PRW45"/>
      <c r="PRX45"/>
      <c r="PRY45"/>
      <c r="PRZ45"/>
      <c r="PSA45"/>
      <c r="PSB45"/>
      <c r="PSC45"/>
      <c r="PSD45"/>
      <c r="PSE45"/>
      <c r="PSF45"/>
      <c r="PSG45"/>
      <c r="PSH45"/>
      <c r="PSI45"/>
      <c r="PSJ45"/>
      <c r="PSK45"/>
      <c r="PSL45"/>
      <c r="PSM45"/>
      <c r="PSN45"/>
      <c r="PSO45"/>
      <c r="PSP45"/>
      <c r="PSQ45"/>
      <c r="PSR45"/>
      <c r="PSS45"/>
      <c r="PST45"/>
      <c r="PSU45"/>
      <c r="PSV45"/>
      <c r="PSW45"/>
      <c r="PSX45"/>
      <c r="PSY45"/>
      <c r="PSZ45"/>
      <c r="PTA45"/>
      <c r="PTB45"/>
      <c r="PTC45"/>
      <c r="PTD45"/>
      <c r="PTE45"/>
      <c r="PTF45"/>
      <c r="PTG45"/>
      <c r="PTH45"/>
      <c r="PTI45"/>
      <c r="PTJ45"/>
      <c r="PTK45"/>
      <c r="PTL45"/>
      <c r="PTM45"/>
      <c r="PTN45"/>
      <c r="PTO45"/>
      <c r="PTP45"/>
      <c r="PTQ45"/>
      <c r="PTR45"/>
      <c r="PTS45"/>
      <c r="PTT45"/>
      <c r="PTU45"/>
      <c r="PTV45"/>
      <c r="PTW45"/>
      <c r="PTX45"/>
      <c r="PTY45"/>
      <c r="PTZ45"/>
      <c r="PUA45"/>
      <c r="PUB45"/>
      <c r="PUC45"/>
      <c r="PUD45"/>
      <c r="PUE45"/>
      <c r="PUF45"/>
      <c r="PUG45"/>
      <c r="PUH45"/>
      <c r="PUI45"/>
      <c r="PUJ45"/>
      <c r="PUK45"/>
      <c r="PUL45"/>
      <c r="PUM45"/>
      <c r="PUN45"/>
      <c r="PUO45"/>
      <c r="PUP45"/>
      <c r="PUQ45"/>
      <c r="PUR45"/>
      <c r="PUS45"/>
      <c r="PUT45"/>
      <c r="PUU45"/>
      <c r="PUV45"/>
      <c r="PUW45"/>
      <c r="PUX45"/>
      <c r="PUY45"/>
      <c r="PUZ45"/>
      <c r="PVA45"/>
      <c r="PVB45"/>
      <c r="PVC45"/>
      <c r="PVD45"/>
      <c r="PVE45"/>
      <c r="PVF45"/>
      <c r="PVG45"/>
      <c r="PVH45"/>
      <c r="PVI45"/>
      <c r="PVJ45"/>
      <c r="PVK45"/>
      <c r="PVL45"/>
      <c r="PVM45"/>
      <c r="PVN45"/>
      <c r="PVO45"/>
      <c r="PVP45"/>
      <c r="PVQ45"/>
      <c r="PVR45"/>
      <c r="PVS45"/>
      <c r="PVT45"/>
      <c r="PVU45"/>
      <c r="PVV45"/>
      <c r="PVW45"/>
      <c r="PVX45"/>
      <c r="PVY45"/>
      <c r="PVZ45"/>
      <c r="PWA45"/>
      <c r="PWB45"/>
      <c r="PWC45"/>
      <c r="PWD45"/>
      <c r="PWE45"/>
      <c r="PWF45"/>
      <c r="PWG45"/>
      <c r="PWH45"/>
      <c r="PWI45"/>
      <c r="PWJ45"/>
      <c r="PWK45"/>
      <c r="PWL45"/>
      <c r="PWM45"/>
      <c r="PWN45"/>
      <c r="PWO45"/>
      <c r="PWP45"/>
      <c r="PWQ45"/>
      <c r="PWR45"/>
      <c r="PWS45"/>
      <c r="PWT45"/>
      <c r="PWU45"/>
      <c r="PWV45"/>
      <c r="PWW45"/>
      <c r="PWX45"/>
      <c r="PWY45"/>
      <c r="PWZ45"/>
      <c r="PXA45"/>
      <c r="PXB45"/>
      <c r="PXC45"/>
      <c r="PXD45"/>
      <c r="PXE45"/>
      <c r="PXF45"/>
      <c r="PXG45"/>
      <c r="PXH45"/>
      <c r="PXI45"/>
      <c r="PXJ45"/>
      <c r="PXK45"/>
      <c r="PXL45"/>
      <c r="PXM45"/>
      <c r="PXN45"/>
      <c r="PXO45"/>
      <c r="PXP45"/>
      <c r="PXQ45"/>
      <c r="PXR45"/>
      <c r="PXS45"/>
      <c r="PXT45"/>
      <c r="PXU45"/>
      <c r="PXV45"/>
      <c r="PXW45"/>
      <c r="PXX45"/>
      <c r="PXY45"/>
      <c r="PXZ45"/>
      <c r="PYA45"/>
      <c r="PYB45"/>
      <c r="PYC45"/>
      <c r="PYD45"/>
      <c r="PYE45"/>
      <c r="PYF45"/>
      <c r="PYG45"/>
      <c r="PYH45"/>
      <c r="PYI45"/>
      <c r="PYJ45"/>
      <c r="PYK45"/>
      <c r="PYL45"/>
      <c r="PYM45"/>
      <c r="PYN45"/>
      <c r="PYO45"/>
      <c r="PYP45"/>
      <c r="PYQ45"/>
      <c r="PYR45"/>
      <c r="PYS45"/>
      <c r="PYT45"/>
      <c r="PYU45"/>
      <c r="PYV45"/>
      <c r="PYW45"/>
      <c r="PYX45"/>
      <c r="PYY45"/>
      <c r="PYZ45"/>
      <c r="PZA45"/>
      <c r="PZB45"/>
      <c r="PZC45"/>
      <c r="PZD45"/>
      <c r="PZE45"/>
      <c r="PZF45"/>
      <c r="PZG45"/>
      <c r="PZH45"/>
      <c r="PZI45"/>
      <c r="PZJ45"/>
      <c r="PZK45"/>
      <c r="PZL45"/>
      <c r="PZM45"/>
      <c r="PZN45"/>
      <c r="PZO45"/>
      <c r="PZP45"/>
      <c r="PZQ45"/>
      <c r="PZR45"/>
      <c r="PZS45"/>
      <c r="PZT45"/>
      <c r="PZU45"/>
      <c r="PZV45"/>
      <c r="PZW45"/>
      <c r="PZX45"/>
      <c r="PZY45"/>
      <c r="PZZ45"/>
      <c r="QAA45"/>
      <c r="QAB45"/>
      <c r="QAC45"/>
      <c r="QAD45"/>
      <c r="QAE45"/>
      <c r="QAF45"/>
      <c r="QAG45"/>
      <c r="QAH45"/>
      <c r="QAI45"/>
      <c r="QAJ45"/>
      <c r="QAK45"/>
      <c r="QAL45"/>
      <c r="QAM45"/>
      <c r="QAN45"/>
      <c r="QAO45"/>
      <c r="QAP45"/>
      <c r="QAQ45"/>
      <c r="QAR45"/>
      <c r="QAS45"/>
      <c r="QAT45"/>
      <c r="QAU45"/>
      <c r="QAV45"/>
      <c r="QAW45"/>
      <c r="QAX45"/>
      <c r="QAY45"/>
      <c r="QAZ45"/>
      <c r="QBA45"/>
      <c r="QBB45"/>
      <c r="QBC45"/>
      <c r="QBD45"/>
      <c r="QBE45"/>
      <c r="QBF45"/>
      <c r="QBG45"/>
      <c r="QBH45"/>
      <c r="QBI45"/>
      <c r="QBJ45"/>
      <c r="QBK45"/>
      <c r="QBL45"/>
      <c r="QBM45"/>
      <c r="QBN45"/>
      <c r="QBO45"/>
      <c r="QBP45"/>
      <c r="QBQ45"/>
      <c r="QBR45"/>
      <c r="QBS45"/>
      <c r="QBT45"/>
      <c r="QBU45"/>
      <c r="QBV45"/>
      <c r="QBW45"/>
      <c r="QBX45"/>
      <c r="QBY45"/>
      <c r="QBZ45"/>
      <c r="QCA45"/>
      <c r="QCB45"/>
      <c r="QCC45"/>
      <c r="QCD45"/>
      <c r="QCE45"/>
      <c r="QCF45"/>
      <c r="QCG45"/>
      <c r="QCH45"/>
      <c r="QCI45"/>
      <c r="QCJ45"/>
      <c r="QCK45"/>
      <c r="QCL45"/>
      <c r="QCM45"/>
      <c r="QCN45"/>
      <c r="QCO45"/>
      <c r="QCP45"/>
      <c r="QCQ45"/>
      <c r="QCR45"/>
      <c r="QCS45"/>
      <c r="QCT45"/>
      <c r="QCU45"/>
      <c r="QCV45"/>
      <c r="QCW45"/>
      <c r="QCX45"/>
      <c r="QCY45"/>
      <c r="QCZ45"/>
      <c r="QDA45"/>
      <c r="QDB45"/>
      <c r="QDC45"/>
      <c r="QDD45"/>
      <c r="QDE45"/>
      <c r="QDF45"/>
      <c r="QDG45"/>
      <c r="QDH45"/>
      <c r="QDI45"/>
      <c r="QDJ45"/>
      <c r="QDK45"/>
      <c r="QDL45"/>
      <c r="QDM45"/>
      <c r="QDN45"/>
      <c r="QDO45"/>
      <c r="QDP45"/>
      <c r="QDQ45"/>
      <c r="QDR45"/>
      <c r="QDS45"/>
      <c r="QDT45"/>
      <c r="QDU45"/>
      <c r="QDV45"/>
      <c r="QDW45"/>
      <c r="QDX45"/>
      <c r="QDY45"/>
      <c r="QDZ45"/>
      <c r="QEA45"/>
      <c r="QEB45"/>
      <c r="QEC45"/>
      <c r="QED45"/>
      <c r="QEE45"/>
      <c r="QEF45"/>
      <c r="QEG45"/>
      <c r="QEH45"/>
      <c r="QEI45"/>
      <c r="QEJ45"/>
      <c r="QEK45"/>
      <c r="QEL45"/>
      <c r="QEM45"/>
      <c r="QEN45"/>
      <c r="QEO45"/>
      <c r="QEP45"/>
      <c r="QEQ45"/>
      <c r="QER45"/>
      <c r="QES45"/>
      <c r="QET45"/>
      <c r="QEU45"/>
      <c r="QEV45"/>
      <c r="QEW45"/>
      <c r="QEX45"/>
      <c r="QEY45"/>
      <c r="QEZ45"/>
      <c r="QFA45"/>
      <c r="QFB45"/>
      <c r="QFC45"/>
      <c r="QFD45"/>
      <c r="QFE45"/>
      <c r="QFF45"/>
      <c r="QFG45"/>
      <c r="QFH45"/>
      <c r="QFI45"/>
      <c r="QFJ45"/>
      <c r="QFK45"/>
      <c r="QFL45"/>
      <c r="QFM45"/>
      <c r="QFN45"/>
      <c r="QFO45"/>
      <c r="QFP45"/>
      <c r="QFQ45"/>
      <c r="QFR45"/>
      <c r="QFS45"/>
      <c r="QFT45"/>
      <c r="QFU45"/>
      <c r="QFV45"/>
      <c r="QFW45"/>
      <c r="QFX45"/>
      <c r="QFY45"/>
      <c r="QFZ45"/>
      <c r="QGA45"/>
      <c r="QGB45"/>
      <c r="QGC45"/>
      <c r="QGD45"/>
      <c r="QGE45"/>
      <c r="QGF45"/>
      <c r="QGG45"/>
      <c r="QGH45"/>
      <c r="QGI45"/>
      <c r="QGJ45"/>
      <c r="QGK45"/>
      <c r="QGL45"/>
      <c r="QGM45"/>
      <c r="QGN45"/>
      <c r="QGO45"/>
      <c r="QGP45"/>
      <c r="QGQ45"/>
      <c r="QGR45"/>
      <c r="QGS45"/>
      <c r="QGT45"/>
      <c r="QGU45"/>
      <c r="QGV45"/>
      <c r="QGW45"/>
      <c r="QGX45"/>
      <c r="QGY45"/>
      <c r="QGZ45"/>
      <c r="QHA45"/>
      <c r="QHB45"/>
      <c r="QHC45"/>
      <c r="QHD45"/>
      <c r="QHE45"/>
      <c r="QHF45"/>
      <c r="QHG45"/>
      <c r="QHH45"/>
      <c r="QHI45"/>
      <c r="QHJ45"/>
      <c r="QHK45"/>
      <c r="QHL45"/>
      <c r="QHM45"/>
      <c r="QHN45"/>
      <c r="QHO45"/>
      <c r="QHP45"/>
      <c r="QHQ45"/>
      <c r="QHR45"/>
      <c r="QHS45"/>
      <c r="QHT45"/>
      <c r="QHU45"/>
      <c r="QHV45"/>
      <c r="QHW45"/>
      <c r="QHX45"/>
      <c r="QHY45"/>
      <c r="QHZ45"/>
      <c r="QIA45"/>
      <c r="QIB45"/>
      <c r="QIC45"/>
      <c r="QID45"/>
      <c r="QIE45"/>
      <c r="QIF45"/>
      <c r="QIG45"/>
      <c r="QIH45"/>
      <c r="QII45"/>
      <c r="QIJ45"/>
      <c r="QIK45"/>
      <c r="QIL45"/>
      <c r="QIM45"/>
      <c r="QIN45"/>
      <c r="QIO45"/>
      <c r="QIP45"/>
      <c r="QIQ45"/>
      <c r="QIR45"/>
      <c r="QIS45"/>
      <c r="QIT45"/>
      <c r="QIU45"/>
      <c r="QIV45"/>
      <c r="QIW45"/>
      <c r="QIX45"/>
      <c r="QIY45"/>
      <c r="QIZ45"/>
      <c r="QJA45"/>
      <c r="QJB45"/>
      <c r="QJC45"/>
      <c r="QJD45"/>
      <c r="QJE45"/>
      <c r="QJF45"/>
      <c r="QJG45"/>
      <c r="QJH45"/>
      <c r="QJI45"/>
      <c r="QJJ45"/>
      <c r="QJK45"/>
      <c r="QJL45"/>
      <c r="QJM45"/>
      <c r="QJN45"/>
      <c r="QJO45"/>
      <c r="QJP45"/>
      <c r="QJQ45"/>
      <c r="QJR45"/>
      <c r="QJS45"/>
      <c r="QJT45"/>
      <c r="QJU45"/>
      <c r="QJV45"/>
      <c r="QJW45"/>
      <c r="QJX45"/>
      <c r="QJY45"/>
      <c r="QJZ45"/>
      <c r="QKA45"/>
      <c r="QKB45"/>
      <c r="QKC45"/>
      <c r="QKD45"/>
      <c r="QKE45"/>
      <c r="QKF45"/>
      <c r="QKG45"/>
      <c r="QKH45"/>
      <c r="QKI45"/>
      <c r="QKJ45"/>
      <c r="QKK45"/>
      <c r="QKL45"/>
      <c r="QKM45"/>
      <c r="QKN45"/>
      <c r="QKO45"/>
      <c r="QKP45"/>
      <c r="QKQ45"/>
      <c r="QKR45"/>
      <c r="QKS45"/>
      <c r="QKT45"/>
      <c r="QKU45"/>
      <c r="QKV45"/>
      <c r="QKW45"/>
      <c r="QKX45"/>
      <c r="QKY45"/>
      <c r="QKZ45"/>
      <c r="QLA45"/>
      <c r="QLB45"/>
      <c r="QLC45"/>
      <c r="QLD45"/>
      <c r="QLE45"/>
      <c r="QLF45"/>
      <c r="QLG45"/>
      <c r="QLH45"/>
      <c r="QLI45"/>
      <c r="QLJ45"/>
      <c r="QLK45"/>
      <c r="QLL45"/>
      <c r="QLM45"/>
      <c r="QLN45"/>
      <c r="QLO45"/>
      <c r="QLP45"/>
      <c r="QLQ45"/>
      <c r="QLR45"/>
      <c r="QLS45"/>
      <c r="QLT45"/>
      <c r="QLU45"/>
      <c r="QLV45"/>
      <c r="QLW45"/>
      <c r="QLX45"/>
      <c r="QLY45"/>
      <c r="QLZ45"/>
      <c r="QMA45"/>
      <c r="QMB45"/>
      <c r="QMC45"/>
      <c r="QMD45"/>
      <c r="QME45"/>
      <c r="QMF45"/>
      <c r="QMG45"/>
      <c r="QMH45"/>
      <c r="QMI45"/>
      <c r="QMJ45"/>
      <c r="QMK45"/>
      <c r="QML45"/>
      <c r="QMM45"/>
      <c r="QMN45"/>
      <c r="QMO45"/>
      <c r="QMP45"/>
      <c r="QMQ45"/>
      <c r="QMR45"/>
      <c r="QMS45"/>
      <c r="QMT45"/>
      <c r="QMU45"/>
      <c r="QMV45"/>
      <c r="QMW45"/>
      <c r="QMX45"/>
      <c r="QMY45"/>
      <c r="QMZ45"/>
      <c r="QNA45"/>
      <c r="QNB45"/>
      <c r="QNC45"/>
      <c r="QND45"/>
      <c r="QNE45"/>
      <c r="QNF45"/>
      <c r="QNG45"/>
      <c r="QNH45"/>
      <c r="QNI45"/>
      <c r="QNJ45"/>
      <c r="QNK45"/>
      <c r="QNL45"/>
      <c r="QNM45"/>
      <c r="QNN45"/>
      <c r="QNO45"/>
      <c r="QNP45"/>
      <c r="QNQ45"/>
      <c r="QNR45"/>
      <c r="QNS45"/>
      <c r="QNT45"/>
      <c r="QNU45"/>
      <c r="QNV45"/>
      <c r="QNW45"/>
      <c r="QNX45"/>
      <c r="QNY45"/>
      <c r="QNZ45"/>
      <c r="QOA45"/>
      <c r="QOB45"/>
      <c r="QOC45"/>
      <c r="QOD45"/>
      <c r="QOE45"/>
      <c r="QOF45"/>
      <c r="QOG45"/>
      <c r="QOH45"/>
      <c r="QOI45"/>
      <c r="QOJ45"/>
      <c r="QOK45"/>
      <c r="QOL45"/>
      <c r="QOM45"/>
      <c r="QON45"/>
      <c r="QOO45"/>
      <c r="QOP45"/>
      <c r="QOQ45"/>
      <c r="QOR45"/>
      <c r="QOS45"/>
      <c r="QOT45"/>
      <c r="QOU45"/>
      <c r="QOV45"/>
      <c r="QOW45"/>
      <c r="QOX45"/>
      <c r="QOY45"/>
      <c r="QOZ45"/>
      <c r="QPA45"/>
      <c r="QPB45"/>
      <c r="QPC45"/>
      <c r="QPD45"/>
      <c r="QPE45"/>
      <c r="QPF45"/>
      <c r="QPG45"/>
      <c r="QPH45"/>
      <c r="QPI45"/>
      <c r="QPJ45"/>
      <c r="QPK45"/>
      <c r="QPL45"/>
      <c r="QPM45"/>
      <c r="QPN45"/>
      <c r="QPO45"/>
      <c r="QPP45"/>
      <c r="QPQ45"/>
      <c r="QPR45"/>
      <c r="QPS45"/>
      <c r="QPT45"/>
      <c r="QPU45"/>
      <c r="QPV45"/>
      <c r="QPW45"/>
      <c r="QPX45"/>
      <c r="QPY45"/>
      <c r="QPZ45"/>
      <c r="QQA45"/>
      <c r="QQB45"/>
      <c r="QQC45"/>
      <c r="QQD45"/>
      <c r="QQE45"/>
      <c r="QQF45"/>
      <c r="QQG45"/>
      <c r="QQH45"/>
      <c r="QQI45"/>
      <c r="QQJ45"/>
      <c r="QQK45"/>
      <c r="QQL45"/>
      <c r="QQM45"/>
      <c r="QQN45"/>
      <c r="QQO45"/>
      <c r="QQP45"/>
      <c r="QQQ45"/>
      <c r="QQR45"/>
      <c r="QQS45"/>
      <c r="QQT45"/>
      <c r="QQU45"/>
      <c r="QQV45"/>
      <c r="QQW45"/>
      <c r="QQX45"/>
      <c r="QQY45"/>
      <c r="QQZ45"/>
      <c r="QRA45"/>
      <c r="QRB45"/>
      <c r="QRC45"/>
      <c r="QRD45"/>
      <c r="QRE45"/>
      <c r="QRF45"/>
      <c r="QRG45"/>
      <c r="QRH45"/>
      <c r="QRI45"/>
      <c r="QRJ45"/>
      <c r="QRK45"/>
      <c r="QRL45"/>
      <c r="QRM45"/>
      <c r="QRN45"/>
      <c r="QRO45"/>
      <c r="QRP45"/>
      <c r="QRQ45"/>
      <c r="QRR45"/>
      <c r="QRS45"/>
      <c r="QRT45"/>
      <c r="QRU45"/>
      <c r="QRV45"/>
      <c r="QRW45"/>
      <c r="QRX45"/>
      <c r="QRY45"/>
      <c r="QRZ45"/>
      <c r="QSA45"/>
      <c r="QSB45"/>
      <c r="QSC45"/>
      <c r="QSD45"/>
      <c r="QSE45"/>
      <c r="QSF45"/>
      <c r="QSG45"/>
      <c r="QSH45"/>
      <c r="QSI45"/>
      <c r="QSJ45"/>
      <c r="QSK45"/>
      <c r="QSL45"/>
      <c r="QSM45"/>
      <c r="QSN45"/>
      <c r="QSO45"/>
      <c r="QSP45"/>
      <c r="QSQ45"/>
      <c r="QSR45"/>
      <c r="QSS45"/>
      <c r="QST45"/>
      <c r="QSU45"/>
      <c r="QSV45"/>
      <c r="QSW45"/>
      <c r="QSX45"/>
      <c r="QSY45"/>
      <c r="QSZ45"/>
      <c r="QTA45"/>
      <c r="QTB45"/>
      <c r="QTC45"/>
      <c r="QTD45"/>
      <c r="QTE45"/>
      <c r="QTF45"/>
      <c r="QTG45"/>
      <c r="QTH45"/>
      <c r="QTI45"/>
      <c r="QTJ45"/>
      <c r="QTK45"/>
      <c r="QTL45"/>
      <c r="QTM45"/>
      <c r="QTN45"/>
      <c r="QTO45"/>
      <c r="QTP45"/>
      <c r="QTQ45"/>
      <c r="QTR45"/>
      <c r="QTS45"/>
      <c r="QTT45"/>
      <c r="QTU45"/>
      <c r="QTV45"/>
      <c r="QTW45"/>
      <c r="QTX45"/>
      <c r="QTY45"/>
      <c r="QTZ45"/>
      <c r="QUA45"/>
      <c r="QUB45"/>
      <c r="QUC45"/>
      <c r="QUD45"/>
      <c r="QUE45"/>
      <c r="QUF45"/>
      <c r="QUG45"/>
      <c r="QUH45"/>
      <c r="QUI45"/>
      <c r="QUJ45"/>
      <c r="QUK45"/>
      <c r="QUL45"/>
      <c r="QUM45"/>
      <c r="QUN45"/>
      <c r="QUO45"/>
      <c r="QUP45"/>
      <c r="QUQ45"/>
      <c r="QUR45"/>
      <c r="QUS45"/>
      <c r="QUT45"/>
      <c r="QUU45"/>
      <c r="QUV45"/>
      <c r="QUW45"/>
      <c r="QUX45"/>
      <c r="QUY45"/>
      <c r="QUZ45"/>
      <c r="QVA45"/>
      <c r="QVB45"/>
      <c r="QVC45"/>
      <c r="QVD45"/>
      <c r="QVE45"/>
      <c r="QVF45"/>
      <c r="QVG45"/>
      <c r="QVH45"/>
      <c r="QVI45"/>
      <c r="QVJ45"/>
      <c r="QVK45"/>
      <c r="QVL45"/>
      <c r="QVM45"/>
      <c r="QVN45"/>
      <c r="QVO45"/>
      <c r="QVP45"/>
      <c r="QVQ45"/>
      <c r="QVR45"/>
      <c r="QVS45"/>
      <c r="QVT45"/>
      <c r="QVU45"/>
      <c r="QVV45"/>
      <c r="QVW45"/>
      <c r="QVX45"/>
      <c r="QVY45"/>
      <c r="QVZ45"/>
      <c r="QWA45"/>
      <c r="QWB45"/>
      <c r="QWC45"/>
      <c r="QWD45"/>
      <c r="QWE45"/>
      <c r="QWF45"/>
      <c r="QWG45"/>
      <c r="QWH45"/>
      <c r="QWI45"/>
      <c r="QWJ45"/>
      <c r="QWK45"/>
      <c r="QWL45"/>
      <c r="QWM45"/>
      <c r="QWN45"/>
      <c r="QWO45"/>
      <c r="QWP45"/>
      <c r="QWQ45"/>
      <c r="QWR45"/>
      <c r="QWS45"/>
      <c r="QWT45"/>
      <c r="QWU45"/>
      <c r="QWV45"/>
      <c r="QWW45"/>
      <c r="QWX45"/>
      <c r="QWY45"/>
      <c r="QWZ45"/>
      <c r="QXA45"/>
      <c r="QXB45"/>
      <c r="QXC45"/>
      <c r="QXD45"/>
      <c r="QXE45"/>
      <c r="QXF45"/>
      <c r="QXG45"/>
      <c r="QXH45"/>
      <c r="QXI45"/>
      <c r="QXJ45"/>
      <c r="QXK45"/>
      <c r="QXL45"/>
      <c r="QXM45"/>
      <c r="QXN45"/>
      <c r="QXO45"/>
      <c r="QXP45"/>
      <c r="QXQ45"/>
      <c r="QXR45"/>
      <c r="QXS45"/>
      <c r="QXT45"/>
      <c r="QXU45"/>
      <c r="QXV45"/>
      <c r="QXW45"/>
      <c r="QXX45"/>
      <c r="QXY45"/>
      <c r="QXZ45"/>
      <c r="QYA45"/>
      <c r="QYB45"/>
      <c r="QYC45"/>
      <c r="QYD45"/>
      <c r="QYE45"/>
      <c r="QYF45"/>
      <c r="QYG45"/>
      <c r="QYH45"/>
      <c r="QYI45"/>
      <c r="QYJ45"/>
      <c r="QYK45"/>
      <c r="QYL45"/>
      <c r="QYM45"/>
      <c r="QYN45"/>
      <c r="QYO45"/>
      <c r="QYP45"/>
      <c r="QYQ45"/>
      <c r="QYR45"/>
      <c r="QYS45"/>
      <c r="QYT45"/>
      <c r="QYU45"/>
      <c r="QYV45"/>
      <c r="QYW45"/>
      <c r="QYX45"/>
      <c r="QYY45"/>
      <c r="QYZ45"/>
      <c r="QZA45"/>
      <c r="QZB45"/>
      <c r="QZC45"/>
      <c r="QZD45"/>
      <c r="QZE45"/>
      <c r="QZF45"/>
      <c r="QZG45"/>
      <c r="QZH45"/>
      <c r="QZI45"/>
      <c r="QZJ45"/>
      <c r="QZK45"/>
      <c r="QZL45"/>
      <c r="QZM45"/>
      <c r="QZN45"/>
      <c r="QZO45"/>
      <c r="QZP45"/>
      <c r="QZQ45"/>
      <c r="QZR45"/>
      <c r="QZS45"/>
      <c r="QZT45"/>
      <c r="QZU45"/>
      <c r="QZV45"/>
      <c r="QZW45"/>
      <c r="QZX45"/>
      <c r="QZY45"/>
      <c r="QZZ45"/>
      <c r="RAA45"/>
      <c r="RAB45"/>
      <c r="RAC45"/>
      <c r="RAD45"/>
      <c r="RAE45"/>
      <c r="RAF45"/>
      <c r="RAG45"/>
      <c r="RAH45"/>
      <c r="RAI45"/>
      <c r="RAJ45"/>
      <c r="RAK45"/>
      <c r="RAL45"/>
      <c r="RAM45"/>
      <c r="RAN45"/>
      <c r="RAO45"/>
      <c r="RAP45"/>
      <c r="RAQ45"/>
      <c r="RAR45"/>
      <c r="RAS45"/>
      <c r="RAT45"/>
      <c r="RAU45"/>
      <c r="RAV45"/>
      <c r="RAW45"/>
      <c r="RAX45"/>
      <c r="RAY45"/>
      <c r="RAZ45"/>
      <c r="RBA45"/>
      <c r="RBB45"/>
      <c r="RBC45"/>
      <c r="RBD45"/>
      <c r="RBE45"/>
      <c r="RBF45"/>
      <c r="RBG45"/>
      <c r="RBH45"/>
      <c r="RBI45"/>
      <c r="RBJ45"/>
      <c r="RBK45"/>
      <c r="RBL45"/>
      <c r="RBM45"/>
      <c r="RBN45"/>
      <c r="RBO45"/>
      <c r="RBP45"/>
      <c r="RBQ45"/>
      <c r="RBR45"/>
      <c r="RBS45"/>
      <c r="RBT45"/>
      <c r="RBU45"/>
      <c r="RBV45"/>
      <c r="RBW45"/>
      <c r="RBX45"/>
      <c r="RBY45"/>
      <c r="RBZ45"/>
      <c r="RCA45"/>
      <c r="RCB45"/>
      <c r="RCC45"/>
      <c r="RCD45"/>
      <c r="RCE45"/>
      <c r="RCF45"/>
      <c r="RCG45"/>
      <c r="RCH45"/>
      <c r="RCI45"/>
      <c r="RCJ45"/>
      <c r="RCK45"/>
      <c r="RCL45"/>
      <c r="RCM45"/>
      <c r="RCN45"/>
      <c r="RCO45"/>
      <c r="RCP45"/>
      <c r="RCQ45"/>
      <c r="RCR45"/>
      <c r="RCS45"/>
      <c r="RCT45"/>
      <c r="RCU45"/>
      <c r="RCV45"/>
      <c r="RCW45"/>
      <c r="RCX45"/>
      <c r="RCY45"/>
      <c r="RCZ45"/>
      <c r="RDA45"/>
      <c r="RDB45"/>
      <c r="RDC45"/>
      <c r="RDD45"/>
      <c r="RDE45"/>
      <c r="RDF45"/>
      <c r="RDG45"/>
      <c r="RDH45"/>
      <c r="RDI45"/>
      <c r="RDJ45"/>
      <c r="RDK45"/>
      <c r="RDL45"/>
      <c r="RDM45"/>
      <c r="RDN45"/>
      <c r="RDO45"/>
      <c r="RDP45"/>
      <c r="RDQ45"/>
      <c r="RDR45"/>
      <c r="RDS45"/>
      <c r="RDT45"/>
      <c r="RDU45"/>
      <c r="RDV45"/>
      <c r="RDW45"/>
      <c r="RDX45"/>
      <c r="RDY45"/>
      <c r="RDZ45"/>
      <c r="REA45"/>
      <c r="REB45"/>
      <c r="REC45"/>
      <c r="RED45"/>
      <c r="REE45"/>
      <c r="REF45"/>
      <c r="REG45"/>
      <c r="REH45"/>
      <c r="REI45"/>
      <c r="REJ45"/>
      <c r="REK45"/>
      <c r="REL45"/>
      <c r="REM45"/>
      <c r="REN45"/>
      <c r="REO45"/>
      <c r="REP45"/>
      <c r="REQ45"/>
      <c r="RER45"/>
      <c r="RES45"/>
      <c r="RET45"/>
      <c r="REU45"/>
      <c r="REV45"/>
      <c r="REW45"/>
      <c r="REX45"/>
      <c r="REY45"/>
      <c r="REZ45"/>
      <c r="RFA45"/>
      <c r="RFB45"/>
      <c r="RFC45"/>
      <c r="RFD45"/>
      <c r="RFE45"/>
      <c r="RFF45"/>
      <c r="RFG45"/>
      <c r="RFH45"/>
      <c r="RFI45"/>
      <c r="RFJ45"/>
      <c r="RFK45"/>
      <c r="RFL45"/>
      <c r="RFM45"/>
      <c r="RFN45"/>
      <c r="RFO45"/>
      <c r="RFP45"/>
      <c r="RFQ45"/>
      <c r="RFR45"/>
      <c r="RFS45"/>
      <c r="RFT45"/>
      <c r="RFU45"/>
      <c r="RFV45"/>
      <c r="RFW45"/>
      <c r="RFX45"/>
      <c r="RFY45"/>
      <c r="RFZ45"/>
      <c r="RGA45"/>
      <c r="RGB45"/>
      <c r="RGC45"/>
      <c r="RGD45"/>
      <c r="RGE45"/>
      <c r="RGF45"/>
      <c r="RGG45"/>
      <c r="RGH45"/>
      <c r="RGI45"/>
      <c r="RGJ45"/>
      <c r="RGK45"/>
      <c r="RGL45"/>
      <c r="RGM45"/>
      <c r="RGN45"/>
      <c r="RGO45"/>
      <c r="RGP45"/>
      <c r="RGQ45"/>
      <c r="RGR45"/>
      <c r="RGS45"/>
      <c r="RGT45"/>
      <c r="RGU45"/>
      <c r="RGV45"/>
      <c r="RGW45"/>
      <c r="RGX45"/>
      <c r="RGY45"/>
      <c r="RGZ45"/>
      <c r="RHA45"/>
      <c r="RHB45"/>
      <c r="RHC45"/>
      <c r="RHD45"/>
      <c r="RHE45"/>
      <c r="RHF45"/>
      <c r="RHG45"/>
      <c r="RHH45"/>
      <c r="RHI45"/>
      <c r="RHJ45"/>
      <c r="RHK45"/>
      <c r="RHL45"/>
      <c r="RHM45"/>
      <c r="RHN45"/>
      <c r="RHO45"/>
      <c r="RHP45"/>
      <c r="RHQ45"/>
      <c r="RHR45"/>
      <c r="RHS45"/>
      <c r="RHT45"/>
      <c r="RHU45"/>
      <c r="RHV45"/>
      <c r="RHW45"/>
      <c r="RHX45"/>
      <c r="RHY45"/>
      <c r="RHZ45"/>
      <c r="RIA45"/>
      <c r="RIB45"/>
      <c r="RIC45"/>
      <c r="RID45"/>
      <c r="RIE45"/>
      <c r="RIF45"/>
      <c r="RIG45"/>
      <c r="RIH45"/>
      <c r="RII45"/>
      <c r="RIJ45"/>
      <c r="RIK45"/>
      <c r="RIL45"/>
      <c r="RIM45"/>
      <c r="RIN45"/>
      <c r="RIO45"/>
      <c r="RIP45"/>
      <c r="RIQ45"/>
      <c r="RIR45"/>
      <c r="RIS45"/>
      <c r="RIT45"/>
      <c r="RIU45"/>
      <c r="RIV45"/>
      <c r="RIW45"/>
      <c r="RIX45"/>
      <c r="RIY45"/>
      <c r="RIZ45"/>
      <c r="RJA45"/>
      <c r="RJB45"/>
      <c r="RJC45"/>
      <c r="RJD45"/>
      <c r="RJE45"/>
      <c r="RJF45"/>
      <c r="RJG45"/>
      <c r="RJH45"/>
      <c r="RJI45"/>
      <c r="RJJ45"/>
      <c r="RJK45"/>
      <c r="RJL45"/>
      <c r="RJM45"/>
      <c r="RJN45"/>
      <c r="RJO45"/>
      <c r="RJP45"/>
      <c r="RJQ45"/>
      <c r="RJR45"/>
      <c r="RJS45"/>
      <c r="RJT45"/>
      <c r="RJU45"/>
      <c r="RJV45"/>
      <c r="RJW45"/>
      <c r="RJX45"/>
      <c r="RJY45"/>
      <c r="RJZ45"/>
      <c r="RKA45"/>
      <c r="RKB45"/>
      <c r="RKC45"/>
      <c r="RKD45"/>
      <c r="RKE45"/>
      <c r="RKF45"/>
      <c r="RKG45"/>
      <c r="RKH45"/>
      <c r="RKI45"/>
      <c r="RKJ45"/>
      <c r="RKK45"/>
      <c r="RKL45"/>
      <c r="RKM45"/>
      <c r="RKN45"/>
      <c r="RKO45"/>
      <c r="RKP45"/>
      <c r="RKQ45"/>
      <c r="RKR45"/>
      <c r="RKS45"/>
      <c r="RKT45"/>
      <c r="RKU45"/>
      <c r="RKV45"/>
      <c r="RKW45"/>
      <c r="RKX45"/>
      <c r="RKY45"/>
      <c r="RKZ45"/>
      <c r="RLA45"/>
      <c r="RLB45"/>
      <c r="RLC45"/>
      <c r="RLD45"/>
      <c r="RLE45"/>
      <c r="RLF45"/>
      <c r="RLG45"/>
      <c r="RLH45"/>
      <c r="RLI45"/>
      <c r="RLJ45"/>
      <c r="RLK45"/>
      <c r="RLL45"/>
      <c r="RLM45"/>
      <c r="RLN45"/>
      <c r="RLO45"/>
      <c r="RLP45"/>
      <c r="RLQ45"/>
      <c r="RLR45"/>
      <c r="RLS45"/>
      <c r="RLT45"/>
      <c r="RLU45"/>
      <c r="RLV45"/>
      <c r="RLW45"/>
      <c r="RLX45"/>
      <c r="RLY45"/>
      <c r="RLZ45"/>
      <c r="RMA45"/>
      <c r="RMB45"/>
      <c r="RMC45"/>
      <c r="RMD45"/>
      <c r="RME45"/>
      <c r="RMF45"/>
      <c r="RMG45"/>
      <c r="RMH45"/>
      <c r="RMI45"/>
      <c r="RMJ45"/>
      <c r="RMK45"/>
      <c r="RML45"/>
      <c r="RMM45"/>
      <c r="RMN45"/>
      <c r="RMO45"/>
      <c r="RMP45"/>
      <c r="RMQ45"/>
      <c r="RMR45"/>
      <c r="RMS45"/>
      <c r="RMT45"/>
      <c r="RMU45"/>
      <c r="RMV45"/>
      <c r="RMW45"/>
      <c r="RMX45"/>
      <c r="RMY45"/>
      <c r="RMZ45"/>
      <c r="RNA45"/>
      <c r="RNB45"/>
      <c r="RNC45"/>
      <c r="RND45"/>
      <c r="RNE45"/>
      <c r="RNF45"/>
      <c r="RNG45"/>
      <c r="RNH45"/>
      <c r="RNI45"/>
      <c r="RNJ45"/>
      <c r="RNK45"/>
      <c r="RNL45"/>
      <c r="RNM45"/>
      <c r="RNN45"/>
      <c r="RNO45"/>
      <c r="RNP45"/>
      <c r="RNQ45"/>
      <c r="RNR45"/>
      <c r="RNS45"/>
      <c r="RNT45"/>
      <c r="RNU45"/>
      <c r="RNV45"/>
      <c r="RNW45"/>
      <c r="RNX45"/>
      <c r="RNY45"/>
      <c r="RNZ45"/>
      <c r="ROA45"/>
      <c r="ROB45"/>
      <c r="ROC45"/>
      <c r="ROD45"/>
      <c r="ROE45"/>
      <c r="ROF45"/>
      <c r="ROG45"/>
      <c r="ROH45"/>
      <c r="ROI45"/>
      <c r="ROJ45"/>
      <c r="ROK45"/>
      <c r="ROL45"/>
      <c r="ROM45"/>
      <c r="RON45"/>
      <c r="ROO45"/>
      <c r="ROP45"/>
      <c r="ROQ45"/>
      <c r="ROR45"/>
      <c r="ROS45"/>
      <c r="ROT45"/>
      <c r="ROU45"/>
      <c r="ROV45"/>
      <c r="ROW45"/>
      <c r="ROX45"/>
      <c r="ROY45"/>
      <c r="ROZ45"/>
      <c r="RPA45"/>
      <c r="RPB45"/>
      <c r="RPC45"/>
      <c r="RPD45"/>
      <c r="RPE45"/>
      <c r="RPF45"/>
      <c r="RPG45"/>
      <c r="RPH45"/>
      <c r="RPI45"/>
      <c r="RPJ45"/>
      <c r="RPK45"/>
      <c r="RPL45"/>
      <c r="RPM45"/>
      <c r="RPN45"/>
      <c r="RPO45"/>
      <c r="RPP45"/>
      <c r="RPQ45"/>
      <c r="RPR45"/>
      <c r="RPS45"/>
      <c r="RPT45"/>
      <c r="RPU45"/>
      <c r="RPV45"/>
      <c r="RPW45"/>
      <c r="RPX45"/>
      <c r="RPY45"/>
      <c r="RPZ45"/>
      <c r="RQA45"/>
      <c r="RQB45"/>
      <c r="RQC45"/>
      <c r="RQD45"/>
      <c r="RQE45"/>
      <c r="RQF45"/>
      <c r="RQG45"/>
      <c r="RQH45"/>
      <c r="RQI45"/>
      <c r="RQJ45"/>
      <c r="RQK45"/>
      <c r="RQL45"/>
      <c r="RQM45"/>
      <c r="RQN45"/>
      <c r="RQO45"/>
      <c r="RQP45"/>
      <c r="RQQ45"/>
      <c r="RQR45"/>
      <c r="RQS45"/>
      <c r="RQT45"/>
      <c r="RQU45"/>
      <c r="RQV45"/>
      <c r="RQW45"/>
      <c r="RQX45"/>
      <c r="RQY45"/>
      <c r="RQZ45"/>
      <c r="RRA45"/>
      <c r="RRB45"/>
      <c r="RRC45"/>
      <c r="RRD45"/>
      <c r="RRE45"/>
      <c r="RRF45"/>
      <c r="RRG45"/>
      <c r="RRH45"/>
      <c r="RRI45"/>
      <c r="RRJ45"/>
      <c r="RRK45"/>
      <c r="RRL45"/>
      <c r="RRM45"/>
      <c r="RRN45"/>
      <c r="RRO45"/>
      <c r="RRP45"/>
      <c r="RRQ45"/>
      <c r="RRR45"/>
      <c r="RRS45"/>
      <c r="RRT45"/>
      <c r="RRU45"/>
      <c r="RRV45"/>
      <c r="RRW45"/>
      <c r="RRX45"/>
      <c r="RRY45"/>
      <c r="RRZ45"/>
      <c r="RSA45"/>
      <c r="RSB45"/>
      <c r="RSC45"/>
      <c r="RSD45"/>
      <c r="RSE45"/>
      <c r="RSF45"/>
      <c r="RSG45"/>
      <c r="RSH45"/>
      <c r="RSI45"/>
      <c r="RSJ45"/>
      <c r="RSK45"/>
      <c r="RSL45"/>
      <c r="RSM45"/>
      <c r="RSN45"/>
      <c r="RSO45"/>
      <c r="RSP45"/>
      <c r="RSQ45"/>
      <c r="RSR45"/>
      <c r="RSS45"/>
      <c r="RST45"/>
      <c r="RSU45"/>
      <c r="RSV45"/>
      <c r="RSW45"/>
      <c r="RSX45"/>
      <c r="RSY45"/>
      <c r="RSZ45"/>
      <c r="RTA45"/>
      <c r="RTB45"/>
      <c r="RTC45"/>
      <c r="RTD45"/>
      <c r="RTE45"/>
      <c r="RTF45"/>
      <c r="RTG45"/>
      <c r="RTH45"/>
      <c r="RTI45"/>
      <c r="RTJ45"/>
      <c r="RTK45"/>
      <c r="RTL45"/>
      <c r="RTM45"/>
      <c r="RTN45"/>
      <c r="RTO45"/>
      <c r="RTP45"/>
      <c r="RTQ45"/>
      <c r="RTR45"/>
      <c r="RTS45"/>
      <c r="RTT45"/>
      <c r="RTU45"/>
      <c r="RTV45"/>
      <c r="RTW45"/>
      <c r="RTX45"/>
      <c r="RTY45"/>
      <c r="RTZ45"/>
      <c r="RUA45"/>
      <c r="RUB45"/>
      <c r="RUC45"/>
      <c r="RUD45"/>
      <c r="RUE45"/>
      <c r="RUF45"/>
      <c r="RUG45"/>
      <c r="RUH45"/>
      <c r="RUI45"/>
      <c r="RUJ45"/>
      <c r="RUK45"/>
      <c r="RUL45"/>
      <c r="RUM45"/>
      <c r="RUN45"/>
      <c r="RUO45"/>
      <c r="RUP45"/>
      <c r="RUQ45"/>
      <c r="RUR45"/>
      <c r="RUS45"/>
      <c r="RUT45"/>
      <c r="RUU45"/>
      <c r="RUV45"/>
      <c r="RUW45"/>
      <c r="RUX45"/>
      <c r="RUY45"/>
      <c r="RUZ45"/>
      <c r="RVA45"/>
      <c r="RVB45"/>
      <c r="RVC45"/>
      <c r="RVD45"/>
      <c r="RVE45"/>
      <c r="RVF45"/>
      <c r="RVG45"/>
      <c r="RVH45"/>
      <c r="RVI45"/>
      <c r="RVJ45"/>
      <c r="RVK45"/>
      <c r="RVL45"/>
      <c r="RVM45"/>
      <c r="RVN45"/>
      <c r="RVO45"/>
      <c r="RVP45"/>
      <c r="RVQ45"/>
      <c r="RVR45"/>
      <c r="RVS45"/>
      <c r="RVT45"/>
      <c r="RVU45"/>
      <c r="RVV45"/>
      <c r="RVW45"/>
      <c r="RVX45"/>
      <c r="RVY45"/>
      <c r="RVZ45"/>
      <c r="RWA45"/>
      <c r="RWB45"/>
      <c r="RWC45"/>
      <c r="RWD45"/>
      <c r="RWE45"/>
      <c r="RWF45"/>
      <c r="RWG45"/>
      <c r="RWH45"/>
      <c r="RWI45"/>
      <c r="RWJ45"/>
      <c r="RWK45"/>
      <c r="RWL45"/>
      <c r="RWM45"/>
      <c r="RWN45"/>
      <c r="RWO45"/>
      <c r="RWP45"/>
      <c r="RWQ45"/>
      <c r="RWR45"/>
      <c r="RWS45"/>
      <c r="RWT45"/>
      <c r="RWU45"/>
      <c r="RWV45"/>
      <c r="RWW45"/>
      <c r="RWX45"/>
      <c r="RWY45"/>
      <c r="RWZ45"/>
      <c r="RXA45"/>
      <c r="RXB45"/>
      <c r="RXC45"/>
      <c r="RXD45"/>
      <c r="RXE45"/>
      <c r="RXF45"/>
      <c r="RXG45"/>
      <c r="RXH45"/>
      <c r="RXI45"/>
      <c r="RXJ45"/>
      <c r="RXK45"/>
      <c r="RXL45"/>
      <c r="RXM45"/>
      <c r="RXN45"/>
      <c r="RXO45"/>
      <c r="RXP45"/>
      <c r="RXQ45"/>
      <c r="RXR45"/>
      <c r="RXS45"/>
      <c r="RXT45"/>
      <c r="RXU45"/>
      <c r="RXV45"/>
      <c r="RXW45"/>
      <c r="RXX45"/>
      <c r="RXY45"/>
      <c r="RXZ45"/>
      <c r="RYA45"/>
      <c r="RYB45"/>
      <c r="RYC45"/>
      <c r="RYD45"/>
      <c r="RYE45"/>
      <c r="RYF45"/>
      <c r="RYG45"/>
      <c r="RYH45"/>
      <c r="RYI45"/>
      <c r="RYJ45"/>
      <c r="RYK45"/>
      <c r="RYL45"/>
      <c r="RYM45"/>
      <c r="RYN45"/>
      <c r="RYO45"/>
      <c r="RYP45"/>
      <c r="RYQ45"/>
      <c r="RYR45"/>
      <c r="RYS45"/>
      <c r="RYT45"/>
      <c r="RYU45"/>
      <c r="RYV45"/>
      <c r="RYW45"/>
      <c r="RYX45"/>
      <c r="RYY45"/>
      <c r="RYZ45"/>
      <c r="RZA45"/>
      <c r="RZB45"/>
      <c r="RZC45"/>
      <c r="RZD45"/>
      <c r="RZE45"/>
      <c r="RZF45"/>
      <c r="RZG45"/>
      <c r="RZH45"/>
      <c r="RZI45"/>
      <c r="RZJ45"/>
      <c r="RZK45"/>
      <c r="RZL45"/>
      <c r="RZM45"/>
      <c r="RZN45"/>
      <c r="RZO45"/>
      <c r="RZP45"/>
      <c r="RZQ45"/>
      <c r="RZR45"/>
      <c r="RZS45"/>
      <c r="RZT45"/>
      <c r="RZU45"/>
      <c r="RZV45"/>
      <c r="RZW45"/>
      <c r="RZX45"/>
      <c r="RZY45"/>
      <c r="RZZ45"/>
      <c r="SAA45"/>
      <c r="SAB45"/>
      <c r="SAC45"/>
      <c r="SAD45"/>
      <c r="SAE45"/>
      <c r="SAF45"/>
      <c r="SAG45"/>
      <c r="SAH45"/>
      <c r="SAI45"/>
      <c r="SAJ45"/>
      <c r="SAK45"/>
      <c r="SAL45"/>
      <c r="SAM45"/>
      <c r="SAN45"/>
      <c r="SAO45"/>
      <c r="SAP45"/>
      <c r="SAQ45"/>
      <c r="SAR45"/>
      <c r="SAS45"/>
      <c r="SAT45"/>
      <c r="SAU45"/>
      <c r="SAV45"/>
      <c r="SAW45"/>
      <c r="SAX45"/>
      <c r="SAY45"/>
      <c r="SAZ45"/>
      <c r="SBA45"/>
      <c r="SBB45"/>
      <c r="SBC45"/>
      <c r="SBD45"/>
      <c r="SBE45"/>
      <c r="SBF45"/>
      <c r="SBG45"/>
      <c r="SBH45"/>
      <c r="SBI45"/>
      <c r="SBJ45"/>
      <c r="SBK45"/>
      <c r="SBL45"/>
      <c r="SBM45"/>
      <c r="SBN45"/>
      <c r="SBO45"/>
      <c r="SBP45"/>
      <c r="SBQ45"/>
      <c r="SBR45"/>
      <c r="SBS45"/>
      <c r="SBT45"/>
      <c r="SBU45"/>
      <c r="SBV45"/>
      <c r="SBW45"/>
      <c r="SBX45"/>
      <c r="SBY45"/>
      <c r="SBZ45"/>
      <c r="SCA45"/>
      <c r="SCB45"/>
      <c r="SCC45"/>
      <c r="SCD45"/>
      <c r="SCE45"/>
      <c r="SCF45"/>
      <c r="SCG45"/>
      <c r="SCH45"/>
      <c r="SCI45"/>
      <c r="SCJ45"/>
      <c r="SCK45"/>
      <c r="SCL45"/>
      <c r="SCM45"/>
      <c r="SCN45"/>
      <c r="SCO45"/>
      <c r="SCP45"/>
      <c r="SCQ45"/>
      <c r="SCR45"/>
      <c r="SCS45"/>
      <c r="SCT45"/>
      <c r="SCU45"/>
      <c r="SCV45"/>
      <c r="SCW45"/>
      <c r="SCX45"/>
      <c r="SCY45"/>
      <c r="SCZ45"/>
      <c r="SDA45"/>
      <c r="SDB45"/>
      <c r="SDC45"/>
      <c r="SDD45"/>
      <c r="SDE45"/>
      <c r="SDF45"/>
      <c r="SDG45"/>
      <c r="SDH45"/>
      <c r="SDI45"/>
      <c r="SDJ45"/>
      <c r="SDK45"/>
      <c r="SDL45"/>
      <c r="SDM45"/>
      <c r="SDN45"/>
      <c r="SDO45"/>
      <c r="SDP45"/>
      <c r="SDQ45"/>
      <c r="SDR45"/>
      <c r="SDS45"/>
      <c r="SDT45"/>
      <c r="SDU45"/>
      <c r="SDV45"/>
      <c r="SDW45"/>
      <c r="SDX45"/>
      <c r="SDY45"/>
      <c r="SDZ45"/>
      <c r="SEA45"/>
      <c r="SEB45"/>
      <c r="SEC45"/>
      <c r="SED45"/>
      <c r="SEE45"/>
      <c r="SEF45"/>
      <c r="SEG45"/>
      <c r="SEH45"/>
      <c r="SEI45"/>
      <c r="SEJ45"/>
      <c r="SEK45"/>
      <c r="SEL45"/>
      <c r="SEM45"/>
      <c r="SEN45"/>
      <c r="SEO45"/>
      <c r="SEP45"/>
      <c r="SEQ45"/>
      <c r="SER45"/>
      <c r="SES45"/>
      <c r="SET45"/>
      <c r="SEU45"/>
      <c r="SEV45"/>
      <c r="SEW45"/>
      <c r="SEX45"/>
      <c r="SEY45"/>
      <c r="SEZ45"/>
      <c r="SFA45"/>
      <c r="SFB45"/>
      <c r="SFC45"/>
      <c r="SFD45"/>
      <c r="SFE45"/>
      <c r="SFF45"/>
      <c r="SFG45"/>
      <c r="SFH45"/>
      <c r="SFI45"/>
      <c r="SFJ45"/>
      <c r="SFK45"/>
      <c r="SFL45"/>
      <c r="SFM45"/>
      <c r="SFN45"/>
      <c r="SFO45"/>
      <c r="SFP45"/>
      <c r="SFQ45"/>
      <c r="SFR45"/>
      <c r="SFS45"/>
      <c r="SFT45"/>
      <c r="SFU45"/>
      <c r="SFV45"/>
      <c r="SFW45"/>
      <c r="SFX45"/>
      <c r="SFY45"/>
      <c r="SFZ45"/>
      <c r="SGA45"/>
      <c r="SGB45"/>
      <c r="SGC45"/>
      <c r="SGD45"/>
      <c r="SGE45"/>
      <c r="SGF45"/>
      <c r="SGG45"/>
      <c r="SGH45"/>
      <c r="SGI45"/>
      <c r="SGJ45"/>
      <c r="SGK45"/>
      <c r="SGL45"/>
      <c r="SGM45"/>
      <c r="SGN45"/>
      <c r="SGO45"/>
      <c r="SGP45"/>
      <c r="SGQ45"/>
      <c r="SGR45"/>
      <c r="SGS45"/>
      <c r="SGT45"/>
      <c r="SGU45"/>
      <c r="SGV45"/>
      <c r="SGW45"/>
      <c r="SGX45"/>
      <c r="SGY45"/>
      <c r="SGZ45"/>
      <c r="SHA45"/>
      <c r="SHB45"/>
      <c r="SHC45"/>
      <c r="SHD45"/>
      <c r="SHE45"/>
      <c r="SHF45"/>
      <c r="SHG45"/>
      <c r="SHH45"/>
      <c r="SHI45"/>
      <c r="SHJ45"/>
      <c r="SHK45"/>
      <c r="SHL45"/>
      <c r="SHM45"/>
      <c r="SHN45"/>
      <c r="SHO45"/>
      <c r="SHP45"/>
      <c r="SHQ45"/>
      <c r="SHR45"/>
      <c r="SHS45"/>
      <c r="SHT45"/>
      <c r="SHU45"/>
      <c r="SHV45"/>
      <c r="SHW45"/>
      <c r="SHX45"/>
      <c r="SHY45"/>
      <c r="SHZ45"/>
      <c r="SIA45"/>
      <c r="SIB45"/>
      <c r="SIC45"/>
      <c r="SID45"/>
      <c r="SIE45"/>
      <c r="SIF45"/>
      <c r="SIG45"/>
      <c r="SIH45"/>
      <c r="SII45"/>
      <c r="SIJ45"/>
      <c r="SIK45"/>
      <c r="SIL45"/>
      <c r="SIM45"/>
      <c r="SIN45"/>
      <c r="SIO45"/>
      <c r="SIP45"/>
      <c r="SIQ45"/>
      <c r="SIR45"/>
      <c r="SIS45"/>
      <c r="SIT45"/>
      <c r="SIU45"/>
      <c r="SIV45"/>
      <c r="SIW45"/>
      <c r="SIX45"/>
      <c r="SIY45"/>
      <c r="SIZ45"/>
      <c r="SJA45"/>
      <c r="SJB45"/>
      <c r="SJC45"/>
      <c r="SJD45"/>
      <c r="SJE45"/>
      <c r="SJF45"/>
      <c r="SJG45"/>
      <c r="SJH45"/>
      <c r="SJI45"/>
      <c r="SJJ45"/>
      <c r="SJK45"/>
      <c r="SJL45"/>
      <c r="SJM45"/>
      <c r="SJN45"/>
      <c r="SJO45"/>
      <c r="SJP45"/>
      <c r="SJQ45"/>
      <c r="SJR45"/>
      <c r="SJS45"/>
      <c r="SJT45"/>
      <c r="SJU45"/>
      <c r="SJV45"/>
      <c r="SJW45"/>
      <c r="SJX45"/>
      <c r="SJY45"/>
      <c r="SJZ45"/>
      <c r="SKA45"/>
      <c r="SKB45"/>
      <c r="SKC45"/>
      <c r="SKD45"/>
      <c r="SKE45"/>
      <c r="SKF45"/>
      <c r="SKG45"/>
      <c r="SKH45"/>
      <c r="SKI45"/>
      <c r="SKJ45"/>
      <c r="SKK45"/>
      <c r="SKL45"/>
      <c r="SKM45"/>
      <c r="SKN45"/>
      <c r="SKO45"/>
      <c r="SKP45"/>
      <c r="SKQ45"/>
      <c r="SKR45"/>
      <c r="SKS45"/>
      <c r="SKT45"/>
      <c r="SKU45"/>
      <c r="SKV45"/>
      <c r="SKW45"/>
      <c r="SKX45"/>
      <c r="SKY45"/>
      <c r="SKZ45"/>
      <c r="SLA45"/>
      <c r="SLB45"/>
      <c r="SLC45"/>
      <c r="SLD45"/>
      <c r="SLE45"/>
      <c r="SLF45"/>
      <c r="SLG45"/>
      <c r="SLH45"/>
      <c r="SLI45"/>
      <c r="SLJ45"/>
      <c r="SLK45"/>
      <c r="SLL45"/>
      <c r="SLM45"/>
      <c r="SLN45"/>
      <c r="SLO45"/>
      <c r="SLP45"/>
      <c r="SLQ45"/>
      <c r="SLR45"/>
      <c r="SLS45"/>
      <c r="SLT45"/>
      <c r="SLU45"/>
      <c r="SLV45"/>
      <c r="SLW45"/>
      <c r="SLX45"/>
      <c r="SLY45"/>
      <c r="SLZ45"/>
      <c r="SMA45"/>
      <c r="SMB45"/>
      <c r="SMC45"/>
      <c r="SMD45"/>
      <c r="SME45"/>
      <c r="SMF45"/>
      <c r="SMG45"/>
      <c r="SMH45"/>
      <c r="SMI45"/>
      <c r="SMJ45"/>
      <c r="SMK45"/>
      <c r="SML45"/>
      <c r="SMM45"/>
      <c r="SMN45"/>
      <c r="SMO45"/>
      <c r="SMP45"/>
      <c r="SMQ45"/>
      <c r="SMR45"/>
      <c r="SMS45"/>
      <c r="SMT45"/>
      <c r="SMU45"/>
      <c r="SMV45"/>
      <c r="SMW45"/>
      <c r="SMX45"/>
      <c r="SMY45"/>
      <c r="SMZ45"/>
      <c r="SNA45"/>
      <c r="SNB45"/>
      <c r="SNC45"/>
      <c r="SND45"/>
      <c r="SNE45"/>
      <c r="SNF45"/>
      <c r="SNG45"/>
      <c r="SNH45"/>
      <c r="SNI45"/>
      <c r="SNJ45"/>
      <c r="SNK45"/>
      <c r="SNL45"/>
      <c r="SNM45"/>
      <c r="SNN45"/>
      <c r="SNO45"/>
      <c r="SNP45"/>
      <c r="SNQ45"/>
      <c r="SNR45"/>
      <c r="SNS45"/>
      <c r="SNT45"/>
      <c r="SNU45"/>
      <c r="SNV45"/>
      <c r="SNW45"/>
      <c r="SNX45"/>
      <c r="SNY45"/>
      <c r="SNZ45"/>
      <c r="SOA45"/>
      <c r="SOB45"/>
      <c r="SOC45"/>
      <c r="SOD45"/>
      <c r="SOE45"/>
      <c r="SOF45"/>
      <c r="SOG45"/>
      <c r="SOH45"/>
      <c r="SOI45"/>
      <c r="SOJ45"/>
      <c r="SOK45"/>
      <c r="SOL45"/>
      <c r="SOM45"/>
      <c r="SON45"/>
      <c r="SOO45"/>
      <c r="SOP45"/>
      <c r="SOQ45"/>
      <c r="SOR45"/>
      <c r="SOS45"/>
      <c r="SOT45"/>
      <c r="SOU45"/>
      <c r="SOV45"/>
      <c r="SOW45"/>
      <c r="SOX45"/>
      <c r="SOY45"/>
      <c r="SOZ45"/>
      <c r="SPA45"/>
      <c r="SPB45"/>
      <c r="SPC45"/>
      <c r="SPD45"/>
      <c r="SPE45"/>
      <c r="SPF45"/>
      <c r="SPG45"/>
      <c r="SPH45"/>
      <c r="SPI45"/>
      <c r="SPJ45"/>
      <c r="SPK45"/>
      <c r="SPL45"/>
      <c r="SPM45"/>
      <c r="SPN45"/>
      <c r="SPO45"/>
      <c r="SPP45"/>
      <c r="SPQ45"/>
      <c r="SPR45"/>
      <c r="SPS45"/>
      <c r="SPT45"/>
      <c r="SPU45"/>
      <c r="SPV45"/>
      <c r="SPW45"/>
      <c r="SPX45"/>
      <c r="SPY45"/>
      <c r="SPZ45"/>
      <c r="SQA45"/>
      <c r="SQB45"/>
      <c r="SQC45"/>
      <c r="SQD45"/>
      <c r="SQE45"/>
      <c r="SQF45"/>
      <c r="SQG45"/>
      <c r="SQH45"/>
      <c r="SQI45"/>
      <c r="SQJ45"/>
      <c r="SQK45"/>
      <c r="SQL45"/>
      <c r="SQM45"/>
      <c r="SQN45"/>
      <c r="SQO45"/>
      <c r="SQP45"/>
      <c r="SQQ45"/>
      <c r="SQR45"/>
      <c r="SQS45"/>
      <c r="SQT45"/>
      <c r="SQU45"/>
      <c r="SQV45"/>
      <c r="SQW45"/>
      <c r="SQX45"/>
      <c r="SQY45"/>
      <c r="SQZ45"/>
      <c r="SRA45"/>
      <c r="SRB45"/>
      <c r="SRC45"/>
      <c r="SRD45"/>
      <c r="SRE45"/>
      <c r="SRF45"/>
      <c r="SRG45"/>
      <c r="SRH45"/>
      <c r="SRI45"/>
      <c r="SRJ45"/>
      <c r="SRK45"/>
      <c r="SRL45"/>
      <c r="SRM45"/>
      <c r="SRN45"/>
      <c r="SRO45"/>
      <c r="SRP45"/>
      <c r="SRQ45"/>
      <c r="SRR45"/>
      <c r="SRS45"/>
      <c r="SRT45"/>
      <c r="SRU45"/>
      <c r="SRV45"/>
      <c r="SRW45"/>
      <c r="SRX45"/>
      <c r="SRY45"/>
      <c r="SRZ45"/>
      <c r="SSA45"/>
      <c r="SSB45"/>
      <c r="SSC45"/>
      <c r="SSD45"/>
      <c r="SSE45"/>
      <c r="SSF45"/>
      <c r="SSG45"/>
      <c r="SSH45"/>
      <c r="SSI45"/>
      <c r="SSJ45"/>
      <c r="SSK45"/>
      <c r="SSL45"/>
      <c r="SSM45"/>
      <c r="SSN45"/>
      <c r="SSO45"/>
      <c r="SSP45"/>
      <c r="SSQ45"/>
      <c r="SSR45"/>
      <c r="SSS45"/>
      <c r="SST45"/>
      <c r="SSU45"/>
      <c r="SSV45"/>
      <c r="SSW45"/>
      <c r="SSX45"/>
      <c r="SSY45"/>
      <c r="SSZ45"/>
      <c r="STA45"/>
      <c r="STB45"/>
      <c r="STC45"/>
      <c r="STD45"/>
      <c r="STE45"/>
      <c r="STF45"/>
      <c r="STG45"/>
      <c r="STH45"/>
      <c r="STI45"/>
      <c r="STJ45"/>
      <c r="STK45"/>
      <c r="STL45"/>
      <c r="STM45"/>
      <c r="STN45"/>
      <c r="STO45"/>
      <c r="STP45"/>
      <c r="STQ45"/>
      <c r="STR45"/>
      <c r="STS45"/>
      <c r="STT45"/>
      <c r="STU45"/>
      <c r="STV45"/>
      <c r="STW45"/>
      <c r="STX45"/>
      <c r="STY45"/>
      <c r="STZ45"/>
      <c r="SUA45"/>
      <c r="SUB45"/>
      <c r="SUC45"/>
      <c r="SUD45"/>
      <c r="SUE45"/>
      <c r="SUF45"/>
      <c r="SUG45"/>
      <c r="SUH45"/>
      <c r="SUI45"/>
      <c r="SUJ45"/>
      <c r="SUK45"/>
      <c r="SUL45"/>
      <c r="SUM45"/>
      <c r="SUN45"/>
      <c r="SUO45"/>
      <c r="SUP45"/>
      <c r="SUQ45"/>
      <c r="SUR45"/>
      <c r="SUS45"/>
      <c r="SUT45"/>
      <c r="SUU45"/>
      <c r="SUV45"/>
      <c r="SUW45"/>
      <c r="SUX45"/>
      <c r="SUY45"/>
      <c r="SUZ45"/>
      <c r="SVA45"/>
      <c r="SVB45"/>
      <c r="SVC45"/>
      <c r="SVD45"/>
      <c r="SVE45"/>
      <c r="SVF45"/>
      <c r="SVG45"/>
      <c r="SVH45"/>
      <c r="SVI45"/>
      <c r="SVJ45"/>
      <c r="SVK45"/>
      <c r="SVL45"/>
      <c r="SVM45"/>
      <c r="SVN45"/>
      <c r="SVO45"/>
      <c r="SVP45"/>
      <c r="SVQ45"/>
      <c r="SVR45"/>
      <c r="SVS45"/>
      <c r="SVT45"/>
      <c r="SVU45"/>
      <c r="SVV45"/>
      <c r="SVW45"/>
      <c r="SVX45"/>
      <c r="SVY45"/>
      <c r="SVZ45"/>
      <c r="SWA45"/>
      <c r="SWB45"/>
      <c r="SWC45"/>
      <c r="SWD45"/>
      <c r="SWE45"/>
      <c r="SWF45"/>
      <c r="SWG45"/>
      <c r="SWH45"/>
      <c r="SWI45"/>
      <c r="SWJ45"/>
      <c r="SWK45"/>
      <c r="SWL45"/>
      <c r="SWM45"/>
      <c r="SWN45"/>
      <c r="SWO45"/>
      <c r="SWP45"/>
      <c r="SWQ45"/>
      <c r="SWR45"/>
      <c r="SWS45"/>
      <c r="SWT45"/>
      <c r="SWU45"/>
      <c r="SWV45"/>
      <c r="SWW45"/>
      <c r="SWX45"/>
      <c r="SWY45"/>
      <c r="SWZ45"/>
      <c r="SXA45"/>
      <c r="SXB45"/>
      <c r="SXC45"/>
      <c r="SXD45"/>
      <c r="SXE45"/>
      <c r="SXF45"/>
      <c r="SXG45"/>
      <c r="SXH45"/>
      <c r="SXI45"/>
      <c r="SXJ45"/>
      <c r="SXK45"/>
      <c r="SXL45"/>
      <c r="SXM45"/>
      <c r="SXN45"/>
      <c r="SXO45"/>
      <c r="SXP45"/>
      <c r="SXQ45"/>
      <c r="SXR45"/>
      <c r="SXS45"/>
      <c r="SXT45"/>
      <c r="SXU45"/>
      <c r="SXV45"/>
      <c r="SXW45"/>
      <c r="SXX45"/>
      <c r="SXY45"/>
      <c r="SXZ45"/>
      <c r="SYA45"/>
      <c r="SYB45"/>
      <c r="SYC45"/>
      <c r="SYD45"/>
      <c r="SYE45"/>
      <c r="SYF45"/>
      <c r="SYG45"/>
      <c r="SYH45"/>
      <c r="SYI45"/>
      <c r="SYJ45"/>
      <c r="SYK45"/>
      <c r="SYL45"/>
      <c r="SYM45"/>
      <c r="SYN45"/>
      <c r="SYO45"/>
      <c r="SYP45"/>
      <c r="SYQ45"/>
      <c r="SYR45"/>
      <c r="SYS45"/>
      <c r="SYT45"/>
      <c r="SYU45"/>
      <c r="SYV45"/>
      <c r="SYW45"/>
      <c r="SYX45"/>
      <c r="SYY45"/>
      <c r="SYZ45"/>
      <c r="SZA45"/>
      <c r="SZB45"/>
      <c r="SZC45"/>
      <c r="SZD45"/>
      <c r="SZE45"/>
      <c r="SZF45"/>
      <c r="SZG45"/>
      <c r="SZH45"/>
      <c r="SZI45"/>
      <c r="SZJ45"/>
      <c r="SZK45"/>
      <c r="SZL45"/>
      <c r="SZM45"/>
      <c r="SZN45"/>
      <c r="SZO45"/>
      <c r="SZP45"/>
      <c r="SZQ45"/>
      <c r="SZR45"/>
      <c r="SZS45"/>
      <c r="SZT45"/>
      <c r="SZU45"/>
      <c r="SZV45"/>
      <c r="SZW45"/>
      <c r="SZX45"/>
      <c r="SZY45"/>
      <c r="SZZ45"/>
      <c r="TAA45"/>
      <c r="TAB45"/>
      <c r="TAC45"/>
      <c r="TAD45"/>
      <c r="TAE45"/>
      <c r="TAF45"/>
      <c r="TAG45"/>
      <c r="TAH45"/>
      <c r="TAI45"/>
      <c r="TAJ45"/>
      <c r="TAK45"/>
      <c r="TAL45"/>
      <c r="TAM45"/>
      <c r="TAN45"/>
      <c r="TAO45"/>
      <c r="TAP45"/>
      <c r="TAQ45"/>
      <c r="TAR45"/>
      <c r="TAS45"/>
      <c r="TAT45"/>
      <c r="TAU45"/>
      <c r="TAV45"/>
      <c r="TAW45"/>
      <c r="TAX45"/>
      <c r="TAY45"/>
      <c r="TAZ45"/>
      <c r="TBA45"/>
      <c r="TBB45"/>
      <c r="TBC45"/>
      <c r="TBD45"/>
      <c r="TBE45"/>
      <c r="TBF45"/>
      <c r="TBG45"/>
      <c r="TBH45"/>
      <c r="TBI45"/>
      <c r="TBJ45"/>
      <c r="TBK45"/>
      <c r="TBL45"/>
      <c r="TBM45"/>
      <c r="TBN45"/>
      <c r="TBO45"/>
      <c r="TBP45"/>
      <c r="TBQ45"/>
      <c r="TBR45"/>
      <c r="TBS45"/>
      <c r="TBT45"/>
      <c r="TBU45"/>
      <c r="TBV45"/>
      <c r="TBW45"/>
      <c r="TBX45"/>
      <c r="TBY45"/>
      <c r="TBZ45"/>
      <c r="TCA45"/>
      <c r="TCB45"/>
      <c r="TCC45"/>
      <c r="TCD45"/>
      <c r="TCE45"/>
      <c r="TCF45"/>
      <c r="TCG45"/>
      <c r="TCH45"/>
      <c r="TCI45"/>
      <c r="TCJ45"/>
      <c r="TCK45"/>
      <c r="TCL45"/>
      <c r="TCM45"/>
      <c r="TCN45"/>
      <c r="TCO45"/>
      <c r="TCP45"/>
      <c r="TCQ45"/>
      <c r="TCR45"/>
      <c r="TCS45"/>
      <c r="TCT45"/>
      <c r="TCU45"/>
      <c r="TCV45"/>
      <c r="TCW45"/>
      <c r="TCX45"/>
      <c r="TCY45"/>
      <c r="TCZ45"/>
      <c r="TDA45"/>
      <c r="TDB45"/>
      <c r="TDC45"/>
      <c r="TDD45"/>
      <c r="TDE45"/>
      <c r="TDF45"/>
      <c r="TDG45"/>
      <c r="TDH45"/>
      <c r="TDI45"/>
      <c r="TDJ45"/>
      <c r="TDK45"/>
      <c r="TDL45"/>
      <c r="TDM45"/>
      <c r="TDN45"/>
      <c r="TDO45"/>
      <c r="TDP45"/>
      <c r="TDQ45"/>
      <c r="TDR45"/>
      <c r="TDS45"/>
      <c r="TDT45"/>
      <c r="TDU45"/>
      <c r="TDV45"/>
      <c r="TDW45"/>
      <c r="TDX45"/>
      <c r="TDY45"/>
      <c r="TDZ45"/>
      <c r="TEA45"/>
      <c r="TEB45"/>
      <c r="TEC45"/>
      <c r="TED45"/>
      <c r="TEE45"/>
      <c r="TEF45"/>
      <c r="TEG45"/>
      <c r="TEH45"/>
      <c r="TEI45"/>
      <c r="TEJ45"/>
      <c r="TEK45"/>
      <c r="TEL45"/>
      <c r="TEM45"/>
      <c r="TEN45"/>
      <c r="TEO45"/>
      <c r="TEP45"/>
      <c r="TEQ45"/>
      <c r="TER45"/>
      <c r="TES45"/>
      <c r="TET45"/>
      <c r="TEU45"/>
      <c r="TEV45"/>
      <c r="TEW45"/>
      <c r="TEX45"/>
      <c r="TEY45"/>
      <c r="TEZ45"/>
      <c r="TFA45"/>
      <c r="TFB45"/>
      <c r="TFC45"/>
      <c r="TFD45"/>
      <c r="TFE45"/>
      <c r="TFF45"/>
      <c r="TFG45"/>
      <c r="TFH45"/>
      <c r="TFI45"/>
      <c r="TFJ45"/>
      <c r="TFK45"/>
      <c r="TFL45"/>
      <c r="TFM45"/>
      <c r="TFN45"/>
      <c r="TFO45"/>
      <c r="TFP45"/>
      <c r="TFQ45"/>
      <c r="TFR45"/>
      <c r="TFS45"/>
      <c r="TFT45"/>
      <c r="TFU45"/>
      <c r="TFV45"/>
      <c r="TFW45"/>
      <c r="TFX45"/>
      <c r="TFY45"/>
      <c r="TFZ45"/>
      <c r="TGA45"/>
      <c r="TGB45"/>
      <c r="TGC45"/>
      <c r="TGD45"/>
      <c r="TGE45"/>
      <c r="TGF45"/>
      <c r="TGG45"/>
      <c r="TGH45"/>
      <c r="TGI45"/>
      <c r="TGJ45"/>
      <c r="TGK45"/>
      <c r="TGL45"/>
      <c r="TGM45"/>
      <c r="TGN45"/>
      <c r="TGO45"/>
      <c r="TGP45"/>
      <c r="TGQ45"/>
      <c r="TGR45"/>
      <c r="TGS45"/>
      <c r="TGT45"/>
      <c r="TGU45"/>
      <c r="TGV45"/>
      <c r="TGW45"/>
      <c r="TGX45"/>
      <c r="TGY45"/>
      <c r="TGZ45"/>
      <c r="THA45"/>
      <c r="THB45"/>
      <c r="THC45"/>
      <c r="THD45"/>
      <c r="THE45"/>
      <c r="THF45"/>
      <c r="THG45"/>
      <c r="THH45"/>
      <c r="THI45"/>
      <c r="THJ45"/>
      <c r="THK45"/>
      <c r="THL45"/>
      <c r="THM45"/>
      <c r="THN45"/>
      <c r="THO45"/>
      <c r="THP45"/>
      <c r="THQ45"/>
      <c r="THR45"/>
      <c r="THS45"/>
      <c r="THT45"/>
      <c r="THU45"/>
      <c r="THV45"/>
      <c r="THW45"/>
      <c r="THX45"/>
      <c r="THY45"/>
      <c r="THZ45"/>
      <c r="TIA45"/>
      <c r="TIB45"/>
      <c r="TIC45"/>
      <c r="TID45"/>
      <c r="TIE45"/>
      <c r="TIF45"/>
      <c r="TIG45"/>
      <c r="TIH45"/>
      <c r="TII45"/>
      <c r="TIJ45"/>
      <c r="TIK45"/>
      <c r="TIL45"/>
      <c r="TIM45"/>
      <c r="TIN45"/>
      <c r="TIO45"/>
      <c r="TIP45"/>
      <c r="TIQ45"/>
      <c r="TIR45"/>
      <c r="TIS45"/>
      <c r="TIT45"/>
      <c r="TIU45"/>
      <c r="TIV45"/>
      <c r="TIW45"/>
      <c r="TIX45"/>
      <c r="TIY45"/>
      <c r="TIZ45"/>
      <c r="TJA45"/>
      <c r="TJB45"/>
      <c r="TJC45"/>
      <c r="TJD45"/>
      <c r="TJE45"/>
      <c r="TJF45"/>
      <c r="TJG45"/>
      <c r="TJH45"/>
      <c r="TJI45"/>
      <c r="TJJ45"/>
      <c r="TJK45"/>
      <c r="TJL45"/>
      <c r="TJM45"/>
      <c r="TJN45"/>
      <c r="TJO45"/>
      <c r="TJP45"/>
      <c r="TJQ45"/>
      <c r="TJR45"/>
      <c r="TJS45"/>
      <c r="TJT45"/>
      <c r="TJU45"/>
      <c r="TJV45"/>
      <c r="TJW45"/>
      <c r="TJX45"/>
      <c r="TJY45"/>
      <c r="TJZ45"/>
      <c r="TKA45"/>
      <c r="TKB45"/>
      <c r="TKC45"/>
      <c r="TKD45"/>
      <c r="TKE45"/>
      <c r="TKF45"/>
      <c r="TKG45"/>
      <c r="TKH45"/>
      <c r="TKI45"/>
      <c r="TKJ45"/>
      <c r="TKK45"/>
      <c r="TKL45"/>
      <c r="TKM45"/>
      <c r="TKN45"/>
      <c r="TKO45"/>
      <c r="TKP45"/>
      <c r="TKQ45"/>
      <c r="TKR45"/>
      <c r="TKS45"/>
      <c r="TKT45"/>
      <c r="TKU45"/>
      <c r="TKV45"/>
      <c r="TKW45"/>
      <c r="TKX45"/>
      <c r="TKY45"/>
      <c r="TKZ45"/>
      <c r="TLA45"/>
      <c r="TLB45"/>
      <c r="TLC45"/>
      <c r="TLD45"/>
      <c r="TLE45"/>
      <c r="TLF45"/>
      <c r="TLG45"/>
      <c r="TLH45"/>
      <c r="TLI45"/>
      <c r="TLJ45"/>
      <c r="TLK45"/>
      <c r="TLL45"/>
      <c r="TLM45"/>
      <c r="TLN45"/>
      <c r="TLO45"/>
      <c r="TLP45"/>
      <c r="TLQ45"/>
      <c r="TLR45"/>
      <c r="TLS45"/>
      <c r="TLT45"/>
      <c r="TLU45"/>
      <c r="TLV45"/>
      <c r="TLW45"/>
      <c r="TLX45"/>
      <c r="TLY45"/>
      <c r="TLZ45"/>
      <c r="TMA45"/>
      <c r="TMB45"/>
      <c r="TMC45"/>
      <c r="TMD45"/>
      <c r="TME45"/>
      <c r="TMF45"/>
      <c r="TMG45"/>
      <c r="TMH45"/>
      <c r="TMI45"/>
      <c r="TMJ45"/>
      <c r="TMK45"/>
      <c r="TML45"/>
      <c r="TMM45"/>
      <c r="TMN45"/>
      <c r="TMO45"/>
      <c r="TMP45"/>
      <c r="TMQ45"/>
      <c r="TMR45"/>
      <c r="TMS45"/>
      <c r="TMT45"/>
      <c r="TMU45"/>
      <c r="TMV45"/>
      <c r="TMW45"/>
      <c r="TMX45"/>
      <c r="TMY45"/>
      <c r="TMZ45"/>
      <c r="TNA45"/>
      <c r="TNB45"/>
      <c r="TNC45"/>
      <c r="TND45"/>
      <c r="TNE45"/>
      <c r="TNF45"/>
      <c r="TNG45"/>
      <c r="TNH45"/>
      <c r="TNI45"/>
      <c r="TNJ45"/>
      <c r="TNK45"/>
      <c r="TNL45"/>
      <c r="TNM45"/>
      <c r="TNN45"/>
      <c r="TNO45"/>
      <c r="TNP45"/>
      <c r="TNQ45"/>
      <c r="TNR45"/>
      <c r="TNS45"/>
      <c r="TNT45"/>
      <c r="TNU45"/>
      <c r="TNV45"/>
      <c r="TNW45"/>
      <c r="TNX45"/>
      <c r="TNY45"/>
      <c r="TNZ45"/>
      <c r="TOA45"/>
      <c r="TOB45"/>
      <c r="TOC45"/>
      <c r="TOD45"/>
      <c r="TOE45"/>
      <c r="TOF45"/>
      <c r="TOG45"/>
      <c r="TOH45"/>
      <c r="TOI45"/>
      <c r="TOJ45"/>
      <c r="TOK45"/>
      <c r="TOL45"/>
      <c r="TOM45"/>
      <c r="TON45"/>
      <c r="TOO45"/>
      <c r="TOP45"/>
      <c r="TOQ45"/>
      <c r="TOR45"/>
      <c r="TOS45"/>
      <c r="TOT45"/>
      <c r="TOU45"/>
      <c r="TOV45"/>
      <c r="TOW45"/>
      <c r="TOX45"/>
      <c r="TOY45"/>
      <c r="TOZ45"/>
      <c r="TPA45"/>
      <c r="TPB45"/>
      <c r="TPC45"/>
      <c r="TPD45"/>
      <c r="TPE45"/>
      <c r="TPF45"/>
      <c r="TPG45"/>
      <c r="TPH45"/>
      <c r="TPI45"/>
      <c r="TPJ45"/>
      <c r="TPK45"/>
      <c r="TPL45"/>
      <c r="TPM45"/>
      <c r="TPN45"/>
      <c r="TPO45"/>
      <c r="TPP45"/>
      <c r="TPQ45"/>
      <c r="TPR45"/>
      <c r="TPS45"/>
      <c r="TPT45"/>
      <c r="TPU45"/>
      <c r="TPV45"/>
      <c r="TPW45"/>
      <c r="TPX45"/>
      <c r="TPY45"/>
      <c r="TPZ45"/>
      <c r="TQA45"/>
      <c r="TQB45"/>
      <c r="TQC45"/>
      <c r="TQD45"/>
      <c r="TQE45"/>
      <c r="TQF45"/>
      <c r="TQG45"/>
      <c r="TQH45"/>
      <c r="TQI45"/>
      <c r="TQJ45"/>
      <c r="TQK45"/>
      <c r="TQL45"/>
      <c r="TQM45"/>
      <c r="TQN45"/>
      <c r="TQO45"/>
      <c r="TQP45"/>
      <c r="TQQ45"/>
      <c r="TQR45"/>
      <c r="TQS45"/>
      <c r="TQT45"/>
      <c r="TQU45"/>
      <c r="TQV45"/>
      <c r="TQW45"/>
      <c r="TQX45"/>
      <c r="TQY45"/>
      <c r="TQZ45"/>
      <c r="TRA45"/>
      <c r="TRB45"/>
      <c r="TRC45"/>
      <c r="TRD45"/>
      <c r="TRE45"/>
      <c r="TRF45"/>
      <c r="TRG45"/>
      <c r="TRH45"/>
      <c r="TRI45"/>
      <c r="TRJ45"/>
      <c r="TRK45"/>
      <c r="TRL45"/>
      <c r="TRM45"/>
      <c r="TRN45"/>
      <c r="TRO45"/>
      <c r="TRP45"/>
      <c r="TRQ45"/>
      <c r="TRR45"/>
      <c r="TRS45"/>
      <c r="TRT45"/>
      <c r="TRU45"/>
      <c r="TRV45"/>
      <c r="TRW45"/>
      <c r="TRX45"/>
      <c r="TRY45"/>
      <c r="TRZ45"/>
      <c r="TSA45"/>
      <c r="TSB45"/>
      <c r="TSC45"/>
      <c r="TSD45"/>
      <c r="TSE45"/>
      <c r="TSF45"/>
      <c r="TSG45"/>
      <c r="TSH45"/>
      <c r="TSI45"/>
      <c r="TSJ45"/>
      <c r="TSK45"/>
      <c r="TSL45"/>
      <c r="TSM45"/>
      <c r="TSN45"/>
      <c r="TSO45"/>
      <c r="TSP45"/>
      <c r="TSQ45"/>
      <c r="TSR45"/>
      <c r="TSS45"/>
      <c r="TST45"/>
      <c r="TSU45"/>
      <c r="TSV45"/>
      <c r="TSW45"/>
      <c r="TSX45"/>
      <c r="TSY45"/>
      <c r="TSZ45"/>
      <c r="TTA45"/>
      <c r="TTB45"/>
      <c r="TTC45"/>
      <c r="TTD45"/>
      <c r="TTE45"/>
      <c r="TTF45"/>
      <c r="TTG45"/>
      <c r="TTH45"/>
      <c r="TTI45"/>
      <c r="TTJ45"/>
      <c r="TTK45"/>
      <c r="TTL45"/>
      <c r="TTM45"/>
      <c r="TTN45"/>
      <c r="TTO45"/>
      <c r="TTP45"/>
      <c r="TTQ45"/>
      <c r="TTR45"/>
      <c r="TTS45"/>
      <c r="TTT45"/>
      <c r="TTU45"/>
      <c r="TTV45"/>
      <c r="TTW45"/>
      <c r="TTX45"/>
      <c r="TTY45"/>
      <c r="TTZ45"/>
      <c r="TUA45"/>
      <c r="TUB45"/>
      <c r="TUC45"/>
      <c r="TUD45"/>
      <c r="TUE45"/>
      <c r="TUF45"/>
      <c r="TUG45"/>
      <c r="TUH45"/>
      <c r="TUI45"/>
      <c r="TUJ45"/>
      <c r="TUK45"/>
      <c r="TUL45"/>
      <c r="TUM45"/>
      <c r="TUN45"/>
      <c r="TUO45"/>
      <c r="TUP45"/>
      <c r="TUQ45"/>
      <c r="TUR45"/>
      <c r="TUS45"/>
      <c r="TUT45"/>
      <c r="TUU45"/>
      <c r="TUV45"/>
      <c r="TUW45"/>
      <c r="TUX45"/>
      <c r="TUY45"/>
      <c r="TUZ45"/>
      <c r="TVA45"/>
      <c r="TVB45"/>
      <c r="TVC45"/>
      <c r="TVD45"/>
      <c r="TVE45"/>
      <c r="TVF45"/>
      <c r="TVG45"/>
      <c r="TVH45"/>
      <c r="TVI45"/>
      <c r="TVJ45"/>
      <c r="TVK45"/>
      <c r="TVL45"/>
      <c r="TVM45"/>
      <c r="TVN45"/>
      <c r="TVO45"/>
      <c r="TVP45"/>
      <c r="TVQ45"/>
      <c r="TVR45"/>
      <c r="TVS45"/>
      <c r="TVT45"/>
      <c r="TVU45"/>
      <c r="TVV45"/>
      <c r="TVW45"/>
      <c r="TVX45"/>
      <c r="TVY45"/>
      <c r="TVZ45"/>
      <c r="TWA45"/>
      <c r="TWB45"/>
      <c r="TWC45"/>
      <c r="TWD45"/>
      <c r="TWE45"/>
      <c r="TWF45"/>
      <c r="TWG45"/>
      <c r="TWH45"/>
      <c r="TWI45"/>
      <c r="TWJ45"/>
      <c r="TWK45"/>
      <c r="TWL45"/>
      <c r="TWM45"/>
      <c r="TWN45"/>
      <c r="TWO45"/>
      <c r="TWP45"/>
      <c r="TWQ45"/>
      <c r="TWR45"/>
      <c r="TWS45"/>
      <c r="TWT45"/>
      <c r="TWU45"/>
      <c r="TWV45"/>
      <c r="TWW45"/>
      <c r="TWX45"/>
      <c r="TWY45"/>
      <c r="TWZ45"/>
      <c r="TXA45"/>
      <c r="TXB45"/>
      <c r="TXC45"/>
      <c r="TXD45"/>
      <c r="TXE45"/>
      <c r="TXF45"/>
      <c r="TXG45"/>
      <c r="TXH45"/>
      <c r="TXI45"/>
      <c r="TXJ45"/>
      <c r="TXK45"/>
      <c r="TXL45"/>
      <c r="TXM45"/>
      <c r="TXN45"/>
      <c r="TXO45"/>
      <c r="TXP45"/>
      <c r="TXQ45"/>
      <c r="TXR45"/>
      <c r="TXS45"/>
      <c r="TXT45"/>
      <c r="TXU45"/>
      <c r="TXV45"/>
      <c r="TXW45"/>
      <c r="TXX45"/>
      <c r="TXY45"/>
      <c r="TXZ45"/>
      <c r="TYA45"/>
      <c r="TYB45"/>
      <c r="TYC45"/>
      <c r="TYD45"/>
      <c r="TYE45"/>
      <c r="TYF45"/>
      <c r="TYG45"/>
      <c r="TYH45"/>
      <c r="TYI45"/>
      <c r="TYJ45"/>
      <c r="TYK45"/>
      <c r="TYL45"/>
      <c r="TYM45"/>
      <c r="TYN45"/>
      <c r="TYO45"/>
      <c r="TYP45"/>
      <c r="TYQ45"/>
      <c r="TYR45"/>
      <c r="TYS45"/>
      <c r="TYT45"/>
      <c r="TYU45"/>
      <c r="TYV45"/>
      <c r="TYW45"/>
      <c r="TYX45"/>
      <c r="TYY45"/>
      <c r="TYZ45"/>
      <c r="TZA45"/>
      <c r="TZB45"/>
      <c r="TZC45"/>
      <c r="TZD45"/>
      <c r="TZE45"/>
      <c r="TZF45"/>
      <c r="TZG45"/>
      <c r="TZH45"/>
      <c r="TZI45"/>
      <c r="TZJ45"/>
      <c r="TZK45"/>
      <c r="TZL45"/>
      <c r="TZM45"/>
      <c r="TZN45"/>
      <c r="TZO45"/>
      <c r="TZP45"/>
      <c r="TZQ45"/>
      <c r="TZR45"/>
      <c r="TZS45"/>
      <c r="TZT45"/>
      <c r="TZU45"/>
      <c r="TZV45"/>
      <c r="TZW45"/>
      <c r="TZX45"/>
      <c r="TZY45"/>
      <c r="TZZ45"/>
      <c r="UAA45"/>
      <c r="UAB45"/>
      <c r="UAC45"/>
      <c r="UAD45"/>
      <c r="UAE45"/>
      <c r="UAF45"/>
      <c r="UAG45"/>
      <c r="UAH45"/>
      <c r="UAI45"/>
      <c r="UAJ45"/>
      <c r="UAK45"/>
      <c r="UAL45"/>
      <c r="UAM45"/>
      <c r="UAN45"/>
      <c r="UAO45"/>
      <c r="UAP45"/>
      <c r="UAQ45"/>
      <c r="UAR45"/>
      <c r="UAS45"/>
      <c r="UAT45"/>
      <c r="UAU45"/>
      <c r="UAV45"/>
      <c r="UAW45"/>
      <c r="UAX45"/>
      <c r="UAY45"/>
      <c r="UAZ45"/>
      <c r="UBA45"/>
      <c r="UBB45"/>
      <c r="UBC45"/>
      <c r="UBD45"/>
      <c r="UBE45"/>
      <c r="UBF45"/>
      <c r="UBG45"/>
      <c r="UBH45"/>
      <c r="UBI45"/>
      <c r="UBJ45"/>
      <c r="UBK45"/>
      <c r="UBL45"/>
      <c r="UBM45"/>
      <c r="UBN45"/>
      <c r="UBO45"/>
      <c r="UBP45"/>
      <c r="UBQ45"/>
      <c r="UBR45"/>
      <c r="UBS45"/>
      <c r="UBT45"/>
      <c r="UBU45"/>
      <c r="UBV45"/>
      <c r="UBW45"/>
      <c r="UBX45"/>
      <c r="UBY45"/>
      <c r="UBZ45"/>
      <c r="UCA45"/>
      <c r="UCB45"/>
      <c r="UCC45"/>
      <c r="UCD45"/>
      <c r="UCE45"/>
      <c r="UCF45"/>
      <c r="UCG45"/>
      <c r="UCH45"/>
      <c r="UCI45"/>
      <c r="UCJ45"/>
      <c r="UCK45"/>
      <c r="UCL45"/>
      <c r="UCM45"/>
      <c r="UCN45"/>
      <c r="UCO45"/>
      <c r="UCP45"/>
      <c r="UCQ45"/>
      <c r="UCR45"/>
      <c r="UCS45"/>
      <c r="UCT45"/>
      <c r="UCU45"/>
      <c r="UCV45"/>
      <c r="UCW45"/>
      <c r="UCX45"/>
      <c r="UCY45"/>
      <c r="UCZ45"/>
      <c r="UDA45"/>
      <c r="UDB45"/>
      <c r="UDC45"/>
      <c r="UDD45"/>
      <c r="UDE45"/>
      <c r="UDF45"/>
      <c r="UDG45"/>
      <c r="UDH45"/>
      <c r="UDI45"/>
      <c r="UDJ45"/>
      <c r="UDK45"/>
      <c r="UDL45"/>
      <c r="UDM45"/>
      <c r="UDN45"/>
      <c r="UDO45"/>
      <c r="UDP45"/>
      <c r="UDQ45"/>
      <c r="UDR45"/>
      <c r="UDS45"/>
      <c r="UDT45"/>
      <c r="UDU45"/>
      <c r="UDV45"/>
      <c r="UDW45"/>
      <c r="UDX45"/>
      <c r="UDY45"/>
      <c r="UDZ45"/>
      <c r="UEA45"/>
      <c r="UEB45"/>
      <c r="UEC45"/>
      <c r="UED45"/>
      <c r="UEE45"/>
      <c r="UEF45"/>
      <c r="UEG45"/>
      <c r="UEH45"/>
      <c r="UEI45"/>
      <c r="UEJ45"/>
      <c r="UEK45"/>
      <c r="UEL45"/>
      <c r="UEM45"/>
      <c r="UEN45"/>
      <c r="UEO45"/>
      <c r="UEP45"/>
      <c r="UEQ45"/>
      <c r="UER45"/>
      <c r="UES45"/>
      <c r="UET45"/>
      <c r="UEU45"/>
      <c r="UEV45"/>
      <c r="UEW45"/>
      <c r="UEX45"/>
      <c r="UEY45"/>
      <c r="UEZ45"/>
      <c r="UFA45"/>
      <c r="UFB45"/>
      <c r="UFC45"/>
      <c r="UFD45"/>
      <c r="UFE45"/>
      <c r="UFF45"/>
      <c r="UFG45"/>
      <c r="UFH45"/>
      <c r="UFI45"/>
      <c r="UFJ45"/>
      <c r="UFK45"/>
      <c r="UFL45"/>
      <c r="UFM45"/>
      <c r="UFN45"/>
      <c r="UFO45"/>
      <c r="UFP45"/>
      <c r="UFQ45"/>
      <c r="UFR45"/>
      <c r="UFS45"/>
      <c r="UFT45"/>
      <c r="UFU45"/>
      <c r="UFV45"/>
      <c r="UFW45"/>
      <c r="UFX45"/>
      <c r="UFY45"/>
      <c r="UFZ45"/>
      <c r="UGA45"/>
      <c r="UGB45"/>
      <c r="UGC45"/>
      <c r="UGD45"/>
      <c r="UGE45"/>
      <c r="UGF45"/>
      <c r="UGG45"/>
      <c r="UGH45"/>
      <c r="UGI45"/>
      <c r="UGJ45"/>
      <c r="UGK45"/>
      <c r="UGL45"/>
      <c r="UGM45"/>
      <c r="UGN45"/>
      <c r="UGO45"/>
      <c r="UGP45"/>
      <c r="UGQ45"/>
      <c r="UGR45"/>
      <c r="UGS45"/>
      <c r="UGT45"/>
      <c r="UGU45"/>
      <c r="UGV45"/>
      <c r="UGW45"/>
      <c r="UGX45"/>
      <c r="UGY45"/>
      <c r="UGZ45"/>
      <c r="UHA45"/>
      <c r="UHB45"/>
      <c r="UHC45"/>
      <c r="UHD45"/>
      <c r="UHE45"/>
      <c r="UHF45"/>
      <c r="UHG45"/>
      <c r="UHH45"/>
      <c r="UHI45"/>
      <c r="UHJ45"/>
      <c r="UHK45"/>
      <c r="UHL45"/>
      <c r="UHM45"/>
      <c r="UHN45"/>
      <c r="UHO45"/>
      <c r="UHP45"/>
      <c r="UHQ45"/>
      <c r="UHR45"/>
      <c r="UHS45"/>
      <c r="UHT45"/>
      <c r="UHU45"/>
      <c r="UHV45"/>
      <c r="UHW45"/>
      <c r="UHX45"/>
      <c r="UHY45"/>
      <c r="UHZ45"/>
      <c r="UIA45"/>
      <c r="UIB45"/>
      <c r="UIC45"/>
      <c r="UID45"/>
      <c r="UIE45"/>
      <c r="UIF45"/>
      <c r="UIG45"/>
      <c r="UIH45"/>
      <c r="UII45"/>
      <c r="UIJ45"/>
      <c r="UIK45"/>
      <c r="UIL45"/>
      <c r="UIM45"/>
      <c r="UIN45"/>
      <c r="UIO45"/>
      <c r="UIP45"/>
      <c r="UIQ45"/>
      <c r="UIR45"/>
      <c r="UIS45"/>
      <c r="UIT45"/>
      <c r="UIU45"/>
      <c r="UIV45"/>
      <c r="UIW45"/>
      <c r="UIX45"/>
      <c r="UIY45"/>
      <c r="UIZ45"/>
      <c r="UJA45"/>
      <c r="UJB45"/>
      <c r="UJC45"/>
      <c r="UJD45"/>
      <c r="UJE45"/>
      <c r="UJF45"/>
      <c r="UJG45"/>
      <c r="UJH45"/>
      <c r="UJI45"/>
      <c r="UJJ45"/>
      <c r="UJK45"/>
      <c r="UJL45"/>
      <c r="UJM45"/>
      <c r="UJN45"/>
      <c r="UJO45"/>
      <c r="UJP45"/>
      <c r="UJQ45"/>
      <c r="UJR45"/>
      <c r="UJS45"/>
      <c r="UJT45"/>
      <c r="UJU45"/>
      <c r="UJV45"/>
      <c r="UJW45"/>
      <c r="UJX45"/>
      <c r="UJY45"/>
      <c r="UJZ45"/>
      <c r="UKA45"/>
      <c r="UKB45"/>
      <c r="UKC45"/>
      <c r="UKD45"/>
      <c r="UKE45"/>
      <c r="UKF45"/>
      <c r="UKG45"/>
      <c r="UKH45"/>
      <c r="UKI45"/>
      <c r="UKJ45"/>
      <c r="UKK45"/>
      <c r="UKL45"/>
      <c r="UKM45"/>
      <c r="UKN45"/>
      <c r="UKO45"/>
      <c r="UKP45"/>
      <c r="UKQ45"/>
      <c r="UKR45"/>
      <c r="UKS45"/>
      <c r="UKT45"/>
      <c r="UKU45"/>
      <c r="UKV45"/>
      <c r="UKW45"/>
      <c r="UKX45"/>
      <c r="UKY45"/>
      <c r="UKZ45"/>
      <c r="ULA45"/>
      <c r="ULB45"/>
      <c r="ULC45"/>
      <c r="ULD45"/>
      <c r="ULE45"/>
      <c r="ULF45"/>
      <c r="ULG45"/>
      <c r="ULH45"/>
      <c r="ULI45"/>
      <c r="ULJ45"/>
      <c r="ULK45"/>
      <c r="ULL45"/>
      <c r="ULM45"/>
      <c r="ULN45"/>
      <c r="ULO45"/>
      <c r="ULP45"/>
      <c r="ULQ45"/>
      <c r="ULR45"/>
      <c r="ULS45"/>
      <c r="ULT45"/>
      <c r="ULU45"/>
      <c r="ULV45"/>
      <c r="ULW45"/>
      <c r="ULX45"/>
      <c r="ULY45"/>
      <c r="ULZ45"/>
      <c r="UMA45"/>
      <c r="UMB45"/>
      <c r="UMC45"/>
      <c r="UMD45"/>
      <c r="UME45"/>
      <c r="UMF45"/>
      <c r="UMG45"/>
      <c r="UMH45"/>
      <c r="UMI45"/>
      <c r="UMJ45"/>
      <c r="UMK45"/>
      <c r="UML45"/>
      <c r="UMM45"/>
      <c r="UMN45"/>
      <c r="UMO45"/>
      <c r="UMP45"/>
      <c r="UMQ45"/>
      <c r="UMR45"/>
      <c r="UMS45"/>
      <c r="UMT45"/>
      <c r="UMU45"/>
      <c r="UMV45"/>
      <c r="UMW45"/>
      <c r="UMX45"/>
      <c r="UMY45"/>
      <c r="UMZ45"/>
      <c r="UNA45"/>
      <c r="UNB45"/>
      <c r="UNC45"/>
      <c r="UND45"/>
      <c r="UNE45"/>
      <c r="UNF45"/>
      <c r="UNG45"/>
      <c r="UNH45"/>
      <c r="UNI45"/>
      <c r="UNJ45"/>
      <c r="UNK45"/>
      <c r="UNL45"/>
      <c r="UNM45"/>
      <c r="UNN45"/>
      <c r="UNO45"/>
      <c r="UNP45"/>
      <c r="UNQ45"/>
      <c r="UNR45"/>
      <c r="UNS45"/>
      <c r="UNT45"/>
      <c r="UNU45"/>
      <c r="UNV45"/>
      <c r="UNW45"/>
      <c r="UNX45"/>
      <c r="UNY45"/>
      <c r="UNZ45"/>
      <c r="UOA45"/>
      <c r="UOB45"/>
      <c r="UOC45"/>
      <c r="UOD45"/>
      <c r="UOE45"/>
      <c r="UOF45"/>
      <c r="UOG45"/>
      <c r="UOH45"/>
      <c r="UOI45"/>
      <c r="UOJ45"/>
      <c r="UOK45"/>
      <c r="UOL45"/>
      <c r="UOM45"/>
      <c r="UON45"/>
      <c r="UOO45"/>
      <c r="UOP45"/>
      <c r="UOQ45"/>
      <c r="UOR45"/>
      <c r="UOS45"/>
      <c r="UOT45"/>
      <c r="UOU45"/>
      <c r="UOV45"/>
      <c r="UOW45"/>
      <c r="UOX45"/>
      <c r="UOY45"/>
      <c r="UOZ45"/>
      <c r="UPA45"/>
      <c r="UPB45"/>
      <c r="UPC45"/>
      <c r="UPD45"/>
      <c r="UPE45"/>
      <c r="UPF45"/>
      <c r="UPG45"/>
      <c r="UPH45"/>
      <c r="UPI45"/>
      <c r="UPJ45"/>
      <c r="UPK45"/>
      <c r="UPL45"/>
      <c r="UPM45"/>
      <c r="UPN45"/>
      <c r="UPO45"/>
      <c r="UPP45"/>
      <c r="UPQ45"/>
      <c r="UPR45"/>
      <c r="UPS45"/>
      <c r="UPT45"/>
      <c r="UPU45"/>
      <c r="UPV45"/>
      <c r="UPW45"/>
      <c r="UPX45"/>
      <c r="UPY45"/>
      <c r="UPZ45"/>
      <c r="UQA45"/>
      <c r="UQB45"/>
      <c r="UQC45"/>
      <c r="UQD45"/>
      <c r="UQE45"/>
      <c r="UQF45"/>
      <c r="UQG45"/>
      <c r="UQH45"/>
      <c r="UQI45"/>
      <c r="UQJ45"/>
      <c r="UQK45"/>
      <c r="UQL45"/>
      <c r="UQM45"/>
      <c r="UQN45"/>
      <c r="UQO45"/>
      <c r="UQP45"/>
      <c r="UQQ45"/>
      <c r="UQR45"/>
      <c r="UQS45"/>
      <c r="UQT45"/>
      <c r="UQU45"/>
      <c r="UQV45"/>
      <c r="UQW45"/>
      <c r="UQX45"/>
      <c r="UQY45"/>
      <c r="UQZ45"/>
      <c r="URA45"/>
      <c r="URB45"/>
      <c r="URC45"/>
      <c r="URD45"/>
      <c r="URE45"/>
      <c r="URF45"/>
      <c r="URG45"/>
      <c r="URH45"/>
      <c r="URI45"/>
      <c r="URJ45"/>
      <c r="URK45"/>
      <c r="URL45"/>
      <c r="URM45"/>
      <c r="URN45"/>
      <c r="URO45"/>
      <c r="URP45"/>
      <c r="URQ45"/>
      <c r="URR45"/>
      <c r="URS45"/>
      <c r="URT45"/>
      <c r="URU45"/>
      <c r="URV45"/>
      <c r="URW45"/>
      <c r="URX45"/>
      <c r="URY45"/>
      <c r="URZ45"/>
      <c r="USA45"/>
      <c r="USB45"/>
      <c r="USC45"/>
      <c r="USD45"/>
      <c r="USE45"/>
      <c r="USF45"/>
      <c r="USG45"/>
      <c r="USH45"/>
      <c r="USI45"/>
      <c r="USJ45"/>
      <c r="USK45"/>
      <c r="USL45"/>
      <c r="USM45"/>
      <c r="USN45"/>
      <c r="USO45"/>
      <c r="USP45"/>
      <c r="USQ45"/>
      <c r="USR45"/>
      <c r="USS45"/>
      <c r="UST45"/>
      <c r="USU45"/>
      <c r="USV45"/>
      <c r="USW45"/>
      <c r="USX45"/>
      <c r="USY45"/>
      <c r="USZ45"/>
      <c r="UTA45"/>
      <c r="UTB45"/>
      <c r="UTC45"/>
      <c r="UTD45"/>
      <c r="UTE45"/>
      <c r="UTF45"/>
      <c r="UTG45"/>
      <c r="UTH45"/>
      <c r="UTI45"/>
      <c r="UTJ45"/>
      <c r="UTK45"/>
      <c r="UTL45"/>
      <c r="UTM45"/>
      <c r="UTN45"/>
      <c r="UTO45"/>
      <c r="UTP45"/>
      <c r="UTQ45"/>
      <c r="UTR45"/>
      <c r="UTS45"/>
      <c r="UTT45"/>
      <c r="UTU45"/>
      <c r="UTV45"/>
      <c r="UTW45"/>
      <c r="UTX45"/>
      <c r="UTY45"/>
      <c r="UTZ45"/>
      <c r="UUA45"/>
      <c r="UUB45"/>
      <c r="UUC45"/>
      <c r="UUD45"/>
      <c r="UUE45"/>
      <c r="UUF45"/>
      <c r="UUG45"/>
      <c r="UUH45"/>
      <c r="UUI45"/>
      <c r="UUJ45"/>
      <c r="UUK45"/>
      <c r="UUL45"/>
      <c r="UUM45"/>
      <c r="UUN45"/>
      <c r="UUO45"/>
      <c r="UUP45"/>
      <c r="UUQ45"/>
      <c r="UUR45"/>
      <c r="UUS45"/>
      <c r="UUT45"/>
      <c r="UUU45"/>
      <c r="UUV45"/>
      <c r="UUW45"/>
      <c r="UUX45"/>
      <c r="UUY45"/>
      <c r="UUZ45"/>
      <c r="UVA45"/>
      <c r="UVB45"/>
      <c r="UVC45"/>
      <c r="UVD45"/>
      <c r="UVE45"/>
      <c r="UVF45"/>
      <c r="UVG45"/>
      <c r="UVH45"/>
      <c r="UVI45"/>
      <c r="UVJ45"/>
      <c r="UVK45"/>
      <c r="UVL45"/>
      <c r="UVM45"/>
      <c r="UVN45"/>
      <c r="UVO45"/>
      <c r="UVP45"/>
      <c r="UVQ45"/>
      <c r="UVR45"/>
      <c r="UVS45"/>
      <c r="UVT45"/>
      <c r="UVU45"/>
      <c r="UVV45"/>
      <c r="UVW45"/>
      <c r="UVX45"/>
      <c r="UVY45"/>
      <c r="UVZ45"/>
      <c r="UWA45"/>
      <c r="UWB45"/>
      <c r="UWC45"/>
      <c r="UWD45"/>
      <c r="UWE45"/>
      <c r="UWF45"/>
      <c r="UWG45"/>
      <c r="UWH45"/>
      <c r="UWI45"/>
      <c r="UWJ45"/>
      <c r="UWK45"/>
      <c r="UWL45"/>
      <c r="UWM45"/>
      <c r="UWN45"/>
      <c r="UWO45"/>
      <c r="UWP45"/>
      <c r="UWQ45"/>
      <c r="UWR45"/>
      <c r="UWS45"/>
      <c r="UWT45"/>
      <c r="UWU45"/>
      <c r="UWV45"/>
      <c r="UWW45"/>
      <c r="UWX45"/>
      <c r="UWY45"/>
      <c r="UWZ45"/>
      <c r="UXA45"/>
      <c r="UXB45"/>
      <c r="UXC45"/>
      <c r="UXD45"/>
      <c r="UXE45"/>
      <c r="UXF45"/>
      <c r="UXG45"/>
      <c r="UXH45"/>
      <c r="UXI45"/>
      <c r="UXJ45"/>
      <c r="UXK45"/>
      <c r="UXL45"/>
      <c r="UXM45"/>
      <c r="UXN45"/>
      <c r="UXO45"/>
      <c r="UXP45"/>
      <c r="UXQ45"/>
      <c r="UXR45"/>
      <c r="UXS45"/>
      <c r="UXT45"/>
      <c r="UXU45"/>
      <c r="UXV45"/>
      <c r="UXW45"/>
      <c r="UXX45"/>
      <c r="UXY45"/>
      <c r="UXZ45"/>
      <c r="UYA45"/>
      <c r="UYB45"/>
      <c r="UYC45"/>
      <c r="UYD45"/>
      <c r="UYE45"/>
      <c r="UYF45"/>
      <c r="UYG45"/>
      <c r="UYH45"/>
      <c r="UYI45"/>
      <c r="UYJ45"/>
      <c r="UYK45"/>
      <c r="UYL45"/>
      <c r="UYM45"/>
      <c r="UYN45"/>
      <c r="UYO45"/>
      <c r="UYP45"/>
      <c r="UYQ45"/>
      <c r="UYR45"/>
      <c r="UYS45"/>
      <c r="UYT45"/>
      <c r="UYU45"/>
      <c r="UYV45"/>
      <c r="UYW45"/>
      <c r="UYX45"/>
      <c r="UYY45"/>
      <c r="UYZ45"/>
      <c r="UZA45"/>
      <c r="UZB45"/>
      <c r="UZC45"/>
      <c r="UZD45"/>
      <c r="UZE45"/>
      <c r="UZF45"/>
      <c r="UZG45"/>
      <c r="UZH45"/>
      <c r="UZI45"/>
      <c r="UZJ45"/>
      <c r="UZK45"/>
      <c r="UZL45"/>
      <c r="UZM45"/>
      <c r="UZN45"/>
      <c r="UZO45"/>
      <c r="UZP45"/>
      <c r="UZQ45"/>
      <c r="UZR45"/>
      <c r="UZS45"/>
      <c r="UZT45"/>
      <c r="UZU45"/>
      <c r="UZV45"/>
      <c r="UZW45"/>
      <c r="UZX45"/>
      <c r="UZY45"/>
      <c r="UZZ45"/>
      <c r="VAA45"/>
      <c r="VAB45"/>
      <c r="VAC45"/>
      <c r="VAD45"/>
      <c r="VAE45"/>
      <c r="VAF45"/>
      <c r="VAG45"/>
      <c r="VAH45"/>
      <c r="VAI45"/>
      <c r="VAJ45"/>
      <c r="VAK45"/>
      <c r="VAL45"/>
      <c r="VAM45"/>
      <c r="VAN45"/>
      <c r="VAO45"/>
      <c r="VAP45"/>
      <c r="VAQ45"/>
      <c r="VAR45"/>
      <c r="VAS45"/>
      <c r="VAT45"/>
      <c r="VAU45"/>
      <c r="VAV45"/>
      <c r="VAW45"/>
      <c r="VAX45"/>
      <c r="VAY45"/>
      <c r="VAZ45"/>
      <c r="VBA45"/>
      <c r="VBB45"/>
      <c r="VBC45"/>
      <c r="VBD45"/>
      <c r="VBE45"/>
      <c r="VBF45"/>
      <c r="VBG45"/>
      <c r="VBH45"/>
      <c r="VBI45"/>
      <c r="VBJ45"/>
      <c r="VBK45"/>
      <c r="VBL45"/>
      <c r="VBM45"/>
      <c r="VBN45"/>
      <c r="VBO45"/>
      <c r="VBP45"/>
      <c r="VBQ45"/>
      <c r="VBR45"/>
      <c r="VBS45"/>
      <c r="VBT45"/>
      <c r="VBU45"/>
      <c r="VBV45"/>
      <c r="VBW45"/>
      <c r="VBX45"/>
      <c r="VBY45"/>
      <c r="VBZ45"/>
      <c r="VCA45"/>
      <c r="VCB45"/>
      <c r="VCC45"/>
      <c r="VCD45"/>
      <c r="VCE45"/>
      <c r="VCF45"/>
      <c r="VCG45"/>
      <c r="VCH45"/>
      <c r="VCI45"/>
      <c r="VCJ45"/>
      <c r="VCK45"/>
      <c r="VCL45"/>
      <c r="VCM45"/>
      <c r="VCN45"/>
      <c r="VCO45"/>
      <c r="VCP45"/>
      <c r="VCQ45"/>
      <c r="VCR45"/>
      <c r="VCS45"/>
      <c r="VCT45"/>
      <c r="VCU45"/>
      <c r="VCV45"/>
      <c r="VCW45"/>
      <c r="VCX45"/>
      <c r="VCY45"/>
      <c r="VCZ45"/>
      <c r="VDA45"/>
      <c r="VDB45"/>
      <c r="VDC45"/>
      <c r="VDD45"/>
      <c r="VDE45"/>
      <c r="VDF45"/>
      <c r="VDG45"/>
      <c r="VDH45"/>
      <c r="VDI45"/>
      <c r="VDJ45"/>
      <c r="VDK45"/>
      <c r="VDL45"/>
      <c r="VDM45"/>
      <c r="VDN45"/>
      <c r="VDO45"/>
      <c r="VDP45"/>
      <c r="VDQ45"/>
      <c r="VDR45"/>
      <c r="VDS45"/>
      <c r="VDT45"/>
      <c r="VDU45"/>
      <c r="VDV45"/>
      <c r="VDW45"/>
      <c r="VDX45"/>
      <c r="VDY45"/>
      <c r="VDZ45"/>
      <c r="VEA45"/>
      <c r="VEB45"/>
      <c r="VEC45"/>
      <c r="VED45"/>
      <c r="VEE45"/>
      <c r="VEF45"/>
      <c r="VEG45"/>
      <c r="VEH45"/>
      <c r="VEI45"/>
      <c r="VEJ45"/>
      <c r="VEK45"/>
      <c r="VEL45"/>
      <c r="VEM45"/>
      <c r="VEN45"/>
      <c r="VEO45"/>
      <c r="VEP45"/>
      <c r="VEQ45"/>
      <c r="VER45"/>
      <c r="VES45"/>
      <c r="VET45"/>
      <c r="VEU45"/>
      <c r="VEV45"/>
      <c r="VEW45"/>
      <c r="VEX45"/>
      <c r="VEY45"/>
      <c r="VEZ45"/>
      <c r="VFA45"/>
      <c r="VFB45"/>
      <c r="VFC45"/>
      <c r="VFD45"/>
      <c r="VFE45"/>
      <c r="VFF45"/>
      <c r="VFG45"/>
      <c r="VFH45"/>
      <c r="VFI45"/>
      <c r="VFJ45"/>
      <c r="VFK45"/>
      <c r="VFL45"/>
      <c r="VFM45"/>
      <c r="VFN45"/>
      <c r="VFO45"/>
      <c r="VFP45"/>
      <c r="VFQ45"/>
      <c r="VFR45"/>
      <c r="VFS45"/>
      <c r="VFT45"/>
      <c r="VFU45"/>
      <c r="VFV45"/>
      <c r="VFW45"/>
      <c r="VFX45"/>
      <c r="VFY45"/>
      <c r="VFZ45"/>
      <c r="VGA45"/>
      <c r="VGB45"/>
      <c r="VGC45"/>
      <c r="VGD45"/>
      <c r="VGE45"/>
      <c r="VGF45"/>
      <c r="VGG45"/>
      <c r="VGH45"/>
      <c r="VGI45"/>
      <c r="VGJ45"/>
      <c r="VGK45"/>
      <c r="VGL45"/>
      <c r="VGM45"/>
      <c r="VGN45"/>
      <c r="VGO45"/>
      <c r="VGP45"/>
      <c r="VGQ45"/>
      <c r="VGR45"/>
      <c r="VGS45"/>
      <c r="VGT45"/>
      <c r="VGU45"/>
      <c r="VGV45"/>
      <c r="VGW45"/>
      <c r="VGX45"/>
      <c r="VGY45"/>
      <c r="VGZ45"/>
      <c r="VHA45"/>
      <c r="VHB45"/>
      <c r="VHC45"/>
      <c r="VHD45"/>
      <c r="VHE45"/>
      <c r="VHF45"/>
      <c r="VHG45"/>
      <c r="VHH45"/>
      <c r="VHI45"/>
      <c r="VHJ45"/>
      <c r="VHK45"/>
      <c r="VHL45"/>
      <c r="VHM45"/>
      <c r="VHN45"/>
      <c r="VHO45"/>
      <c r="VHP45"/>
      <c r="VHQ45"/>
      <c r="VHR45"/>
      <c r="VHS45"/>
      <c r="VHT45"/>
      <c r="VHU45"/>
      <c r="VHV45"/>
      <c r="VHW45"/>
      <c r="VHX45"/>
      <c r="VHY45"/>
      <c r="VHZ45"/>
      <c r="VIA45"/>
      <c r="VIB45"/>
      <c r="VIC45"/>
      <c r="VID45"/>
      <c r="VIE45"/>
      <c r="VIF45"/>
      <c r="VIG45"/>
      <c r="VIH45"/>
      <c r="VII45"/>
      <c r="VIJ45"/>
      <c r="VIK45"/>
      <c r="VIL45"/>
      <c r="VIM45"/>
      <c r="VIN45"/>
      <c r="VIO45"/>
      <c r="VIP45"/>
      <c r="VIQ45"/>
      <c r="VIR45"/>
      <c r="VIS45"/>
      <c r="VIT45"/>
      <c r="VIU45"/>
      <c r="VIV45"/>
      <c r="VIW45"/>
      <c r="VIX45"/>
      <c r="VIY45"/>
      <c r="VIZ45"/>
      <c r="VJA45"/>
      <c r="VJB45"/>
      <c r="VJC45"/>
      <c r="VJD45"/>
      <c r="VJE45"/>
      <c r="VJF45"/>
      <c r="VJG45"/>
      <c r="VJH45"/>
      <c r="VJI45"/>
      <c r="VJJ45"/>
      <c r="VJK45"/>
      <c r="VJL45"/>
      <c r="VJM45"/>
      <c r="VJN45"/>
      <c r="VJO45"/>
      <c r="VJP45"/>
      <c r="VJQ45"/>
      <c r="VJR45"/>
      <c r="VJS45"/>
      <c r="VJT45"/>
      <c r="VJU45"/>
      <c r="VJV45"/>
      <c r="VJW45"/>
      <c r="VJX45"/>
      <c r="VJY45"/>
      <c r="VJZ45"/>
      <c r="VKA45"/>
      <c r="VKB45"/>
      <c r="VKC45"/>
      <c r="VKD45"/>
      <c r="VKE45"/>
      <c r="VKF45"/>
      <c r="VKG45"/>
      <c r="VKH45"/>
      <c r="VKI45"/>
      <c r="VKJ45"/>
      <c r="VKK45"/>
      <c r="VKL45"/>
      <c r="VKM45"/>
      <c r="VKN45"/>
      <c r="VKO45"/>
      <c r="VKP45"/>
      <c r="VKQ45"/>
      <c r="VKR45"/>
      <c r="VKS45"/>
      <c r="VKT45"/>
      <c r="VKU45"/>
      <c r="VKV45"/>
      <c r="VKW45"/>
      <c r="VKX45"/>
      <c r="VKY45"/>
      <c r="VKZ45"/>
      <c r="VLA45"/>
      <c r="VLB45"/>
      <c r="VLC45"/>
      <c r="VLD45"/>
      <c r="VLE45"/>
      <c r="VLF45"/>
      <c r="VLG45"/>
      <c r="VLH45"/>
      <c r="VLI45"/>
      <c r="VLJ45"/>
      <c r="VLK45"/>
      <c r="VLL45"/>
      <c r="VLM45"/>
      <c r="VLN45"/>
      <c r="VLO45"/>
      <c r="VLP45"/>
      <c r="VLQ45"/>
      <c r="VLR45"/>
      <c r="VLS45"/>
      <c r="VLT45"/>
      <c r="VLU45"/>
      <c r="VLV45"/>
      <c r="VLW45"/>
      <c r="VLX45"/>
      <c r="VLY45"/>
      <c r="VLZ45"/>
      <c r="VMA45"/>
      <c r="VMB45"/>
      <c r="VMC45"/>
      <c r="VMD45"/>
      <c r="VME45"/>
      <c r="VMF45"/>
      <c r="VMG45"/>
      <c r="VMH45"/>
      <c r="VMI45"/>
      <c r="VMJ45"/>
      <c r="VMK45"/>
      <c r="VML45"/>
      <c r="VMM45"/>
      <c r="VMN45"/>
      <c r="VMO45"/>
      <c r="VMP45"/>
      <c r="VMQ45"/>
      <c r="VMR45"/>
      <c r="VMS45"/>
      <c r="VMT45"/>
      <c r="VMU45"/>
      <c r="VMV45"/>
      <c r="VMW45"/>
      <c r="VMX45"/>
      <c r="VMY45"/>
      <c r="VMZ45"/>
      <c r="VNA45"/>
      <c r="VNB45"/>
      <c r="VNC45"/>
      <c r="VND45"/>
      <c r="VNE45"/>
      <c r="VNF45"/>
      <c r="VNG45"/>
      <c r="VNH45"/>
      <c r="VNI45"/>
      <c r="VNJ45"/>
      <c r="VNK45"/>
      <c r="VNL45"/>
      <c r="VNM45"/>
      <c r="VNN45"/>
      <c r="VNO45"/>
      <c r="VNP45"/>
      <c r="VNQ45"/>
      <c r="VNR45"/>
      <c r="VNS45"/>
      <c r="VNT45"/>
      <c r="VNU45"/>
      <c r="VNV45"/>
      <c r="VNW45"/>
      <c r="VNX45"/>
      <c r="VNY45"/>
      <c r="VNZ45"/>
      <c r="VOA45"/>
      <c r="VOB45"/>
      <c r="VOC45"/>
      <c r="VOD45"/>
      <c r="VOE45"/>
      <c r="VOF45"/>
      <c r="VOG45"/>
      <c r="VOH45"/>
      <c r="VOI45"/>
      <c r="VOJ45"/>
      <c r="VOK45"/>
      <c r="VOL45"/>
      <c r="VOM45"/>
      <c r="VON45"/>
      <c r="VOO45"/>
      <c r="VOP45"/>
      <c r="VOQ45"/>
      <c r="VOR45"/>
      <c r="VOS45"/>
      <c r="VOT45"/>
      <c r="VOU45"/>
      <c r="VOV45"/>
      <c r="VOW45"/>
      <c r="VOX45"/>
      <c r="VOY45"/>
      <c r="VOZ45"/>
      <c r="VPA45"/>
      <c r="VPB45"/>
      <c r="VPC45"/>
      <c r="VPD45"/>
      <c r="VPE45"/>
      <c r="VPF45"/>
      <c r="VPG45"/>
      <c r="VPH45"/>
      <c r="VPI45"/>
      <c r="VPJ45"/>
      <c r="VPK45"/>
      <c r="VPL45"/>
      <c r="VPM45"/>
      <c r="VPN45"/>
      <c r="VPO45"/>
      <c r="VPP45"/>
      <c r="VPQ45"/>
      <c r="VPR45"/>
      <c r="VPS45"/>
      <c r="VPT45"/>
      <c r="VPU45"/>
      <c r="VPV45"/>
      <c r="VPW45"/>
      <c r="VPX45"/>
      <c r="VPY45"/>
      <c r="VPZ45"/>
      <c r="VQA45"/>
      <c r="VQB45"/>
      <c r="VQC45"/>
      <c r="VQD45"/>
      <c r="VQE45"/>
      <c r="VQF45"/>
      <c r="VQG45"/>
      <c r="VQH45"/>
      <c r="VQI45"/>
      <c r="VQJ45"/>
      <c r="VQK45"/>
      <c r="VQL45"/>
      <c r="VQM45"/>
      <c r="VQN45"/>
      <c r="VQO45"/>
      <c r="VQP45"/>
      <c r="VQQ45"/>
      <c r="VQR45"/>
      <c r="VQS45"/>
      <c r="VQT45"/>
      <c r="VQU45"/>
      <c r="VQV45"/>
      <c r="VQW45"/>
      <c r="VQX45"/>
      <c r="VQY45"/>
      <c r="VQZ45"/>
      <c r="VRA45"/>
      <c r="VRB45"/>
      <c r="VRC45"/>
      <c r="VRD45"/>
      <c r="VRE45"/>
      <c r="VRF45"/>
      <c r="VRG45"/>
      <c r="VRH45"/>
      <c r="VRI45"/>
      <c r="VRJ45"/>
      <c r="VRK45"/>
      <c r="VRL45"/>
      <c r="VRM45"/>
      <c r="VRN45"/>
      <c r="VRO45"/>
      <c r="VRP45"/>
      <c r="VRQ45"/>
      <c r="VRR45"/>
      <c r="VRS45"/>
      <c r="VRT45"/>
      <c r="VRU45"/>
      <c r="VRV45"/>
      <c r="VRW45"/>
      <c r="VRX45"/>
      <c r="VRY45"/>
      <c r="VRZ45"/>
      <c r="VSA45"/>
      <c r="VSB45"/>
      <c r="VSC45"/>
      <c r="VSD45"/>
      <c r="VSE45"/>
      <c r="VSF45"/>
      <c r="VSG45"/>
      <c r="VSH45"/>
      <c r="VSI45"/>
      <c r="VSJ45"/>
      <c r="VSK45"/>
      <c r="VSL45"/>
      <c r="VSM45"/>
      <c r="VSN45"/>
      <c r="VSO45"/>
      <c r="VSP45"/>
      <c r="VSQ45"/>
      <c r="VSR45"/>
      <c r="VSS45"/>
      <c r="VST45"/>
      <c r="VSU45"/>
      <c r="VSV45"/>
      <c r="VSW45"/>
      <c r="VSX45"/>
      <c r="VSY45"/>
      <c r="VSZ45"/>
      <c r="VTA45"/>
      <c r="VTB45"/>
      <c r="VTC45"/>
      <c r="VTD45"/>
      <c r="VTE45"/>
      <c r="VTF45"/>
      <c r="VTG45"/>
      <c r="VTH45"/>
      <c r="VTI45"/>
      <c r="VTJ45"/>
      <c r="VTK45"/>
      <c r="VTL45"/>
      <c r="VTM45"/>
      <c r="VTN45"/>
      <c r="VTO45"/>
      <c r="VTP45"/>
      <c r="VTQ45"/>
      <c r="VTR45"/>
      <c r="VTS45"/>
      <c r="VTT45"/>
      <c r="VTU45"/>
      <c r="VTV45"/>
      <c r="VTW45"/>
      <c r="VTX45"/>
      <c r="VTY45"/>
      <c r="VTZ45"/>
      <c r="VUA45"/>
      <c r="VUB45"/>
      <c r="VUC45"/>
      <c r="VUD45"/>
      <c r="VUE45"/>
      <c r="VUF45"/>
      <c r="VUG45"/>
      <c r="VUH45"/>
      <c r="VUI45"/>
      <c r="VUJ45"/>
      <c r="VUK45"/>
      <c r="VUL45"/>
      <c r="VUM45"/>
      <c r="VUN45"/>
      <c r="VUO45"/>
      <c r="VUP45"/>
      <c r="VUQ45"/>
      <c r="VUR45"/>
      <c r="VUS45"/>
      <c r="VUT45"/>
      <c r="VUU45"/>
      <c r="VUV45"/>
      <c r="VUW45"/>
      <c r="VUX45"/>
      <c r="VUY45"/>
      <c r="VUZ45"/>
      <c r="VVA45"/>
      <c r="VVB45"/>
      <c r="VVC45"/>
      <c r="VVD45"/>
      <c r="VVE45"/>
      <c r="VVF45"/>
      <c r="VVG45"/>
      <c r="VVH45"/>
      <c r="VVI45"/>
      <c r="VVJ45"/>
      <c r="VVK45"/>
      <c r="VVL45"/>
      <c r="VVM45"/>
      <c r="VVN45"/>
      <c r="VVO45"/>
      <c r="VVP45"/>
      <c r="VVQ45"/>
      <c r="VVR45"/>
      <c r="VVS45"/>
      <c r="VVT45"/>
      <c r="VVU45"/>
      <c r="VVV45"/>
      <c r="VVW45"/>
      <c r="VVX45"/>
      <c r="VVY45"/>
      <c r="VVZ45"/>
      <c r="VWA45"/>
      <c r="VWB45"/>
      <c r="VWC45"/>
      <c r="VWD45"/>
      <c r="VWE45"/>
      <c r="VWF45"/>
      <c r="VWG45"/>
      <c r="VWH45"/>
      <c r="VWI45"/>
      <c r="VWJ45"/>
      <c r="VWK45"/>
      <c r="VWL45"/>
      <c r="VWM45"/>
      <c r="VWN45"/>
      <c r="VWO45"/>
      <c r="VWP45"/>
      <c r="VWQ45"/>
      <c r="VWR45"/>
      <c r="VWS45"/>
      <c r="VWT45"/>
      <c r="VWU45"/>
      <c r="VWV45"/>
      <c r="VWW45"/>
      <c r="VWX45"/>
      <c r="VWY45"/>
      <c r="VWZ45"/>
      <c r="VXA45"/>
      <c r="VXB45"/>
      <c r="VXC45"/>
      <c r="VXD45"/>
      <c r="VXE45"/>
      <c r="VXF45"/>
      <c r="VXG45"/>
      <c r="VXH45"/>
      <c r="VXI45"/>
      <c r="VXJ45"/>
      <c r="VXK45"/>
      <c r="VXL45"/>
      <c r="VXM45"/>
      <c r="VXN45"/>
      <c r="VXO45"/>
      <c r="VXP45"/>
      <c r="VXQ45"/>
      <c r="VXR45"/>
      <c r="VXS45"/>
      <c r="VXT45"/>
      <c r="VXU45"/>
      <c r="VXV45"/>
      <c r="VXW45"/>
      <c r="VXX45"/>
      <c r="VXY45"/>
      <c r="VXZ45"/>
      <c r="VYA45"/>
      <c r="VYB45"/>
      <c r="VYC45"/>
      <c r="VYD45"/>
      <c r="VYE45"/>
      <c r="VYF45"/>
      <c r="VYG45"/>
      <c r="VYH45"/>
      <c r="VYI45"/>
      <c r="VYJ45"/>
      <c r="VYK45"/>
      <c r="VYL45"/>
      <c r="VYM45"/>
      <c r="VYN45"/>
      <c r="VYO45"/>
      <c r="VYP45"/>
      <c r="VYQ45"/>
      <c r="VYR45"/>
      <c r="VYS45"/>
      <c r="VYT45"/>
      <c r="VYU45"/>
      <c r="VYV45"/>
      <c r="VYW45"/>
      <c r="VYX45"/>
      <c r="VYY45"/>
      <c r="VYZ45"/>
      <c r="VZA45"/>
      <c r="VZB45"/>
      <c r="VZC45"/>
      <c r="VZD45"/>
      <c r="VZE45"/>
      <c r="VZF45"/>
      <c r="VZG45"/>
      <c r="VZH45"/>
      <c r="VZI45"/>
      <c r="VZJ45"/>
      <c r="VZK45"/>
      <c r="VZL45"/>
      <c r="VZM45"/>
      <c r="VZN45"/>
      <c r="VZO45"/>
      <c r="VZP45"/>
      <c r="VZQ45"/>
      <c r="VZR45"/>
      <c r="VZS45"/>
      <c r="VZT45"/>
      <c r="VZU45"/>
      <c r="VZV45"/>
      <c r="VZW45"/>
      <c r="VZX45"/>
      <c r="VZY45"/>
      <c r="VZZ45"/>
      <c r="WAA45"/>
      <c r="WAB45"/>
      <c r="WAC45"/>
      <c r="WAD45"/>
      <c r="WAE45"/>
      <c r="WAF45"/>
      <c r="WAG45"/>
      <c r="WAH45"/>
      <c r="WAI45"/>
      <c r="WAJ45"/>
      <c r="WAK45"/>
      <c r="WAL45"/>
      <c r="WAM45"/>
      <c r="WAN45"/>
      <c r="WAO45"/>
      <c r="WAP45"/>
      <c r="WAQ45"/>
      <c r="WAR45"/>
      <c r="WAS45"/>
      <c r="WAT45"/>
      <c r="WAU45"/>
      <c r="WAV45"/>
      <c r="WAW45"/>
      <c r="WAX45"/>
      <c r="WAY45"/>
      <c r="WAZ45"/>
      <c r="WBA45"/>
      <c r="WBB45"/>
      <c r="WBC45"/>
      <c r="WBD45"/>
      <c r="WBE45"/>
      <c r="WBF45"/>
      <c r="WBG45"/>
      <c r="WBH45"/>
      <c r="WBI45"/>
      <c r="WBJ45"/>
      <c r="WBK45"/>
      <c r="WBL45"/>
      <c r="WBM45"/>
      <c r="WBN45"/>
      <c r="WBO45"/>
      <c r="WBP45"/>
      <c r="WBQ45"/>
      <c r="WBR45"/>
      <c r="WBS45"/>
      <c r="WBT45"/>
      <c r="WBU45"/>
      <c r="WBV45"/>
      <c r="WBW45"/>
      <c r="WBX45"/>
      <c r="WBY45"/>
      <c r="WBZ45"/>
      <c r="WCA45"/>
      <c r="WCB45"/>
      <c r="WCC45"/>
      <c r="WCD45"/>
      <c r="WCE45"/>
      <c r="WCF45"/>
      <c r="WCG45"/>
      <c r="WCH45"/>
      <c r="WCI45"/>
      <c r="WCJ45"/>
      <c r="WCK45"/>
      <c r="WCL45"/>
      <c r="WCM45"/>
      <c r="WCN45"/>
      <c r="WCO45"/>
      <c r="WCP45"/>
      <c r="WCQ45"/>
      <c r="WCR45"/>
      <c r="WCS45"/>
      <c r="WCT45"/>
      <c r="WCU45"/>
      <c r="WCV45"/>
      <c r="WCW45"/>
      <c r="WCX45"/>
      <c r="WCY45"/>
      <c r="WCZ45"/>
      <c r="WDA45"/>
      <c r="WDB45"/>
      <c r="WDC45"/>
      <c r="WDD45"/>
      <c r="WDE45"/>
      <c r="WDF45"/>
      <c r="WDG45"/>
      <c r="WDH45"/>
      <c r="WDI45"/>
      <c r="WDJ45"/>
      <c r="WDK45"/>
      <c r="WDL45"/>
      <c r="WDM45"/>
      <c r="WDN45"/>
      <c r="WDO45"/>
      <c r="WDP45"/>
      <c r="WDQ45"/>
      <c r="WDR45"/>
      <c r="WDS45"/>
      <c r="WDT45"/>
      <c r="WDU45"/>
      <c r="WDV45"/>
      <c r="WDW45"/>
      <c r="WDX45"/>
      <c r="WDY45"/>
      <c r="WDZ45"/>
      <c r="WEA45"/>
      <c r="WEB45"/>
      <c r="WEC45"/>
      <c r="WED45"/>
      <c r="WEE45"/>
      <c r="WEF45"/>
      <c r="WEG45"/>
      <c r="WEH45"/>
      <c r="WEI45"/>
      <c r="WEJ45"/>
      <c r="WEK45"/>
      <c r="WEL45"/>
      <c r="WEM45"/>
      <c r="WEN45"/>
      <c r="WEO45"/>
      <c r="WEP45"/>
      <c r="WEQ45"/>
      <c r="WER45"/>
      <c r="WES45"/>
      <c r="WET45"/>
      <c r="WEU45"/>
      <c r="WEV45"/>
      <c r="WEW45"/>
      <c r="WEX45"/>
      <c r="WEY45"/>
      <c r="WEZ45"/>
      <c r="WFA45"/>
      <c r="WFB45"/>
      <c r="WFC45"/>
      <c r="WFD45"/>
      <c r="WFE45"/>
      <c r="WFF45"/>
      <c r="WFG45"/>
      <c r="WFH45"/>
      <c r="WFI45"/>
      <c r="WFJ45"/>
      <c r="WFK45"/>
      <c r="WFL45"/>
      <c r="WFM45"/>
      <c r="WFN45"/>
      <c r="WFO45"/>
      <c r="WFP45"/>
      <c r="WFQ45"/>
      <c r="WFR45"/>
      <c r="WFS45"/>
      <c r="WFT45"/>
      <c r="WFU45"/>
      <c r="WFV45"/>
      <c r="WFW45"/>
      <c r="WFX45"/>
      <c r="WFY45"/>
      <c r="WFZ45"/>
      <c r="WGA45"/>
      <c r="WGB45"/>
      <c r="WGC45"/>
      <c r="WGD45"/>
      <c r="WGE45"/>
      <c r="WGF45"/>
      <c r="WGG45"/>
      <c r="WGH45"/>
      <c r="WGI45"/>
      <c r="WGJ45"/>
      <c r="WGK45"/>
      <c r="WGL45"/>
      <c r="WGM45"/>
      <c r="WGN45"/>
      <c r="WGO45"/>
      <c r="WGP45"/>
      <c r="WGQ45"/>
      <c r="WGR45"/>
      <c r="WGS45"/>
      <c r="WGT45"/>
      <c r="WGU45"/>
      <c r="WGV45"/>
      <c r="WGW45"/>
      <c r="WGX45"/>
      <c r="WGY45"/>
      <c r="WGZ45"/>
      <c r="WHA45"/>
      <c r="WHB45"/>
      <c r="WHC45"/>
      <c r="WHD45"/>
      <c r="WHE45"/>
      <c r="WHF45"/>
      <c r="WHG45"/>
      <c r="WHH45"/>
      <c r="WHI45"/>
      <c r="WHJ45"/>
      <c r="WHK45"/>
      <c r="WHL45"/>
      <c r="WHM45"/>
      <c r="WHN45"/>
      <c r="WHO45"/>
      <c r="WHP45"/>
      <c r="WHQ45"/>
      <c r="WHR45"/>
      <c r="WHS45"/>
      <c r="WHT45"/>
      <c r="WHU45"/>
      <c r="WHV45"/>
      <c r="WHW45"/>
      <c r="WHX45"/>
      <c r="WHY45"/>
      <c r="WHZ45"/>
      <c r="WIA45"/>
      <c r="WIB45"/>
      <c r="WIC45"/>
      <c r="WID45"/>
      <c r="WIE45"/>
      <c r="WIF45"/>
      <c r="WIG45"/>
      <c r="WIH45"/>
      <c r="WII45"/>
      <c r="WIJ45"/>
      <c r="WIK45"/>
      <c r="WIL45"/>
      <c r="WIM45"/>
      <c r="WIN45"/>
      <c r="WIO45"/>
      <c r="WIP45"/>
      <c r="WIQ45"/>
      <c r="WIR45"/>
      <c r="WIS45"/>
      <c r="WIT45"/>
      <c r="WIU45"/>
      <c r="WIV45"/>
      <c r="WIW45"/>
      <c r="WIX45"/>
      <c r="WIY45"/>
      <c r="WIZ45"/>
      <c r="WJA45"/>
      <c r="WJB45"/>
      <c r="WJC45"/>
      <c r="WJD45"/>
      <c r="WJE45"/>
      <c r="WJF45"/>
      <c r="WJG45"/>
      <c r="WJH45"/>
      <c r="WJI45"/>
      <c r="WJJ45"/>
      <c r="WJK45"/>
      <c r="WJL45"/>
      <c r="WJM45"/>
      <c r="WJN45"/>
      <c r="WJO45"/>
      <c r="WJP45"/>
      <c r="WJQ45"/>
      <c r="WJR45"/>
      <c r="WJS45"/>
      <c r="WJT45"/>
      <c r="WJU45"/>
      <c r="WJV45"/>
      <c r="WJW45"/>
      <c r="WJX45"/>
      <c r="WJY45"/>
      <c r="WJZ45"/>
      <c r="WKA45"/>
      <c r="WKB45"/>
      <c r="WKC45"/>
      <c r="WKD45"/>
      <c r="WKE45"/>
      <c r="WKF45"/>
      <c r="WKG45"/>
      <c r="WKH45"/>
      <c r="WKI45"/>
      <c r="WKJ45"/>
      <c r="WKK45"/>
      <c r="WKL45"/>
      <c r="WKM45"/>
      <c r="WKN45"/>
      <c r="WKO45"/>
      <c r="WKP45"/>
      <c r="WKQ45"/>
      <c r="WKR45"/>
      <c r="WKS45"/>
      <c r="WKT45"/>
      <c r="WKU45"/>
      <c r="WKV45"/>
      <c r="WKW45"/>
      <c r="WKX45"/>
      <c r="WKY45"/>
      <c r="WKZ45"/>
      <c r="WLA45"/>
      <c r="WLB45"/>
      <c r="WLC45"/>
      <c r="WLD45"/>
      <c r="WLE45"/>
      <c r="WLF45"/>
      <c r="WLG45"/>
      <c r="WLH45"/>
      <c r="WLI45"/>
      <c r="WLJ45"/>
      <c r="WLK45"/>
      <c r="WLL45"/>
      <c r="WLM45"/>
      <c r="WLN45"/>
      <c r="WLO45"/>
      <c r="WLP45"/>
      <c r="WLQ45"/>
      <c r="WLR45"/>
      <c r="WLS45"/>
      <c r="WLT45"/>
      <c r="WLU45"/>
      <c r="WLV45"/>
      <c r="WLW45"/>
      <c r="WLX45"/>
      <c r="WLY45"/>
      <c r="WLZ45"/>
      <c r="WMA45"/>
      <c r="WMB45"/>
      <c r="WMC45"/>
      <c r="WMD45"/>
      <c r="WME45"/>
      <c r="WMF45"/>
      <c r="WMG45"/>
      <c r="WMH45"/>
      <c r="WMI45"/>
      <c r="WMJ45"/>
      <c r="WMK45"/>
      <c r="WML45"/>
      <c r="WMM45"/>
      <c r="WMN45"/>
      <c r="WMO45"/>
      <c r="WMP45"/>
      <c r="WMQ45"/>
      <c r="WMR45"/>
      <c r="WMS45"/>
      <c r="WMT45"/>
      <c r="WMU45"/>
      <c r="WMV45"/>
      <c r="WMW45"/>
      <c r="WMX45"/>
      <c r="WMY45"/>
      <c r="WMZ45"/>
      <c r="WNA45"/>
      <c r="WNB45"/>
      <c r="WNC45"/>
      <c r="WND45"/>
      <c r="WNE45"/>
      <c r="WNF45"/>
      <c r="WNG45"/>
      <c r="WNH45"/>
      <c r="WNI45"/>
      <c r="WNJ45"/>
      <c r="WNK45"/>
      <c r="WNL45"/>
      <c r="WNM45"/>
      <c r="WNN45"/>
      <c r="WNO45"/>
      <c r="WNP45"/>
      <c r="WNQ45"/>
      <c r="WNR45"/>
      <c r="WNS45"/>
      <c r="WNT45"/>
      <c r="WNU45"/>
      <c r="WNV45"/>
      <c r="WNW45"/>
      <c r="WNX45"/>
      <c r="WNY45"/>
      <c r="WNZ45"/>
      <c r="WOA45"/>
      <c r="WOB45"/>
      <c r="WOC45"/>
      <c r="WOD45"/>
      <c r="WOE45"/>
      <c r="WOF45"/>
      <c r="WOG45"/>
      <c r="WOH45"/>
      <c r="WOI45"/>
      <c r="WOJ45"/>
      <c r="WOK45"/>
      <c r="WOL45"/>
      <c r="WOM45"/>
      <c r="WON45"/>
      <c r="WOO45"/>
      <c r="WOP45"/>
      <c r="WOQ45"/>
      <c r="WOR45"/>
      <c r="WOS45"/>
      <c r="WOT45"/>
      <c r="WOU45"/>
      <c r="WOV45"/>
      <c r="WOW45"/>
      <c r="WOX45"/>
      <c r="WOY45"/>
      <c r="WOZ45"/>
      <c r="WPA45"/>
      <c r="WPB45"/>
      <c r="WPC45"/>
      <c r="WPD45"/>
      <c r="WPE45"/>
      <c r="WPF45"/>
      <c r="WPG45"/>
      <c r="WPH45"/>
      <c r="WPI45"/>
      <c r="WPJ45"/>
      <c r="WPK45"/>
      <c r="WPL45"/>
      <c r="WPM45"/>
      <c r="WPN45"/>
      <c r="WPO45"/>
      <c r="WPP45"/>
      <c r="WPQ45"/>
      <c r="WPR45"/>
      <c r="WPS45"/>
      <c r="WPT45"/>
      <c r="WPU45"/>
      <c r="WPV45"/>
      <c r="WPW45"/>
      <c r="WPX45"/>
      <c r="WPY45"/>
      <c r="WPZ45"/>
      <c r="WQA45"/>
      <c r="WQB45"/>
      <c r="WQC45"/>
      <c r="WQD45"/>
      <c r="WQE45"/>
      <c r="WQF45"/>
      <c r="WQG45"/>
      <c r="WQH45"/>
      <c r="WQI45"/>
      <c r="WQJ45"/>
      <c r="WQK45"/>
      <c r="WQL45"/>
      <c r="WQM45"/>
      <c r="WQN45"/>
      <c r="WQO45"/>
      <c r="WQP45"/>
      <c r="WQQ45"/>
      <c r="WQR45"/>
      <c r="WQS45"/>
      <c r="WQT45"/>
      <c r="WQU45"/>
      <c r="WQV45"/>
      <c r="WQW45"/>
      <c r="WQX45"/>
      <c r="WQY45"/>
      <c r="WQZ45"/>
      <c r="WRA45"/>
      <c r="WRB45"/>
      <c r="WRC45"/>
      <c r="WRD45"/>
      <c r="WRE45"/>
      <c r="WRF45"/>
      <c r="WRG45"/>
      <c r="WRH45"/>
      <c r="WRI45"/>
      <c r="WRJ45"/>
      <c r="WRK45"/>
      <c r="WRL45"/>
      <c r="WRM45"/>
      <c r="WRN45"/>
      <c r="WRO45"/>
      <c r="WRP45"/>
      <c r="WRQ45"/>
      <c r="WRR45"/>
      <c r="WRS45"/>
      <c r="WRT45"/>
      <c r="WRU45"/>
      <c r="WRV45"/>
      <c r="WRW45"/>
      <c r="WRX45"/>
      <c r="WRY45"/>
      <c r="WRZ45"/>
      <c r="WSA45"/>
      <c r="WSB45"/>
      <c r="WSC45"/>
      <c r="WSD45"/>
      <c r="WSE45"/>
      <c r="WSF45"/>
      <c r="WSG45"/>
      <c r="WSH45"/>
      <c r="WSI45"/>
      <c r="WSJ45"/>
      <c r="WSK45"/>
      <c r="WSL45"/>
      <c r="WSM45"/>
      <c r="WSN45"/>
      <c r="WSO45"/>
      <c r="WSP45"/>
      <c r="WSQ45"/>
      <c r="WSR45"/>
      <c r="WSS45"/>
      <c r="WST45"/>
      <c r="WSU45"/>
      <c r="WSV45"/>
      <c r="WSW45"/>
      <c r="WSX45"/>
      <c r="WSY45"/>
      <c r="WSZ45"/>
      <c r="WTA45"/>
      <c r="WTB45"/>
      <c r="WTC45"/>
      <c r="WTD45"/>
      <c r="WTE45"/>
      <c r="WTF45"/>
      <c r="WTG45"/>
      <c r="WTH45"/>
      <c r="WTI45"/>
      <c r="WTJ45"/>
      <c r="WTK45"/>
      <c r="WTL45"/>
      <c r="WTM45"/>
      <c r="WTN45"/>
      <c r="WTO45"/>
      <c r="WTP45"/>
      <c r="WTQ45"/>
      <c r="WTR45"/>
      <c r="WTS45"/>
      <c r="WTT45"/>
      <c r="WTU45"/>
      <c r="WTV45"/>
      <c r="WTW45"/>
      <c r="WTX45"/>
      <c r="WTY45"/>
      <c r="WTZ45"/>
      <c r="WUA45"/>
      <c r="WUB45"/>
      <c r="WUC45"/>
      <c r="WUD45"/>
      <c r="WUE45"/>
      <c r="WUF45"/>
      <c r="WUG45"/>
      <c r="WUH45"/>
      <c r="WUI45"/>
      <c r="WUJ45"/>
      <c r="WUK45"/>
      <c r="WUL45"/>
      <c r="WUM45"/>
      <c r="WUN45"/>
      <c r="WUO45"/>
      <c r="WUP45"/>
      <c r="WUQ45"/>
      <c r="WUR45"/>
      <c r="WUS45"/>
      <c r="WUT45"/>
      <c r="WUU45"/>
      <c r="WUV45"/>
      <c r="WUW45"/>
      <c r="WUX45"/>
      <c r="WUY45"/>
      <c r="WUZ45"/>
      <c r="WVA45"/>
      <c r="WVB45"/>
      <c r="WVC45"/>
      <c r="WVD45"/>
      <c r="WVE45"/>
      <c r="WVF45"/>
      <c r="WVG45"/>
      <c r="WVH45"/>
      <c r="WVI45"/>
      <c r="WVJ45"/>
      <c r="WVK45"/>
      <c r="WVL45"/>
      <c r="WVM45"/>
      <c r="WVN45"/>
      <c r="WVO45"/>
      <c r="WVP45"/>
      <c r="WVQ45"/>
      <c r="WVR45"/>
      <c r="WVS45"/>
      <c r="WVT45"/>
      <c r="WVU45"/>
      <c r="WVV45"/>
      <c r="WVW45"/>
      <c r="WVX45"/>
      <c r="WVY45"/>
      <c r="WVZ45"/>
      <c r="WWA45"/>
      <c r="WWB45"/>
      <c r="WWC45"/>
      <c r="WWD45"/>
      <c r="WWE45"/>
      <c r="WWF45"/>
      <c r="WWG45"/>
      <c r="WWH45"/>
      <c r="WWI45"/>
      <c r="WWJ45"/>
      <c r="WWK45"/>
      <c r="WWL45"/>
      <c r="WWM45"/>
      <c r="WWN45"/>
      <c r="WWO45"/>
      <c r="WWP45"/>
      <c r="WWQ45"/>
      <c r="WWR45"/>
      <c r="WWS45"/>
      <c r="WWT45"/>
      <c r="WWU45"/>
      <c r="WWV45"/>
      <c r="WWW45"/>
      <c r="WWX45"/>
      <c r="WWY45"/>
      <c r="WWZ45"/>
      <c r="WXA45"/>
      <c r="WXB45"/>
      <c r="WXC45"/>
      <c r="WXD45"/>
      <c r="WXE45"/>
      <c r="WXF45"/>
      <c r="WXG45"/>
      <c r="WXH45"/>
      <c r="WXI45"/>
      <c r="WXJ45"/>
      <c r="WXK45"/>
      <c r="WXL45"/>
      <c r="WXM45"/>
      <c r="WXN45"/>
      <c r="WXO45"/>
      <c r="WXP45"/>
      <c r="WXQ45"/>
      <c r="WXR45"/>
      <c r="WXS45"/>
      <c r="WXT45"/>
      <c r="WXU45"/>
      <c r="WXV45"/>
      <c r="WXW45"/>
      <c r="WXX45"/>
      <c r="WXY45"/>
      <c r="WXZ45"/>
      <c r="WYA45"/>
      <c r="WYB45"/>
      <c r="WYC45"/>
      <c r="WYD45"/>
      <c r="WYE45"/>
      <c r="WYF45"/>
      <c r="WYG45"/>
      <c r="WYH45"/>
      <c r="WYI45"/>
      <c r="WYJ45"/>
      <c r="WYK45"/>
      <c r="WYL45"/>
      <c r="WYM45"/>
      <c r="WYN45"/>
      <c r="WYO45"/>
      <c r="WYP45"/>
      <c r="WYQ45"/>
      <c r="WYR45"/>
      <c r="WYS45"/>
      <c r="WYT45"/>
      <c r="WYU45"/>
      <c r="WYV45"/>
      <c r="WYW45"/>
      <c r="WYX45"/>
      <c r="WYY45"/>
      <c r="WYZ45"/>
      <c r="WZA45"/>
      <c r="WZB45"/>
      <c r="WZC45"/>
      <c r="WZD45"/>
      <c r="WZE45"/>
      <c r="WZF45"/>
      <c r="WZG45"/>
      <c r="WZH45"/>
      <c r="WZI45"/>
      <c r="WZJ45"/>
      <c r="WZK45"/>
      <c r="WZL45"/>
      <c r="WZM45"/>
      <c r="WZN45"/>
      <c r="WZO45"/>
      <c r="WZP45"/>
      <c r="WZQ45"/>
      <c r="WZR45"/>
      <c r="WZS45"/>
      <c r="WZT45"/>
      <c r="WZU45"/>
      <c r="WZV45"/>
      <c r="WZW45"/>
      <c r="WZX45"/>
      <c r="WZY45"/>
      <c r="WZZ45"/>
      <c r="XAA45"/>
      <c r="XAB45"/>
      <c r="XAC45"/>
      <c r="XAD45"/>
      <c r="XAE45"/>
      <c r="XAF45"/>
      <c r="XAG45"/>
      <c r="XAH45"/>
      <c r="XAI45"/>
      <c r="XAJ45"/>
      <c r="XAK45"/>
      <c r="XAL45"/>
      <c r="XAM45"/>
      <c r="XAN45"/>
      <c r="XAO45"/>
      <c r="XAP45"/>
      <c r="XAQ45"/>
      <c r="XAR45"/>
      <c r="XAS45"/>
      <c r="XAT45"/>
      <c r="XAU45"/>
      <c r="XAV45"/>
      <c r="XAW45"/>
      <c r="XAX45"/>
      <c r="XAY45"/>
      <c r="XAZ45"/>
      <c r="XBA45"/>
      <c r="XBB45"/>
      <c r="XBC45"/>
      <c r="XBD45"/>
      <c r="XBE45"/>
      <c r="XBF45"/>
      <c r="XBG45"/>
      <c r="XBH45"/>
      <c r="XBI45"/>
      <c r="XBJ45"/>
      <c r="XBK45"/>
      <c r="XBL45"/>
      <c r="XBM45"/>
      <c r="XBN45"/>
      <c r="XBO45"/>
      <c r="XBP45"/>
      <c r="XBQ45"/>
      <c r="XBR45"/>
      <c r="XBS45"/>
      <c r="XBT45"/>
      <c r="XBU45"/>
      <c r="XBV45"/>
      <c r="XBW45"/>
      <c r="XBX45"/>
      <c r="XBY45"/>
      <c r="XBZ45"/>
      <c r="XCA45"/>
      <c r="XCB45"/>
      <c r="XCC45"/>
      <c r="XCD45"/>
      <c r="XCE45"/>
      <c r="XCF45"/>
      <c r="XCG45"/>
      <c r="XCH45"/>
      <c r="XCI45"/>
      <c r="XCJ45"/>
      <c r="XCK45"/>
      <c r="XCL45"/>
      <c r="XCM45"/>
      <c r="XCN45"/>
      <c r="XCO45"/>
      <c r="XCP45"/>
      <c r="XCQ45"/>
      <c r="XCR45"/>
      <c r="XCS45"/>
      <c r="XCT45"/>
      <c r="XCU45"/>
      <c r="XCV45"/>
      <c r="XCW45"/>
      <c r="XCX45"/>
      <c r="XCY45"/>
      <c r="XCZ45"/>
      <c r="XDA45"/>
      <c r="XDB45"/>
      <c r="XDC45"/>
      <c r="XDD45"/>
      <c r="XDE45"/>
      <c r="XDF45"/>
      <c r="XDG45"/>
      <c r="XDH45"/>
      <c r="XDI45"/>
      <c r="XDJ45"/>
      <c r="XDK45"/>
      <c r="XDL45"/>
      <c r="XDM45"/>
      <c r="XDN45"/>
      <c r="XDO45"/>
      <c r="XDP45"/>
      <c r="XDQ45"/>
      <c r="XDR45"/>
      <c r="XDS45"/>
      <c r="XDT45"/>
      <c r="XDU45"/>
      <c r="XDV45"/>
      <c r="XDW45"/>
      <c r="XDX45"/>
      <c r="XDY45"/>
      <c r="XDZ45"/>
      <c r="XEA45"/>
      <c r="XEB45"/>
      <c r="XEC45"/>
      <c r="XED45"/>
      <c r="XEE45"/>
      <c r="XEF45"/>
      <c r="XEG45"/>
      <c r="XEH45"/>
      <c r="XEI45"/>
      <c r="XEJ45"/>
      <c r="XEK45"/>
      <c r="XEL45"/>
      <c r="XEM45"/>
      <c r="XEN45"/>
      <c r="XEO45"/>
      <c r="XEP45"/>
      <c r="XEQ45"/>
      <c r="XER45"/>
      <c r="XES45"/>
      <c r="XET45"/>
      <c r="XEU45"/>
      <c r="XEV45"/>
      <c r="XEW45"/>
      <c r="XEX45"/>
      <c r="XEY45"/>
    </row>
    <row r="46" spans="2:16379" ht="15.75">
      <c r="B46" s="1"/>
      <c r="C46" s="1"/>
      <c r="D46" s="1"/>
      <c r="E46" s="22"/>
      <c r="G46" s="67"/>
      <c r="H46" s="67"/>
      <c r="I46" s="67"/>
      <c r="J46" s="67"/>
      <c r="K46" s="67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2:16379" ht="25.5" customHeight="1">
      <c r="B47" s="14" t="s">
        <v>38</v>
      </c>
      <c r="C47" s="14">
        <v>1</v>
      </c>
      <c r="D47" s="15">
        <v>0</v>
      </c>
      <c r="E47" s="18" t="s">
        <v>39</v>
      </c>
      <c r="G47" s="68" t="s">
        <v>40</v>
      </c>
      <c r="H47" s="68"/>
      <c r="I47" s="68"/>
      <c r="J47" s="68"/>
      <c r="K47" s="68"/>
      <c r="L47" s="70" t="s">
        <v>41</v>
      </c>
      <c r="M47" s="71"/>
      <c r="N47" s="71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2:16379" ht="15.75">
      <c r="B48" s="1"/>
      <c r="C48" s="1"/>
      <c r="D48" s="1"/>
      <c r="E48" s="22"/>
      <c r="F48" s="19"/>
      <c r="G48" s="69"/>
      <c r="H48" s="69"/>
      <c r="I48" s="69"/>
      <c r="J48" s="69"/>
      <c r="K48" s="69"/>
      <c r="L48" s="45"/>
      <c r="M48" s="4"/>
      <c r="N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2:130" ht="25.5" customHeight="1">
      <c r="B49" s="14">
        <v>1</v>
      </c>
      <c r="C49" s="14">
        <v>1</v>
      </c>
      <c r="D49" s="15">
        <v>4</v>
      </c>
      <c r="E49" s="18" t="str">
        <f>SUBSTITUTE(G49,L49, "")</f>
        <v>TEXTJOIN</v>
      </c>
      <c r="G49" s="68" t="s">
        <v>42</v>
      </c>
      <c r="H49" s="68"/>
      <c r="I49" s="68"/>
      <c r="J49" s="68"/>
      <c r="K49" s="68"/>
      <c r="L49" s="70" t="s">
        <v>43</v>
      </c>
      <c r="M49" s="71"/>
      <c r="N49" s="71"/>
      <c r="P49" s="1" t="str">
        <f>_xlfn.CONCAT(E49:E68)</f>
        <v>TEXTJOININDEXCONCATINDEXCOUNTAIFSLENIFERRORMINIFSSUMIFSEOMONTHVLOOKUPMATCHINDIRECTAVERAGEMAXIFSTABLEXLOOKUPDATETEXT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2:130" ht="25.5" customHeight="1">
      <c r="B50" s="14">
        <v>2</v>
      </c>
      <c r="C50" s="14">
        <v>1</v>
      </c>
      <c r="D50" s="15">
        <v>4</v>
      </c>
      <c r="E50" s="18" t="str">
        <f t="shared" ref="E50:E68" si="0">SUBSTITUTE(G50,L50, "")</f>
        <v>INDEX</v>
      </c>
      <c r="G50" s="68" t="s">
        <v>44</v>
      </c>
      <c r="H50" s="68"/>
      <c r="I50" s="68"/>
      <c r="J50" s="68"/>
      <c r="K50" s="68"/>
      <c r="L50" s="70" t="s">
        <v>45</v>
      </c>
      <c r="M50" s="71"/>
      <c r="N50" s="71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2:130" ht="25.5" customHeight="1">
      <c r="B51" s="14">
        <v>3</v>
      </c>
      <c r="C51" s="14">
        <v>1</v>
      </c>
      <c r="D51" s="15">
        <v>4</v>
      </c>
      <c r="E51" s="18" t="str">
        <f t="shared" si="0"/>
        <v>CONCAT</v>
      </c>
      <c r="G51" s="68" t="s">
        <v>46</v>
      </c>
      <c r="H51" s="68"/>
      <c r="I51" s="68"/>
      <c r="J51" s="68"/>
      <c r="K51" s="68"/>
      <c r="L51" s="70" t="s">
        <v>47</v>
      </c>
      <c r="M51" s="71"/>
      <c r="N51" s="71"/>
      <c r="P51" s="1" t="str" cm="1">
        <f t="array" ref="P51:DZ51">MID(P49,_xlfn.SEQUENCE(1,LEN(P49)),1)</f>
        <v>T</v>
      </c>
      <c r="Q51" s="4" t="str">
        <v>E</v>
      </c>
      <c r="R51" s="4" t="str">
        <v>X</v>
      </c>
      <c r="S51" s="4" t="str">
        <v>T</v>
      </c>
      <c r="T51" s="4" t="str">
        <v>J</v>
      </c>
      <c r="U51" s="4" t="str">
        <v>O</v>
      </c>
      <c r="V51" s="4" t="str">
        <v>I</v>
      </c>
      <c r="W51" s="4" t="str">
        <v>N</v>
      </c>
      <c r="X51" s="4" t="str">
        <v>I</v>
      </c>
      <c r="Y51" s="4" t="str">
        <v>N</v>
      </c>
      <c r="Z51" s="4" t="str">
        <v>D</v>
      </c>
      <c r="AA51" s="4" t="str">
        <v>E</v>
      </c>
      <c r="AB51" s="4" t="str">
        <v>X</v>
      </c>
      <c r="AC51" s="4" t="str">
        <v>C</v>
      </c>
      <c r="AD51" s="1" t="str">
        <v>O</v>
      </c>
      <c r="AE51" s="4" t="str">
        <v>N</v>
      </c>
      <c r="AF51" s="4" t="str">
        <v>C</v>
      </c>
      <c r="AG51" s="4" t="str">
        <v>A</v>
      </c>
      <c r="AH51" s="4" t="str">
        <v>T</v>
      </c>
      <c r="AI51" s="4" t="str">
        <v>I</v>
      </c>
      <c r="AJ51" s="4" t="str">
        <v>N</v>
      </c>
      <c r="AK51" s="4" t="str">
        <v>D</v>
      </c>
      <c r="AL51" s="4" t="str">
        <v>E</v>
      </c>
      <c r="AM51" s="4" t="str">
        <v>X</v>
      </c>
      <c r="AN51" s="4" t="str">
        <v>C</v>
      </c>
      <c r="AO51" s="4" t="str">
        <v>O</v>
      </c>
      <c r="AP51" s="4" t="str">
        <v>U</v>
      </c>
      <c r="AQ51" s="4" t="str">
        <v>N</v>
      </c>
      <c r="AR51" s="4" t="str">
        <v>T</v>
      </c>
      <c r="AS51" s="4" t="str">
        <v>A</v>
      </c>
      <c r="AT51" s="4" t="str">
        <v>I</v>
      </c>
      <c r="AU51" s="4" t="str">
        <v>F</v>
      </c>
      <c r="AV51" s="4" t="str">
        <v>S</v>
      </c>
      <c r="AW51" s="4" t="str">
        <v>L</v>
      </c>
      <c r="AX51" s="4" t="str">
        <v>E</v>
      </c>
      <c r="AY51" s="4" t="str">
        <v>N</v>
      </c>
      <c r="AZ51" s="4" t="str">
        <v>I</v>
      </c>
      <c r="BA51" s="4" t="str">
        <v>F</v>
      </c>
      <c r="BB51" s="4" t="str">
        <v>E</v>
      </c>
      <c r="BC51" s="4" t="str">
        <v>R</v>
      </c>
      <c r="BD51" s="4" t="str">
        <v>R</v>
      </c>
      <c r="BE51" s="4" t="str">
        <v>O</v>
      </c>
      <c r="BF51" s="4" t="str">
        <v>R</v>
      </c>
      <c r="BG51" s="4" t="str">
        <v>M</v>
      </c>
      <c r="BH51" s="4" t="str">
        <v>I</v>
      </c>
      <c r="BI51" s="4" t="str">
        <v>N</v>
      </c>
      <c r="BJ51" s="4" t="str">
        <v>I</v>
      </c>
      <c r="BK51" s="4" t="str">
        <v>F</v>
      </c>
      <c r="BL51" s="4" t="str">
        <v>S</v>
      </c>
      <c r="BM51" s="4" t="str">
        <v>S</v>
      </c>
      <c r="BN51" s="4" t="str">
        <v>U</v>
      </c>
      <c r="BO51" s="4" t="str">
        <v>M</v>
      </c>
      <c r="BP51" s="4" t="str">
        <v>I</v>
      </c>
      <c r="BQ51" s="4" t="str">
        <v>F</v>
      </c>
      <c r="BR51" s="4" t="str">
        <v>S</v>
      </c>
      <c r="BS51" s="4" t="str">
        <v>E</v>
      </c>
      <c r="BT51" s="4" t="str">
        <v>O</v>
      </c>
      <c r="BU51" s="4" t="str">
        <v>M</v>
      </c>
      <c r="BV51" s="4" t="str">
        <v>O</v>
      </c>
      <c r="BW51" s="4" t="str">
        <v>N</v>
      </c>
      <c r="BX51" s="4" t="str">
        <v>T</v>
      </c>
      <c r="BY51" s="4" t="str">
        <v>H</v>
      </c>
      <c r="BZ51" s="4" t="str">
        <v>V</v>
      </c>
      <c r="CA51" s="4" t="str">
        <v>L</v>
      </c>
      <c r="CB51" s="4" t="str">
        <v>O</v>
      </c>
      <c r="CC51" s="4" t="str">
        <v>O</v>
      </c>
      <c r="CD51" s="4" t="str">
        <v>K</v>
      </c>
      <c r="CE51" s="4" t="str">
        <v>U</v>
      </c>
      <c r="CF51" s="4" t="str">
        <v>P</v>
      </c>
      <c r="CG51" s="4" t="str">
        <v>M</v>
      </c>
      <c r="CH51" s="4" t="str">
        <v>A</v>
      </c>
      <c r="CI51" s="4" t="str">
        <v>T</v>
      </c>
      <c r="CJ51" s="4" t="str">
        <v>C</v>
      </c>
      <c r="CK51" s="4" t="str">
        <v>H</v>
      </c>
      <c r="CL51" s="4" t="str">
        <v>I</v>
      </c>
      <c r="CM51" s="4" t="str">
        <v>N</v>
      </c>
      <c r="CN51" s="4" t="str">
        <v>D</v>
      </c>
      <c r="CO51" s="4" t="str">
        <v>I</v>
      </c>
      <c r="CP51" s="4" t="str">
        <v>R</v>
      </c>
      <c r="CQ51" s="4" t="str">
        <v>E</v>
      </c>
      <c r="CR51" s="4" t="str">
        <v>C</v>
      </c>
      <c r="CS51" s="4" t="str">
        <v>T</v>
      </c>
      <c r="CT51" s="4" t="str">
        <v>A</v>
      </c>
      <c r="CU51" s="4" t="str">
        <v>V</v>
      </c>
      <c r="CV51" s="4" t="str">
        <v>E</v>
      </c>
      <c r="CW51" s="4" t="str">
        <v>R</v>
      </c>
      <c r="CX51" s="4" t="str">
        <v>A</v>
      </c>
      <c r="CY51" s="4" t="str">
        <v>G</v>
      </c>
      <c r="CZ51" s="4" t="str">
        <v>E</v>
      </c>
      <c r="DA51" s="4" t="str">
        <v>M</v>
      </c>
      <c r="DB51" s="4" t="str">
        <v>A</v>
      </c>
      <c r="DC51" s="4" t="str">
        <v>X</v>
      </c>
      <c r="DD51" s="4" t="str">
        <v>I</v>
      </c>
      <c r="DE51" s="4" t="str">
        <v>F</v>
      </c>
      <c r="DF51" s="4" t="str">
        <v>S</v>
      </c>
      <c r="DG51" s="4" t="str">
        <v>T</v>
      </c>
      <c r="DH51" s="4" t="str">
        <v>A</v>
      </c>
      <c r="DI51" s="4" t="str">
        <v>B</v>
      </c>
      <c r="DJ51" s="4" t="str">
        <v>L</v>
      </c>
      <c r="DK51" s="4" t="str">
        <v>E</v>
      </c>
      <c r="DL51" s="4" t="str">
        <v>X</v>
      </c>
      <c r="DM51" s="4" t="str">
        <v>L</v>
      </c>
      <c r="DN51" s="4" t="str">
        <v>O</v>
      </c>
      <c r="DO51" s="4" t="str">
        <v>O</v>
      </c>
      <c r="DP51" s="4" t="str">
        <v>K</v>
      </c>
      <c r="DQ51" s="4" t="str">
        <v>U</v>
      </c>
      <c r="DR51" s="4" t="str">
        <v>P</v>
      </c>
      <c r="DS51" s="4" t="str">
        <v>D</v>
      </c>
      <c r="DT51" s="4" t="str">
        <v>A</v>
      </c>
      <c r="DU51" s="4" t="str">
        <v>T</v>
      </c>
      <c r="DV51" s="4" t="str">
        <v>E</v>
      </c>
      <c r="DW51" s="4" t="str">
        <v>T</v>
      </c>
      <c r="DX51" s="4" t="str">
        <v>E</v>
      </c>
      <c r="DY51" s="4" t="str">
        <v>X</v>
      </c>
      <c r="DZ51" s="4" t="str">
        <v>T</v>
      </c>
    </row>
    <row r="52" spans="2:130" ht="25.5" customHeight="1">
      <c r="B52" s="14">
        <v>4</v>
      </c>
      <c r="C52" s="14">
        <v>1</v>
      </c>
      <c r="D52" s="15">
        <v>4</v>
      </c>
      <c r="E52" s="18" t="str">
        <f t="shared" si="0"/>
        <v>INDEX</v>
      </c>
      <c r="G52" s="68" t="s">
        <v>48</v>
      </c>
      <c r="H52" s="68"/>
      <c r="I52" s="68"/>
      <c r="J52" s="68"/>
      <c r="K52" s="68"/>
      <c r="L52" s="70" t="s">
        <v>49</v>
      </c>
      <c r="M52" s="71"/>
      <c r="N52" s="71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2:130" ht="25.5" customHeight="1">
      <c r="B53" s="14">
        <v>5</v>
      </c>
      <c r="C53" s="14">
        <v>1</v>
      </c>
      <c r="D53" s="15">
        <v>4</v>
      </c>
      <c r="E53" s="18" t="str">
        <f t="shared" si="0"/>
        <v>COUNTA</v>
      </c>
      <c r="G53" s="68" t="s">
        <v>50</v>
      </c>
      <c r="H53" s="68"/>
      <c r="I53" s="68"/>
      <c r="J53" s="68"/>
      <c r="K53" s="68"/>
      <c r="L53" s="70" t="s">
        <v>41</v>
      </c>
      <c r="M53" s="71"/>
      <c r="N53" s="71"/>
      <c r="P53" s="1" t="str" cm="1">
        <f t="array" ref="P53:AK53">_xlfn.UNIQUE(_xlfn.ANCHORARRAY(P51),1)</f>
        <v>T</v>
      </c>
      <c r="Q53" s="4" t="str">
        <v>E</v>
      </c>
      <c r="R53" s="4" t="str">
        <v>X</v>
      </c>
      <c r="S53" s="4" t="str">
        <v>J</v>
      </c>
      <c r="T53" s="4" t="str">
        <v>O</v>
      </c>
      <c r="U53" s="4" t="str">
        <v>I</v>
      </c>
      <c r="V53" s="4" t="str">
        <v>N</v>
      </c>
      <c r="W53" s="4" t="str">
        <v>D</v>
      </c>
      <c r="X53" s="4" t="str">
        <v>C</v>
      </c>
      <c r="Y53" s="4" t="str">
        <v>A</v>
      </c>
      <c r="Z53" s="4" t="str">
        <v>U</v>
      </c>
      <c r="AA53" s="4" t="str">
        <v>F</v>
      </c>
      <c r="AB53" s="4" t="str">
        <v>S</v>
      </c>
      <c r="AC53" s="4" t="str">
        <v>L</v>
      </c>
      <c r="AD53" s="1" t="str">
        <v>R</v>
      </c>
      <c r="AE53" s="4" t="str">
        <v>M</v>
      </c>
      <c r="AF53" s="4" t="str">
        <v>H</v>
      </c>
      <c r="AG53" s="4" t="str">
        <v>V</v>
      </c>
      <c r="AH53" s="4" t="str">
        <v>K</v>
      </c>
      <c r="AI53" s="4" t="str">
        <v>P</v>
      </c>
      <c r="AJ53" s="4" t="str">
        <v>G</v>
      </c>
      <c r="AK53" s="4" t="str">
        <v>B</v>
      </c>
      <c r="AL53" s="4"/>
      <c r="AM53" s="4"/>
      <c r="AN53" s="4"/>
      <c r="AO53" s="4"/>
      <c r="AP53" s="4"/>
    </row>
    <row r="54" spans="2:130" ht="25.5" customHeight="1">
      <c r="B54" s="14">
        <v>6</v>
      </c>
      <c r="C54" s="14">
        <v>1</v>
      </c>
      <c r="D54" s="15">
        <v>4</v>
      </c>
      <c r="E54" s="18" t="str">
        <f t="shared" si="0"/>
        <v>IFS</v>
      </c>
      <c r="G54" s="68" t="s">
        <v>51</v>
      </c>
      <c r="H54" s="68"/>
      <c r="I54" s="68"/>
      <c r="J54" s="68"/>
      <c r="K54" s="68"/>
      <c r="L54" s="70" t="s">
        <v>52</v>
      </c>
      <c r="M54" s="71"/>
      <c r="N54" s="71"/>
      <c r="P54" s="1" cm="1">
        <f t="array" ref="P54:AK54">COUNTIF(_xlfn.ANCHORARRAY(P51),_xlfn.ANCHORARRAY(P53))</f>
        <v>11</v>
      </c>
      <c r="Q54" s="4">
        <v>12</v>
      </c>
      <c r="R54" s="4">
        <v>6</v>
      </c>
      <c r="S54" s="4">
        <v>1</v>
      </c>
      <c r="T54" s="4">
        <v>10</v>
      </c>
      <c r="U54" s="4">
        <v>11</v>
      </c>
      <c r="V54" s="4">
        <v>9</v>
      </c>
      <c r="W54" s="4">
        <v>4</v>
      </c>
      <c r="X54" s="4">
        <v>5</v>
      </c>
      <c r="Y54" s="4">
        <v>8</v>
      </c>
      <c r="Z54" s="4">
        <v>4</v>
      </c>
      <c r="AA54" s="4">
        <v>5</v>
      </c>
      <c r="AB54" s="4">
        <v>5</v>
      </c>
      <c r="AC54" s="4">
        <v>4</v>
      </c>
      <c r="AD54" s="1">
        <v>5</v>
      </c>
      <c r="AE54" s="4">
        <v>5</v>
      </c>
      <c r="AF54" s="4">
        <v>2</v>
      </c>
      <c r="AG54" s="4">
        <v>2</v>
      </c>
      <c r="AH54" s="4">
        <v>2</v>
      </c>
      <c r="AI54" s="4">
        <v>2</v>
      </c>
      <c r="AJ54" s="4">
        <v>1</v>
      </c>
      <c r="AK54" s="4">
        <v>1</v>
      </c>
      <c r="AL54" s="4"/>
      <c r="AM54" s="4"/>
      <c r="AN54" s="4"/>
      <c r="AO54" s="4"/>
      <c r="AP54" s="4"/>
    </row>
    <row r="55" spans="2:130" ht="25.5" customHeight="1">
      <c r="B55" s="14">
        <v>7</v>
      </c>
      <c r="C55" s="14">
        <v>1</v>
      </c>
      <c r="D55" s="15">
        <v>4</v>
      </c>
      <c r="E55" s="18" t="str">
        <f t="shared" si="0"/>
        <v>LEN</v>
      </c>
      <c r="G55" s="68" t="s">
        <v>53</v>
      </c>
      <c r="H55" s="68"/>
      <c r="I55" s="68"/>
      <c r="J55" s="68"/>
      <c r="K55" s="68"/>
      <c r="L55" s="70" t="s">
        <v>54</v>
      </c>
      <c r="M55" s="71"/>
      <c r="N55" s="71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2:130" ht="25.5" customHeight="1">
      <c r="B56" s="14">
        <v>8</v>
      </c>
      <c r="C56" s="14">
        <v>1</v>
      </c>
      <c r="D56" s="15">
        <v>4</v>
      </c>
      <c r="E56" s="18" t="str">
        <f t="shared" si="0"/>
        <v>IFERROR</v>
      </c>
      <c r="G56" s="68" t="s">
        <v>55</v>
      </c>
      <c r="H56" s="68"/>
      <c r="I56" s="68"/>
      <c r="J56" s="68"/>
      <c r="K56" s="68"/>
      <c r="L56" s="70" t="s">
        <v>56</v>
      </c>
      <c r="M56" s="71"/>
      <c r="N56" s="71"/>
      <c r="P56" s="1">
        <f>MAX(_xlfn.ANCHORARRAY(P54))</f>
        <v>12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2:130" ht="25.5" customHeight="1">
      <c r="B57" s="14">
        <v>9</v>
      </c>
      <c r="C57" s="14">
        <v>1</v>
      </c>
      <c r="D57" s="15">
        <v>4</v>
      </c>
      <c r="E57" s="18" t="str">
        <f t="shared" si="0"/>
        <v>MINIFS</v>
      </c>
      <c r="G57" s="68" t="s">
        <v>57</v>
      </c>
      <c r="H57" s="68"/>
      <c r="I57" s="68"/>
      <c r="J57" s="68"/>
      <c r="K57" s="68"/>
      <c r="L57" s="70" t="s">
        <v>58</v>
      </c>
      <c r="M57" s="71"/>
      <c r="N57" s="71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2:130" ht="25.5" customHeight="1">
      <c r="B58" s="14">
        <v>10</v>
      </c>
      <c r="C58" s="14">
        <v>1</v>
      </c>
      <c r="D58" s="15">
        <v>4</v>
      </c>
      <c r="E58" s="18" t="str">
        <f t="shared" si="0"/>
        <v>SUMIFS</v>
      </c>
      <c r="G58" s="68" t="s">
        <v>59</v>
      </c>
      <c r="H58" s="68"/>
      <c r="I58" s="68"/>
      <c r="J58" s="68"/>
      <c r="K58" s="68"/>
      <c r="L58" s="70" t="s">
        <v>56</v>
      </c>
      <c r="M58" s="71"/>
      <c r="N58" s="71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2:130" ht="25.5" customHeight="1">
      <c r="B59" s="14">
        <v>11</v>
      </c>
      <c r="C59" s="14">
        <v>1</v>
      </c>
      <c r="D59" s="15">
        <v>4</v>
      </c>
      <c r="E59" s="18" t="str">
        <f t="shared" si="0"/>
        <v>EOMONTH</v>
      </c>
      <c r="G59" s="68" t="s">
        <v>60</v>
      </c>
      <c r="H59" s="68"/>
      <c r="I59" s="68"/>
      <c r="J59" s="68"/>
      <c r="K59" s="68"/>
      <c r="L59" s="70" t="s">
        <v>61</v>
      </c>
      <c r="M59" s="71"/>
      <c r="N59" s="71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2:130" ht="25.5" customHeight="1">
      <c r="B60" s="14">
        <v>12</v>
      </c>
      <c r="C60" s="14">
        <v>1</v>
      </c>
      <c r="D60" s="15">
        <v>4</v>
      </c>
      <c r="E60" s="18" t="str">
        <f t="shared" si="0"/>
        <v>VLOOKUP</v>
      </c>
      <c r="G60" s="68" t="s">
        <v>62</v>
      </c>
      <c r="H60" s="68"/>
      <c r="I60" s="68"/>
      <c r="J60" s="68"/>
      <c r="K60" s="68"/>
      <c r="L60" s="70" t="s">
        <v>63</v>
      </c>
      <c r="M60" s="71"/>
      <c r="N60" s="71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2:130" ht="25.5" customHeight="1">
      <c r="B61" s="14">
        <v>13</v>
      </c>
      <c r="C61" s="14">
        <v>1</v>
      </c>
      <c r="D61" s="15">
        <v>4</v>
      </c>
      <c r="E61" s="18" t="str">
        <f t="shared" si="0"/>
        <v>MATCH</v>
      </c>
      <c r="G61" s="68" t="s">
        <v>64</v>
      </c>
      <c r="H61" s="68"/>
      <c r="I61" s="68"/>
      <c r="J61" s="68"/>
      <c r="K61" s="68"/>
      <c r="L61" s="70" t="s">
        <v>65</v>
      </c>
      <c r="M61" s="71"/>
      <c r="N61" s="71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2:130" ht="25.5" customHeight="1">
      <c r="B62" s="14">
        <v>14</v>
      </c>
      <c r="C62" s="14">
        <v>1</v>
      </c>
      <c r="D62" s="15">
        <v>4</v>
      </c>
      <c r="E62" s="18" t="str">
        <f t="shared" si="0"/>
        <v>INDIRECT</v>
      </c>
      <c r="G62" s="68" t="s">
        <v>66</v>
      </c>
      <c r="H62" s="68"/>
      <c r="I62" s="68"/>
      <c r="J62" s="68"/>
      <c r="K62" s="68"/>
      <c r="L62" s="70" t="s">
        <v>67</v>
      </c>
      <c r="M62" s="71"/>
      <c r="N62" s="71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2:130" ht="25.5" customHeight="1">
      <c r="B63" s="14">
        <v>15</v>
      </c>
      <c r="C63" s="14">
        <v>1</v>
      </c>
      <c r="D63" s="15">
        <v>4</v>
      </c>
      <c r="E63" s="18" t="str">
        <f t="shared" si="0"/>
        <v>AVERAGE</v>
      </c>
      <c r="G63" s="68" t="s">
        <v>68</v>
      </c>
      <c r="H63" s="68"/>
      <c r="I63" s="68"/>
      <c r="J63" s="68"/>
      <c r="K63" s="68"/>
      <c r="L63" s="70" t="s">
        <v>69</v>
      </c>
      <c r="M63" s="71"/>
      <c r="N63" s="71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2:130" ht="25.5" customHeight="1">
      <c r="B64" s="14">
        <v>16</v>
      </c>
      <c r="C64" s="14">
        <v>1</v>
      </c>
      <c r="D64" s="15">
        <v>4</v>
      </c>
      <c r="E64" s="18" t="str">
        <f t="shared" si="0"/>
        <v>MAXIFS</v>
      </c>
      <c r="G64" s="68" t="s">
        <v>70</v>
      </c>
      <c r="H64" s="68"/>
      <c r="I64" s="68"/>
      <c r="J64" s="68"/>
      <c r="K64" s="68"/>
      <c r="L64" s="70" t="s">
        <v>71</v>
      </c>
      <c r="M64" s="71"/>
      <c r="N64" s="71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2:42" ht="25.5" customHeight="1">
      <c r="B65" s="14">
        <v>17</v>
      </c>
      <c r="C65" s="14">
        <v>1</v>
      </c>
      <c r="D65" s="15">
        <v>4</v>
      </c>
      <c r="E65" s="18" t="str">
        <f t="shared" si="0"/>
        <v>TABLE</v>
      </c>
      <c r="G65" s="68" t="s">
        <v>72</v>
      </c>
      <c r="H65" s="68"/>
      <c r="I65" s="68"/>
      <c r="J65" s="68"/>
      <c r="K65" s="68"/>
      <c r="L65" s="70" t="s">
        <v>73</v>
      </c>
      <c r="M65" s="71"/>
      <c r="N65" s="71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2:42" ht="25.5" customHeight="1">
      <c r="B66" s="14">
        <v>18</v>
      </c>
      <c r="C66" s="14">
        <v>1</v>
      </c>
      <c r="D66" s="15">
        <v>4</v>
      </c>
      <c r="E66" s="18" t="str">
        <f t="shared" si="0"/>
        <v>XLOOKUP</v>
      </c>
      <c r="G66" s="68" t="s">
        <v>74</v>
      </c>
      <c r="H66" s="68"/>
      <c r="I66" s="68"/>
      <c r="J66" s="68"/>
      <c r="K66" s="68"/>
      <c r="L66" s="70" t="s">
        <v>75</v>
      </c>
      <c r="M66" s="71"/>
      <c r="N66" s="71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2:42" ht="25.5" customHeight="1">
      <c r="B67" s="14">
        <v>19</v>
      </c>
      <c r="C67" s="14">
        <v>1</v>
      </c>
      <c r="D67" s="15">
        <v>4</v>
      </c>
      <c r="E67" s="18" t="str">
        <f t="shared" si="0"/>
        <v>DATE</v>
      </c>
      <c r="G67" s="68" t="s">
        <v>76</v>
      </c>
      <c r="H67" s="68"/>
      <c r="I67" s="68"/>
      <c r="J67" s="68"/>
      <c r="K67" s="68"/>
      <c r="L67" s="70" t="s">
        <v>77</v>
      </c>
      <c r="M67" s="71"/>
      <c r="N67" s="71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2:42" ht="25.5" customHeight="1">
      <c r="B68" s="14">
        <v>20</v>
      </c>
      <c r="C68" s="14">
        <v>1</v>
      </c>
      <c r="D68" s="15">
        <v>4</v>
      </c>
      <c r="E68" s="18" t="str">
        <f t="shared" si="0"/>
        <v>TEXT</v>
      </c>
      <c r="G68" s="68" t="s">
        <v>78</v>
      </c>
      <c r="H68" s="68"/>
      <c r="I68" s="68"/>
      <c r="J68" s="68"/>
      <c r="K68" s="68"/>
      <c r="L68" s="70" t="s">
        <v>79</v>
      </c>
      <c r="M68" s="71"/>
      <c r="N68" s="71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2:42" ht="14.45" customHeight="1">
      <c r="B69" s="9"/>
      <c r="C69" s="9"/>
      <c r="D69" s="10"/>
      <c r="E69" s="28"/>
      <c r="F69" s="19"/>
      <c r="G69" s="3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2:42" ht="14.25" customHeight="1" thickBot="1">
      <c r="B70" s="4"/>
      <c r="C70" s="4"/>
      <c r="D70" s="4"/>
      <c r="E70" s="24"/>
      <c r="F70" s="19"/>
      <c r="G70" s="3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2:42" ht="22.5" customHeight="1" thickBot="1">
      <c r="B71" s="82" t="s">
        <v>80</v>
      </c>
      <c r="C71" s="83" t="s">
        <v>26</v>
      </c>
      <c r="D71" s="47"/>
      <c r="E71" s="24"/>
      <c r="F71" s="19"/>
      <c r="G71" s="32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2:42" ht="15.75">
      <c r="B72" s="16"/>
      <c r="C72" s="4"/>
      <c r="D72" s="4"/>
      <c r="E72" s="24"/>
      <c r="F72" s="19"/>
      <c r="G72" s="32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2:42" ht="15.75">
      <c r="B73" s="55" t="s">
        <v>81</v>
      </c>
      <c r="C73" s="4"/>
      <c r="D73" s="4"/>
      <c r="E73" s="24"/>
      <c r="F73" s="19"/>
      <c r="G73" s="32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2:42" ht="15.75">
      <c r="B74" s="53" t="s">
        <v>82</v>
      </c>
      <c r="C74" s="4"/>
      <c r="D74" s="1"/>
      <c r="E74" s="22"/>
      <c r="F74" s="19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2:42" ht="15.75">
      <c r="B75" s="61" t="s">
        <v>83</v>
      </c>
      <c r="C75" s="4"/>
      <c r="D75" s="1"/>
      <c r="E75" s="22"/>
      <c r="F75" s="19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2:42" ht="15.75">
      <c r="B76" s="51"/>
      <c r="C76" s="4"/>
      <c r="D76" s="4"/>
      <c r="E76" s="24"/>
      <c r="F76" s="19"/>
      <c r="G76" s="31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2:42" ht="15.75">
      <c r="B77" s="63" t="s">
        <v>84</v>
      </c>
      <c r="C77" s="4"/>
      <c r="D77" s="4"/>
      <c r="E77" s="24"/>
      <c r="F77" s="19"/>
      <c r="G77" s="31"/>
      <c r="H77" s="4"/>
      <c r="J77" s="4"/>
      <c r="K77" s="4"/>
      <c r="L77" s="47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2:42" ht="15.75">
      <c r="B78" s="63"/>
      <c r="C78" s="4"/>
      <c r="D78" s="4"/>
      <c r="E78" s="24"/>
      <c r="F78" s="19"/>
      <c r="G78" s="31"/>
      <c r="H78" s="4"/>
      <c r="J78" s="4"/>
      <c r="K78" s="4"/>
      <c r="L78" s="47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2:42" ht="15.75">
      <c r="B79" s="65" t="s">
        <v>31</v>
      </c>
      <c r="C79" s="4"/>
      <c r="D79" s="4"/>
      <c r="E79" s="24"/>
      <c r="F79" s="19"/>
      <c r="G79" s="31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2:42" ht="15.75">
      <c r="B80" s="66" t="s">
        <v>85</v>
      </c>
      <c r="C80" s="4"/>
      <c r="D80" s="4"/>
      <c r="E80" s="24"/>
      <c r="F80" s="19"/>
      <c r="G80" s="31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2:46" ht="15.75">
      <c r="B81" s="66" t="s">
        <v>86</v>
      </c>
      <c r="C81" s="4"/>
      <c r="D81" s="4"/>
      <c r="E81" s="24"/>
      <c r="F81" s="19"/>
      <c r="G81" s="31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2:46" ht="15.75">
      <c r="B82" s="66" t="s">
        <v>87</v>
      </c>
      <c r="C82" s="1"/>
      <c r="D82" s="1"/>
      <c r="E82" s="22"/>
      <c r="F82" s="19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2:46" ht="15.75" thickBot="1">
      <c r="C83" s="1"/>
      <c r="D83" s="1"/>
      <c r="E83" s="22"/>
      <c r="F83" s="19"/>
    </row>
    <row r="84" spans="2:46" ht="22.5" customHeight="1" thickBot="1">
      <c r="B84" s="97" t="s">
        <v>9</v>
      </c>
      <c r="C84" s="97" t="s">
        <v>35</v>
      </c>
      <c r="D84" s="97" t="s">
        <v>11</v>
      </c>
      <c r="E84" s="97" t="s">
        <v>12</v>
      </c>
      <c r="G84" s="99">
        <v>1</v>
      </c>
      <c r="H84" s="99">
        <v>2</v>
      </c>
      <c r="I84" s="99">
        <v>3</v>
      </c>
      <c r="J84" s="99">
        <v>4</v>
      </c>
      <c r="K84" s="99">
        <v>5</v>
      </c>
      <c r="L84" s="99">
        <v>6</v>
      </c>
      <c r="M84" s="99">
        <v>7</v>
      </c>
      <c r="N84" s="99">
        <v>8</v>
      </c>
      <c r="O84" s="99">
        <v>9</v>
      </c>
      <c r="P84" s="99">
        <v>10</v>
      </c>
      <c r="Q84" s="99">
        <v>11</v>
      </c>
      <c r="R84" s="99">
        <v>12</v>
      </c>
      <c r="S84" s="99">
        <v>13</v>
      </c>
      <c r="T84" s="99">
        <v>14</v>
      </c>
      <c r="U84" s="99">
        <v>15</v>
      </c>
      <c r="V84" s="99">
        <v>16</v>
      </c>
      <c r="W84" s="99">
        <v>17</v>
      </c>
      <c r="X84" s="99">
        <v>18</v>
      </c>
      <c r="Y84" s="99">
        <v>19</v>
      </c>
      <c r="Z84" s="99">
        <v>20</v>
      </c>
      <c r="AA84" s="99">
        <v>21</v>
      </c>
      <c r="AB84" s="99">
        <v>22</v>
      </c>
      <c r="AC84" s="99">
        <v>23</v>
      </c>
      <c r="AD84" s="99">
        <v>24</v>
      </c>
      <c r="AE84" s="99">
        <v>25</v>
      </c>
      <c r="AF84" s="99">
        <v>26</v>
      </c>
      <c r="AG84" s="99">
        <v>27</v>
      </c>
      <c r="AH84" s="99">
        <v>28</v>
      </c>
      <c r="AI84" s="99">
        <v>29</v>
      </c>
      <c r="AJ84" s="99">
        <v>30</v>
      </c>
      <c r="AK84" s="99">
        <v>31</v>
      </c>
      <c r="AL84" s="99">
        <v>32</v>
      </c>
      <c r="AM84" s="99">
        <v>33</v>
      </c>
      <c r="AN84" s="99">
        <v>34</v>
      </c>
      <c r="AO84" s="99">
        <v>35</v>
      </c>
      <c r="AP84" s="99">
        <v>36</v>
      </c>
      <c r="AQ84" s="99">
        <v>37</v>
      </c>
      <c r="AR84" s="99">
        <v>38</v>
      </c>
      <c r="AS84" s="99">
        <v>39</v>
      </c>
      <c r="AT84" s="99">
        <v>40</v>
      </c>
    </row>
    <row r="85" spans="2:46" ht="15.75">
      <c r="B85" s="1"/>
      <c r="C85" s="1"/>
      <c r="D85" s="1"/>
      <c r="E85" s="22"/>
      <c r="F85" s="19"/>
      <c r="G85" s="32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2:46" ht="23.25" customHeight="1">
      <c r="B86" s="14" t="s">
        <v>88</v>
      </c>
      <c r="C86" s="14">
        <v>2</v>
      </c>
      <c r="D86" s="15">
        <v>0</v>
      </c>
      <c r="E86" s="46">
        <v>31</v>
      </c>
      <c r="G86" s="44">
        <v>8983</v>
      </c>
      <c r="H86" s="44" t="s">
        <v>89</v>
      </c>
      <c r="I86" s="44">
        <v>8161</v>
      </c>
      <c r="J86" s="44">
        <v>43960</v>
      </c>
      <c r="K86" s="44">
        <v>2112</v>
      </c>
      <c r="L86" s="44">
        <v>1221</v>
      </c>
      <c r="M86" s="44" t="s">
        <v>89</v>
      </c>
      <c r="N86" s="44" t="s">
        <v>89</v>
      </c>
      <c r="O86" s="44" t="s">
        <v>89</v>
      </c>
      <c r="P86" s="44" t="s">
        <v>89</v>
      </c>
      <c r="Q86" s="44" t="s">
        <v>89</v>
      </c>
      <c r="R86" s="44">
        <v>69</v>
      </c>
      <c r="S86" s="44">
        <v>164</v>
      </c>
      <c r="T86" s="44">
        <v>9005</v>
      </c>
      <c r="U86" s="44">
        <v>8371</v>
      </c>
      <c r="V86" s="44">
        <v>905</v>
      </c>
      <c r="W86" s="44">
        <v>90671</v>
      </c>
      <c r="X86" s="44" t="s">
        <v>89</v>
      </c>
      <c r="Y86" s="44">
        <v>5601</v>
      </c>
      <c r="Z86" s="44">
        <v>928</v>
      </c>
      <c r="AA86" s="44">
        <v>1519</v>
      </c>
      <c r="AB86" s="44" t="s">
        <v>89</v>
      </c>
      <c r="AC86" s="44">
        <v>5217</v>
      </c>
      <c r="AD86" s="44">
        <v>983</v>
      </c>
      <c r="AE86" s="44">
        <v>292</v>
      </c>
      <c r="AF86" s="44">
        <v>6335</v>
      </c>
      <c r="AG86" s="44">
        <v>42600</v>
      </c>
      <c r="AH86" s="44">
        <v>88791</v>
      </c>
      <c r="AI86" s="44">
        <v>64266</v>
      </c>
      <c r="AJ86" s="44">
        <v>58934</v>
      </c>
      <c r="AK86" s="44">
        <v>39119</v>
      </c>
      <c r="AL86" s="44">
        <v>809</v>
      </c>
      <c r="AM86" s="44">
        <v>53212</v>
      </c>
      <c r="AN86" s="44">
        <v>70412</v>
      </c>
      <c r="AO86" s="44">
        <v>488</v>
      </c>
      <c r="AP86" s="44" t="s">
        <v>89</v>
      </c>
      <c r="AQ86" s="44">
        <v>3878</v>
      </c>
      <c r="AR86" s="44">
        <v>7994</v>
      </c>
      <c r="AS86" s="44">
        <v>8244</v>
      </c>
      <c r="AT86" s="44">
        <v>947</v>
      </c>
    </row>
    <row r="87" spans="2:46" ht="15.75" customHeight="1">
      <c r="B87" s="1"/>
      <c r="C87" s="1"/>
      <c r="D87" s="1"/>
      <c r="E87" s="22"/>
      <c r="F87" s="19"/>
      <c r="G87" s="45"/>
      <c r="H87" s="4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2:46" ht="23.25">
      <c r="B88" s="14">
        <v>21</v>
      </c>
      <c r="C88" s="14">
        <v>2</v>
      </c>
      <c r="D88" s="15">
        <v>6</v>
      </c>
      <c r="E88" s="46" cm="1">
        <f t="array" ref="E88">SUM(--(G88:AT88&lt;&gt;""))</f>
        <v>33</v>
      </c>
      <c r="F88"/>
      <c r="G88" s="44">
        <v>7897</v>
      </c>
      <c r="H88" s="44">
        <v>5249</v>
      </c>
      <c r="I88" s="44">
        <v>885</v>
      </c>
      <c r="J88" s="44">
        <v>51898</v>
      </c>
      <c r="K88" s="44">
        <v>71570</v>
      </c>
      <c r="L88" s="44">
        <v>1272</v>
      </c>
      <c r="M88" s="44">
        <v>596</v>
      </c>
      <c r="N88" s="44">
        <v>2536</v>
      </c>
      <c r="O88" s="44">
        <v>5438</v>
      </c>
      <c r="P88" s="44">
        <v>285</v>
      </c>
      <c r="Q88" s="44">
        <v>1784</v>
      </c>
      <c r="R88" s="44">
        <v>7449</v>
      </c>
      <c r="S88" s="44">
        <v>90250</v>
      </c>
      <c r="T88" s="44">
        <v>742</v>
      </c>
      <c r="U88" s="44">
        <v>6720</v>
      </c>
      <c r="V88" s="44">
        <v>24850</v>
      </c>
      <c r="W88" s="44">
        <v>816</v>
      </c>
      <c r="X88" s="44">
        <v>9942</v>
      </c>
      <c r="Y88" s="44">
        <v>83358</v>
      </c>
      <c r="Z88" s="44">
        <v>75394</v>
      </c>
      <c r="AA88" s="44" t="s">
        <v>89</v>
      </c>
      <c r="AB88" s="44">
        <v>5078</v>
      </c>
      <c r="AC88" s="44" t="s">
        <v>89</v>
      </c>
      <c r="AD88" s="44">
        <v>99996</v>
      </c>
      <c r="AE88" s="44">
        <v>9841</v>
      </c>
      <c r="AF88" s="44">
        <v>908</v>
      </c>
      <c r="AG88" s="44" t="s">
        <v>89</v>
      </c>
      <c r="AH88" s="44">
        <v>39245</v>
      </c>
      <c r="AI88" s="44">
        <v>5504</v>
      </c>
      <c r="AJ88" s="44" t="s">
        <v>89</v>
      </c>
      <c r="AK88" s="44" t="s">
        <v>89</v>
      </c>
      <c r="AL88" s="44">
        <v>5545</v>
      </c>
      <c r="AM88" s="44" t="s">
        <v>89</v>
      </c>
      <c r="AN88" s="44">
        <v>19759</v>
      </c>
      <c r="AO88" s="44">
        <v>2948</v>
      </c>
      <c r="AP88" s="44" t="s">
        <v>89</v>
      </c>
      <c r="AQ88" s="44">
        <v>494</v>
      </c>
      <c r="AR88" s="44">
        <v>322</v>
      </c>
      <c r="AS88" s="44">
        <v>998</v>
      </c>
      <c r="AT88" s="44">
        <v>6045</v>
      </c>
    </row>
    <row r="89" spans="2:46" ht="23.25">
      <c r="B89" s="14">
        <v>22</v>
      </c>
      <c r="C89" s="14">
        <v>2</v>
      </c>
      <c r="D89" s="15">
        <v>6</v>
      </c>
      <c r="E89" s="46" cm="1">
        <f t="array" ref="E89">SUM(--(G89:AT89&lt;&gt;""))</f>
        <v>26</v>
      </c>
      <c r="F89"/>
      <c r="G89" s="44">
        <v>74600</v>
      </c>
      <c r="H89" s="44">
        <v>69539</v>
      </c>
      <c r="I89" s="44">
        <v>221</v>
      </c>
      <c r="J89" s="44">
        <v>6994</v>
      </c>
      <c r="K89" s="44" t="s">
        <v>89</v>
      </c>
      <c r="L89" s="44">
        <v>34491</v>
      </c>
      <c r="M89" s="44">
        <v>4473</v>
      </c>
      <c r="N89" s="44">
        <v>6954</v>
      </c>
      <c r="O89" s="44">
        <v>5156</v>
      </c>
      <c r="P89" s="44" t="s">
        <v>89</v>
      </c>
      <c r="Q89" s="44" t="s">
        <v>89</v>
      </c>
      <c r="R89" s="44">
        <v>26</v>
      </c>
      <c r="S89" s="44">
        <v>6200</v>
      </c>
      <c r="T89" s="44">
        <v>7967</v>
      </c>
      <c r="U89" s="44">
        <v>81103</v>
      </c>
      <c r="V89" s="44">
        <v>3735</v>
      </c>
      <c r="W89" s="44" t="s">
        <v>89</v>
      </c>
      <c r="X89" s="44" t="s">
        <v>89</v>
      </c>
      <c r="Y89" s="44">
        <v>68863</v>
      </c>
      <c r="Z89" s="44">
        <v>6190</v>
      </c>
      <c r="AA89" s="44">
        <v>917</v>
      </c>
      <c r="AB89" s="44">
        <v>234</v>
      </c>
      <c r="AC89" s="44" t="s">
        <v>89</v>
      </c>
      <c r="AD89" s="44" t="s">
        <v>89</v>
      </c>
      <c r="AE89" s="44" t="s">
        <v>89</v>
      </c>
      <c r="AF89" s="44">
        <v>674</v>
      </c>
      <c r="AG89" s="44" t="s">
        <v>89</v>
      </c>
      <c r="AH89" s="44">
        <v>1805</v>
      </c>
      <c r="AI89" s="44">
        <v>14927</v>
      </c>
      <c r="AJ89" s="44">
        <v>7817</v>
      </c>
      <c r="AK89" s="44">
        <v>960</v>
      </c>
      <c r="AL89" s="44">
        <v>97967</v>
      </c>
      <c r="AM89" s="44" t="s">
        <v>89</v>
      </c>
      <c r="AN89" s="44">
        <v>80</v>
      </c>
      <c r="AO89" s="44" t="s">
        <v>89</v>
      </c>
      <c r="AP89" s="44" t="s">
        <v>89</v>
      </c>
      <c r="AQ89" s="44" t="s">
        <v>89</v>
      </c>
      <c r="AR89" s="44">
        <v>1531</v>
      </c>
      <c r="AS89" s="44" t="s">
        <v>89</v>
      </c>
      <c r="AT89" s="44">
        <v>2128</v>
      </c>
    </row>
    <row r="90" spans="2:46" ht="23.25">
      <c r="B90" s="14">
        <v>23</v>
      </c>
      <c r="C90" s="14">
        <v>2</v>
      </c>
      <c r="D90" s="15">
        <v>6</v>
      </c>
      <c r="E90" s="46" cm="1">
        <f t="array" ref="E90">SUM(--(G90:AT90&lt;&gt;""))</f>
        <v>23</v>
      </c>
      <c r="F90"/>
      <c r="G90" s="44">
        <v>2050</v>
      </c>
      <c r="H90" s="44"/>
      <c r="I90" s="44">
        <v>56610</v>
      </c>
      <c r="J90" s="44">
        <v>681</v>
      </c>
      <c r="K90" s="44" t="s">
        <v>89</v>
      </c>
      <c r="L90" s="44" t="s">
        <v>89</v>
      </c>
      <c r="M90" s="44">
        <v>790</v>
      </c>
      <c r="N90" s="44">
        <v>54901</v>
      </c>
      <c r="O90" s="44">
        <v>10700</v>
      </c>
      <c r="P90" s="44">
        <v>74158</v>
      </c>
      <c r="Q90" s="44" t="s">
        <v>89</v>
      </c>
      <c r="R90" s="44">
        <v>8575</v>
      </c>
      <c r="S90" s="44">
        <v>46965</v>
      </c>
      <c r="T90" s="44" t="s">
        <v>89</v>
      </c>
      <c r="U90" s="44">
        <v>524</v>
      </c>
      <c r="V90" s="44"/>
      <c r="W90" s="44">
        <v>78590</v>
      </c>
      <c r="X90" s="44"/>
      <c r="Y90" s="44"/>
      <c r="Z90" s="44" t="s">
        <v>89</v>
      </c>
      <c r="AA90" s="44">
        <v>7112</v>
      </c>
      <c r="AB90" s="44">
        <v>205</v>
      </c>
      <c r="AC90" s="44" t="s">
        <v>89</v>
      </c>
      <c r="AD90" s="44">
        <v>26740</v>
      </c>
      <c r="AE90" s="44">
        <v>6867</v>
      </c>
      <c r="AF90" s="44"/>
      <c r="AG90" s="44">
        <v>6444</v>
      </c>
      <c r="AH90" s="44">
        <v>463</v>
      </c>
      <c r="AI90" s="44" t="s">
        <v>89</v>
      </c>
      <c r="AJ90" s="44" t="s">
        <v>89</v>
      </c>
      <c r="AK90" s="44">
        <v>527</v>
      </c>
      <c r="AL90" s="44" t="s">
        <v>89</v>
      </c>
      <c r="AM90" s="44">
        <v>185</v>
      </c>
      <c r="AN90" s="44"/>
      <c r="AO90" s="44">
        <v>8731</v>
      </c>
      <c r="AP90" s="44" t="s">
        <v>89</v>
      </c>
      <c r="AQ90" s="44">
        <v>45853</v>
      </c>
      <c r="AR90" s="44"/>
      <c r="AS90" s="44">
        <v>137</v>
      </c>
      <c r="AT90" s="44">
        <v>4170</v>
      </c>
    </row>
    <row r="91" spans="2:46" ht="23.25">
      <c r="B91" s="14">
        <v>24</v>
      </c>
      <c r="C91" s="14">
        <v>2</v>
      </c>
      <c r="D91" s="15">
        <v>6</v>
      </c>
      <c r="E91" s="46" cm="1">
        <f t="array" ref="E91">SUM(--(G91:AT91&lt;&gt;""))</f>
        <v>34</v>
      </c>
      <c r="F91"/>
      <c r="G91" s="44">
        <v>121</v>
      </c>
      <c r="H91" s="44">
        <v>40320</v>
      </c>
      <c r="I91" s="44" t="s">
        <v>89</v>
      </c>
      <c r="J91" s="44">
        <v>9714</v>
      </c>
      <c r="K91" s="44">
        <v>19985</v>
      </c>
      <c r="L91" s="44">
        <v>557</v>
      </c>
      <c r="M91" s="44">
        <v>9658</v>
      </c>
      <c r="N91" s="44">
        <v>64030</v>
      </c>
      <c r="O91" s="44">
        <v>569</v>
      </c>
      <c r="P91" s="44" t="s">
        <v>89</v>
      </c>
      <c r="Q91" s="44">
        <v>1816</v>
      </c>
      <c r="R91" s="44">
        <v>2924</v>
      </c>
      <c r="S91" s="44" t="s">
        <v>89</v>
      </c>
      <c r="T91" s="44">
        <v>540</v>
      </c>
      <c r="U91" s="44">
        <v>1481</v>
      </c>
      <c r="V91" s="44">
        <v>52733</v>
      </c>
      <c r="W91" s="44">
        <v>9339</v>
      </c>
      <c r="X91" s="44">
        <v>5140</v>
      </c>
      <c r="Y91" s="44">
        <v>3716</v>
      </c>
      <c r="Z91" s="44">
        <v>7582</v>
      </c>
      <c r="AA91" s="44">
        <v>7000</v>
      </c>
      <c r="AB91" s="44">
        <v>918</v>
      </c>
      <c r="AC91" s="44" t="s">
        <v>89</v>
      </c>
      <c r="AD91" s="44">
        <v>6640</v>
      </c>
      <c r="AE91" s="44" t="s">
        <v>89</v>
      </c>
      <c r="AF91" s="44">
        <v>76050</v>
      </c>
      <c r="AG91" s="44">
        <v>8941</v>
      </c>
      <c r="AH91" s="44">
        <v>9986</v>
      </c>
      <c r="AI91" s="44">
        <v>6299</v>
      </c>
      <c r="AJ91" s="44">
        <v>2512</v>
      </c>
      <c r="AK91" s="44">
        <v>543</v>
      </c>
      <c r="AL91" s="44" t="s">
        <v>89</v>
      </c>
      <c r="AM91" s="44">
        <v>8394</v>
      </c>
      <c r="AN91" s="44">
        <v>48356</v>
      </c>
      <c r="AO91" s="44">
        <v>251</v>
      </c>
      <c r="AP91" s="44">
        <v>839</v>
      </c>
      <c r="AQ91" s="44">
        <v>85032</v>
      </c>
      <c r="AR91" s="44">
        <v>76548</v>
      </c>
      <c r="AS91" s="44">
        <v>1524</v>
      </c>
      <c r="AT91" s="44">
        <v>376</v>
      </c>
    </row>
    <row r="92" spans="2:46" ht="23.25">
      <c r="B92" s="14">
        <v>25</v>
      </c>
      <c r="C92" s="14">
        <v>2</v>
      </c>
      <c r="D92" s="15">
        <v>6</v>
      </c>
      <c r="E92" s="46" cm="1">
        <f t="array" ref="E92">SUM(--(G92:AT92&lt;&gt;""))</f>
        <v>28</v>
      </c>
      <c r="F92"/>
      <c r="G92" s="44">
        <v>9860</v>
      </c>
      <c r="H92" s="44">
        <v>112</v>
      </c>
      <c r="I92" s="44">
        <v>681</v>
      </c>
      <c r="J92" s="44" t="s">
        <v>89</v>
      </c>
      <c r="K92" s="44" t="s">
        <v>89</v>
      </c>
      <c r="L92" s="44">
        <v>7746</v>
      </c>
      <c r="M92" s="44" t="s">
        <v>89</v>
      </c>
      <c r="N92" s="44">
        <v>4667</v>
      </c>
      <c r="O92" s="44">
        <v>282</v>
      </c>
      <c r="P92" s="44">
        <v>808</v>
      </c>
      <c r="Q92" s="44">
        <v>8711</v>
      </c>
      <c r="R92" s="44">
        <v>57849</v>
      </c>
      <c r="S92" s="44" t="s">
        <v>89</v>
      </c>
      <c r="T92" s="44">
        <v>625</v>
      </c>
      <c r="U92" s="44">
        <v>704</v>
      </c>
      <c r="V92" s="44" t="s">
        <v>89</v>
      </c>
      <c r="W92" s="44">
        <v>7907</v>
      </c>
      <c r="X92" s="44">
        <v>9226</v>
      </c>
      <c r="Y92" s="44" t="s">
        <v>89</v>
      </c>
      <c r="Z92" s="44">
        <v>11050</v>
      </c>
      <c r="AA92" s="44">
        <v>32098</v>
      </c>
      <c r="AB92" s="44">
        <v>503</v>
      </c>
      <c r="AC92" s="44" t="s">
        <v>89</v>
      </c>
      <c r="AD92" s="44">
        <v>818</v>
      </c>
      <c r="AE92" s="44">
        <v>39928</v>
      </c>
      <c r="AF92" s="44" t="s">
        <v>89</v>
      </c>
      <c r="AG92" s="44">
        <v>195</v>
      </c>
      <c r="AH92" s="44">
        <v>51780</v>
      </c>
      <c r="AI92" s="44">
        <v>810</v>
      </c>
      <c r="AJ92" s="44">
        <v>7357</v>
      </c>
      <c r="AK92" s="44" t="s">
        <v>89</v>
      </c>
      <c r="AL92" s="44">
        <v>5197</v>
      </c>
      <c r="AM92" s="44">
        <v>4644</v>
      </c>
      <c r="AN92" s="44" t="s">
        <v>89</v>
      </c>
      <c r="AO92" s="44" t="s">
        <v>89</v>
      </c>
      <c r="AP92" s="44">
        <v>73791</v>
      </c>
      <c r="AQ92" s="44">
        <v>99605</v>
      </c>
      <c r="AR92" s="44" t="s">
        <v>89</v>
      </c>
      <c r="AS92" s="44">
        <v>657</v>
      </c>
      <c r="AT92" s="44">
        <v>468</v>
      </c>
    </row>
    <row r="93" spans="2:46" ht="23.25">
      <c r="B93" s="14">
        <v>26</v>
      </c>
      <c r="C93" s="14">
        <v>2</v>
      </c>
      <c r="D93" s="15">
        <v>6</v>
      </c>
      <c r="E93" s="46" cm="1">
        <f t="array" ref="E93">SUM(--(G93:AT93&lt;&gt;""))</f>
        <v>29</v>
      </c>
      <c r="F93"/>
      <c r="G93" s="44">
        <v>72872</v>
      </c>
      <c r="H93" s="44">
        <v>3775</v>
      </c>
      <c r="I93" s="44">
        <v>4080</v>
      </c>
      <c r="J93" s="44">
        <v>5224</v>
      </c>
      <c r="K93" s="44" t="s">
        <v>89</v>
      </c>
      <c r="L93" s="44">
        <v>9630</v>
      </c>
      <c r="M93" s="44">
        <v>4963</v>
      </c>
      <c r="N93" s="44">
        <v>99183</v>
      </c>
      <c r="O93" s="44">
        <v>2976</v>
      </c>
      <c r="P93" s="44">
        <v>7310</v>
      </c>
      <c r="Q93" s="44">
        <v>670</v>
      </c>
      <c r="R93" s="44">
        <v>6540</v>
      </c>
      <c r="S93" s="44" t="s">
        <v>89</v>
      </c>
      <c r="T93" s="44" t="s">
        <v>89</v>
      </c>
      <c r="U93" s="44">
        <v>10978</v>
      </c>
      <c r="V93" s="44">
        <v>9379</v>
      </c>
      <c r="W93" s="44">
        <v>973</v>
      </c>
      <c r="X93" s="44">
        <v>9499</v>
      </c>
      <c r="Y93" s="44">
        <v>65059</v>
      </c>
      <c r="Z93" s="44">
        <v>5390</v>
      </c>
      <c r="AA93" s="44">
        <v>7313</v>
      </c>
      <c r="AB93" s="44" t="s">
        <v>89</v>
      </c>
      <c r="AC93" s="44" t="s">
        <v>89</v>
      </c>
      <c r="AD93" s="44" t="s">
        <v>89</v>
      </c>
      <c r="AE93" s="44" t="s">
        <v>89</v>
      </c>
      <c r="AF93" s="44" t="s">
        <v>89</v>
      </c>
      <c r="AG93" s="44">
        <v>369</v>
      </c>
      <c r="AH93" s="44">
        <v>932</v>
      </c>
      <c r="AI93" s="44">
        <v>38513</v>
      </c>
      <c r="AJ93" s="44">
        <v>8732</v>
      </c>
      <c r="AK93" s="44" t="s">
        <v>89</v>
      </c>
      <c r="AL93" s="44">
        <v>8309</v>
      </c>
      <c r="AM93" s="44">
        <v>454</v>
      </c>
      <c r="AN93" s="44">
        <v>3869</v>
      </c>
      <c r="AO93" s="44" t="s">
        <v>89</v>
      </c>
      <c r="AP93" s="44">
        <v>4202</v>
      </c>
      <c r="AQ93" s="44">
        <v>5398</v>
      </c>
      <c r="AR93" s="44" t="s">
        <v>89</v>
      </c>
      <c r="AS93" s="44">
        <v>809</v>
      </c>
      <c r="AT93" s="44">
        <v>8946</v>
      </c>
    </row>
    <row r="94" spans="2:46" ht="23.25" customHeight="1">
      <c r="B94" s="14">
        <v>27</v>
      </c>
      <c r="C94" s="14">
        <v>2</v>
      </c>
      <c r="D94" s="15">
        <v>6</v>
      </c>
      <c r="E94" s="46" cm="1">
        <f t="array" ref="E94">SUM(--(G94:AT94&lt;&gt;""))</f>
        <v>29</v>
      </c>
      <c r="F94"/>
      <c r="G94" s="44">
        <v>11938</v>
      </c>
      <c r="H94" s="44" t="s">
        <v>89</v>
      </c>
      <c r="I94" s="44" t="s">
        <v>89</v>
      </c>
      <c r="J94" s="44">
        <v>226</v>
      </c>
      <c r="K94" s="44">
        <v>238</v>
      </c>
      <c r="L94" s="44">
        <v>774</v>
      </c>
      <c r="M94" s="44" t="s">
        <v>89</v>
      </c>
      <c r="N94" s="44">
        <v>7791</v>
      </c>
      <c r="O94" s="44">
        <v>12788</v>
      </c>
      <c r="P94" s="44" t="s">
        <v>89</v>
      </c>
      <c r="Q94" s="44" t="s">
        <v>89</v>
      </c>
      <c r="R94" s="44">
        <v>4781</v>
      </c>
      <c r="S94" s="44">
        <v>333</v>
      </c>
      <c r="T94" s="44">
        <v>158</v>
      </c>
      <c r="U94" s="44">
        <v>75017</v>
      </c>
      <c r="V94" s="44" t="s">
        <v>89</v>
      </c>
      <c r="W94" s="44" t="s">
        <v>89</v>
      </c>
      <c r="X94" s="44" t="s">
        <v>89</v>
      </c>
      <c r="Y94" s="44">
        <v>518</v>
      </c>
      <c r="Z94" s="44">
        <v>47250</v>
      </c>
      <c r="AA94" s="44">
        <v>88</v>
      </c>
      <c r="AB94" s="44">
        <v>54669</v>
      </c>
      <c r="AC94" s="44" t="s">
        <v>89</v>
      </c>
      <c r="AD94" s="44">
        <v>79986</v>
      </c>
      <c r="AE94" s="44">
        <v>9404</v>
      </c>
      <c r="AF94" s="44">
        <v>641</v>
      </c>
      <c r="AG94" s="44" t="s">
        <v>89</v>
      </c>
      <c r="AH94" s="44">
        <v>6600</v>
      </c>
      <c r="AI94" s="44">
        <v>65</v>
      </c>
      <c r="AJ94" s="44">
        <v>293</v>
      </c>
      <c r="AK94" s="44">
        <v>2890</v>
      </c>
      <c r="AL94" s="44">
        <v>7083</v>
      </c>
      <c r="AM94" s="44">
        <v>78836</v>
      </c>
      <c r="AN94" s="44">
        <v>11594</v>
      </c>
      <c r="AO94" s="44">
        <v>3362</v>
      </c>
      <c r="AP94" s="44" t="s">
        <v>89</v>
      </c>
      <c r="AQ94" s="44">
        <v>4090</v>
      </c>
      <c r="AR94" s="44">
        <v>4060</v>
      </c>
      <c r="AS94" s="44">
        <v>84880</v>
      </c>
      <c r="AT94" s="44">
        <v>20067</v>
      </c>
    </row>
    <row r="95" spans="2:46" ht="23.25">
      <c r="B95" s="14">
        <v>28</v>
      </c>
      <c r="C95" s="14">
        <v>2</v>
      </c>
      <c r="D95" s="15">
        <v>6</v>
      </c>
      <c r="E95" s="46" cm="1">
        <f t="array" ref="E95">SUM(--(G95:AT95&lt;&gt;""))</f>
        <v>27</v>
      </c>
      <c r="F95"/>
      <c r="G95" s="44">
        <v>84953</v>
      </c>
      <c r="H95" s="44">
        <v>570</v>
      </c>
      <c r="I95" s="44">
        <v>4539</v>
      </c>
      <c r="J95" s="44">
        <v>4535</v>
      </c>
      <c r="K95" s="44">
        <v>45423</v>
      </c>
      <c r="L95" s="44">
        <v>7851</v>
      </c>
      <c r="M95" s="44">
        <v>7352</v>
      </c>
      <c r="N95" s="44">
        <v>9948</v>
      </c>
      <c r="O95" s="44">
        <v>70</v>
      </c>
      <c r="P95" s="44">
        <v>305</v>
      </c>
      <c r="Q95" s="44">
        <v>1346</v>
      </c>
      <c r="R95" s="44" t="s">
        <v>89</v>
      </c>
      <c r="S95" s="44" t="s">
        <v>89</v>
      </c>
      <c r="T95" s="44">
        <v>30</v>
      </c>
      <c r="U95" s="44" t="s">
        <v>89</v>
      </c>
      <c r="V95" s="44">
        <v>9352</v>
      </c>
      <c r="W95" s="44" t="s">
        <v>89</v>
      </c>
      <c r="X95" s="44" t="s">
        <v>89</v>
      </c>
      <c r="Y95" s="44">
        <v>340</v>
      </c>
      <c r="Z95" s="44" t="s">
        <v>89</v>
      </c>
      <c r="AA95" s="44">
        <v>4977</v>
      </c>
      <c r="AB95" s="44">
        <v>41849</v>
      </c>
      <c r="AC95" s="44">
        <v>6358</v>
      </c>
      <c r="AD95" s="44" t="s">
        <v>89</v>
      </c>
      <c r="AE95" s="44">
        <v>468</v>
      </c>
      <c r="AF95" s="44">
        <v>154</v>
      </c>
      <c r="AG95" s="44">
        <v>41437</v>
      </c>
      <c r="AH95" s="44">
        <v>29412</v>
      </c>
      <c r="AI95" s="44">
        <v>8048</v>
      </c>
      <c r="AJ95" s="44" t="s">
        <v>89</v>
      </c>
      <c r="AK95" s="44" t="s">
        <v>89</v>
      </c>
      <c r="AL95" s="44">
        <v>3347</v>
      </c>
      <c r="AM95" s="44">
        <v>37690</v>
      </c>
      <c r="AN95" s="44" t="s">
        <v>89</v>
      </c>
      <c r="AO95" s="44" t="s">
        <v>89</v>
      </c>
      <c r="AP95" s="44">
        <v>29753</v>
      </c>
      <c r="AQ95" s="44" t="s">
        <v>89</v>
      </c>
      <c r="AR95" s="44">
        <v>301</v>
      </c>
      <c r="AS95" s="44" t="s">
        <v>89</v>
      </c>
      <c r="AT95" s="44">
        <v>851</v>
      </c>
    </row>
    <row r="96" spans="2:46" ht="23.25">
      <c r="B96" s="14">
        <v>29</v>
      </c>
      <c r="C96" s="14">
        <v>2</v>
      </c>
      <c r="D96" s="15">
        <v>6</v>
      </c>
      <c r="E96" s="46" cm="1">
        <f t="array" ref="E96">SUM(--(G96:AT96&lt;&gt;""))</f>
        <v>28</v>
      </c>
      <c r="F96"/>
      <c r="G96" s="44">
        <v>2399</v>
      </c>
      <c r="H96" s="44">
        <v>3021</v>
      </c>
      <c r="I96" s="44" t="s">
        <v>89</v>
      </c>
      <c r="J96" s="44">
        <v>298</v>
      </c>
      <c r="K96" s="44" t="s">
        <v>89</v>
      </c>
      <c r="L96" s="44">
        <v>5398</v>
      </c>
      <c r="M96" s="44">
        <v>38465</v>
      </c>
      <c r="N96" s="44">
        <v>21783</v>
      </c>
      <c r="O96" s="44" t="s">
        <v>89</v>
      </c>
      <c r="P96" s="44">
        <v>4693</v>
      </c>
      <c r="Q96" s="44">
        <v>1861</v>
      </c>
      <c r="R96" s="44">
        <v>577</v>
      </c>
      <c r="S96" s="44" t="s">
        <v>89</v>
      </c>
      <c r="T96" s="44">
        <v>49945</v>
      </c>
      <c r="U96" s="44">
        <v>4891</v>
      </c>
      <c r="V96" s="44" t="s">
        <v>89</v>
      </c>
      <c r="W96" s="44">
        <v>708</v>
      </c>
      <c r="X96" s="44" t="s">
        <v>89</v>
      </c>
      <c r="Y96" s="44">
        <v>2131</v>
      </c>
      <c r="Z96" s="44" t="s">
        <v>89</v>
      </c>
      <c r="AA96" s="44">
        <v>613</v>
      </c>
      <c r="AB96" s="44">
        <v>570</v>
      </c>
      <c r="AC96" s="44">
        <v>64809</v>
      </c>
      <c r="AD96" s="44" t="s">
        <v>89</v>
      </c>
      <c r="AE96" s="44">
        <v>21143</v>
      </c>
      <c r="AF96" s="44">
        <v>252</v>
      </c>
      <c r="AG96" s="44">
        <v>6835</v>
      </c>
      <c r="AH96" s="44" t="s">
        <v>89</v>
      </c>
      <c r="AI96" s="44">
        <v>46362</v>
      </c>
      <c r="AJ96" s="44">
        <v>19270</v>
      </c>
      <c r="AK96" s="44" t="s">
        <v>89</v>
      </c>
      <c r="AL96" s="44">
        <v>410</v>
      </c>
      <c r="AM96" s="44">
        <v>3888</v>
      </c>
      <c r="AN96" s="44">
        <v>6485</v>
      </c>
      <c r="AO96" s="44">
        <v>58988</v>
      </c>
      <c r="AP96" s="44">
        <v>317</v>
      </c>
      <c r="AQ96" s="44" t="s">
        <v>89</v>
      </c>
      <c r="AR96" s="44" t="s">
        <v>89</v>
      </c>
      <c r="AS96" s="44">
        <v>87629</v>
      </c>
      <c r="AT96" s="44">
        <v>510</v>
      </c>
    </row>
    <row r="97" spans="1:46" ht="23.25">
      <c r="B97" s="14">
        <v>30</v>
      </c>
      <c r="C97" s="14">
        <v>2</v>
      </c>
      <c r="D97" s="15">
        <v>6</v>
      </c>
      <c r="E97" s="46" cm="1">
        <f t="array" ref="E97">SUM(--(G97:AT97&lt;&gt;""))</f>
        <v>32</v>
      </c>
      <c r="F97"/>
      <c r="G97" s="44">
        <v>1781</v>
      </c>
      <c r="H97" s="44" t="s">
        <v>89</v>
      </c>
      <c r="I97" s="44" t="s">
        <v>89</v>
      </c>
      <c r="J97" s="44">
        <v>61879</v>
      </c>
      <c r="K97" s="44">
        <v>895</v>
      </c>
      <c r="L97" s="44">
        <v>1667</v>
      </c>
      <c r="M97" s="44" t="s">
        <v>89</v>
      </c>
      <c r="N97" s="44">
        <v>3647</v>
      </c>
      <c r="O97" s="44">
        <v>3681</v>
      </c>
      <c r="P97" s="44">
        <v>60341</v>
      </c>
      <c r="Q97" s="44">
        <v>241</v>
      </c>
      <c r="R97" s="44" t="s">
        <v>89</v>
      </c>
      <c r="S97" s="44">
        <v>31108</v>
      </c>
      <c r="T97" s="44">
        <v>1813</v>
      </c>
      <c r="U97" s="44">
        <v>59667</v>
      </c>
      <c r="V97" s="44">
        <v>290</v>
      </c>
      <c r="W97" s="44">
        <v>596</v>
      </c>
      <c r="X97" s="44">
        <v>58671</v>
      </c>
      <c r="Y97" s="44" t="s">
        <v>89</v>
      </c>
      <c r="Z97" s="44">
        <v>240</v>
      </c>
      <c r="AA97" s="44" t="s">
        <v>89</v>
      </c>
      <c r="AB97" s="44">
        <v>412</v>
      </c>
      <c r="AC97" s="44">
        <v>5964</v>
      </c>
      <c r="AD97" s="44">
        <v>73051</v>
      </c>
      <c r="AE97" s="44">
        <v>211</v>
      </c>
      <c r="AF97" s="44">
        <v>37111</v>
      </c>
      <c r="AG97" s="44" t="s">
        <v>89</v>
      </c>
      <c r="AH97" s="44">
        <v>613</v>
      </c>
      <c r="AI97" s="44">
        <v>38540</v>
      </c>
      <c r="AJ97" s="44">
        <v>258</v>
      </c>
      <c r="AK97" s="44">
        <v>57747</v>
      </c>
      <c r="AL97" s="44">
        <v>559</v>
      </c>
      <c r="AM97" s="44">
        <v>484</v>
      </c>
      <c r="AN97" s="44">
        <v>9154</v>
      </c>
      <c r="AO97" s="44">
        <v>7896</v>
      </c>
      <c r="AP97" s="44">
        <v>928</v>
      </c>
      <c r="AQ97" s="44" t="s">
        <v>89</v>
      </c>
      <c r="AR97" s="44">
        <v>139</v>
      </c>
      <c r="AS97" s="44">
        <v>7734</v>
      </c>
      <c r="AT97" s="44">
        <v>38004</v>
      </c>
    </row>
    <row r="98" spans="1:46" ht="23.25">
      <c r="B98" s="14">
        <v>31</v>
      </c>
      <c r="C98" s="14">
        <v>2</v>
      </c>
      <c r="D98" s="15">
        <v>6</v>
      </c>
      <c r="E98" s="46" cm="1">
        <f t="array" ref="E98">SUM(--(G98:AT98&lt;&gt;""))</f>
        <v>31</v>
      </c>
      <c r="F98"/>
      <c r="G98" s="44">
        <v>24234</v>
      </c>
      <c r="H98" s="44">
        <v>603</v>
      </c>
      <c r="I98" s="44">
        <v>3264</v>
      </c>
      <c r="J98" s="44">
        <v>706</v>
      </c>
      <c r="K98" s="44">
        <v>141</v>
      </c>
      <c r="L98" s="44">
        <v>196</v>
      </c>
      <c r="M98" s="44">
        <v>34241</v>
      </c>
      <c r="N98" s="44">
        <v>2488</v>
      </c>
      <c r="O98" s="44" t="s">
        <v>89</v>
      </c>
      <c r="P98" s="44" t="s">
        <v>89</v>
      </c>
      <c r="Q98" s="44">
        <v>81089</v>
      </c>
      <c r="R98" s="44">
        <v>828</v>
      </c>
      <c r="S98" s="44" t="s">
        <v>89</v>
      </c>
      <c r="T98" s="44">
        <v>14351</v>
      </c>
      <c r="U98" s="44">
        <v>96499</v>
      </c>
      <c r="V98" s="44">
        <v>553</v>
      </c>
      <c r="W98" s="44">
        <v>82165</v>
      </c>
      <c r="X98" s="44" t="s">
        <v>89</v>
      </c>
      <c r="Y98" s="44">
        <v>262</v>
      </c>
      <c r="Z98" s="44">
        <v>311</v>
      </c>
      <c r="AA98" s="44">
        <v>7515</v>
      </c>
      <c r="AB98" s="44">
        <v>7694</v>
      </c>
      <c r="AC98" s="44" t="s">
        <v>89</v>
      </c>
      <c r="AD98" s="44" t="s">
        <v>89</v>
      </c>
      <c r="AE98" s="44" t="s">
        <v>89</v>
      </c>
      <c r="AF98" s="44">
        <v>4005</v>
      </c>
      <c r="AG98" s="44">
        <v>4507</v>
      </c>
      <c r="AH98" s="44">
        <v>373</v>
      </c>
      <c r="AI98" s="44">
        <v>343</v>
      </c>
      <c r="AJ98" s="44">
        <v>81423</v>
      </c>
      <c r="AK98" s="44">
        <v>64197</v>
      </c>
      <c r="AL98" s="44">
        <v>2959</v>
      </c>
      <c r="AM98" s="44">
        <v>5747</v>
      </c>
      <c r="AN98" s="44">
        <v>59527</v>
      </c>
      <c r="AO98" s="44" t="s">
        <v>89</v>
      </c>
      <c r="AP98" s="44" t="s">
        <v>89</v>
      </c>
      <c r="AQ98" s="44">
        <v>22984</v>
      </c>
      <c r="AR98" s="44">
        <v>6179</v>
      </c>
      <c r="AS98" s="44">
        <v>78155</v>
      </c>
      <c r="AT98" s="44">
        <v>3161</v>
      </c>
    </row>
    <row r="99" spans="1:46" ht="23.25">
      <c r="B99" s="14">
        <v>32</v>
      </c>
      <c r="C99" s="14">
        <v>2</v>
      </c>
      <c r="D99" s="15">
        <v>6</v>
      </c>
      <c r="E99" s="46" cm="1">
        <f t="array" ref="E99">SUM(--(G99:AT99&lt;&gt;""))</f>
        <v>31</v>
      </c>
      <c r="F99"/>
      <c r="G99" s="44">
        <v>8585</v>
      </c>
      <c r="H99" s="44">
        <v>66851</v>
      </c>
      <c r="I99" s="44">
        <v>3282</v>
      </c>
      <c r="J99" s="44" t="s">
        <v>89</v>
      </c>
      <c r="K99" s="44" t="s">
        <v>89</v>
      </c>
      <c r="L99" s="44">
        <v>43514</v>
      </c>
      <c r="M99" s="44">
        <v>2127</v>
      </c>
      <c r="N99" s="44">
        <v>7352</v>
      </c>
      <c r="O99" s="44">
        <v>84679</v>
      </c>
      <c r="P99" s="44">
        <v>636</v>
      </c>
      <c r="Q99" s="44">
        <v>24537</v>
      </c>
      <c r="R99" s="44" t="s">
        <v>89</v>
      </c>
      <c r="S99" s="44" t="s">
        <v>89</v>
      </c>
      <c r="T99" s="44">
        <v>997</v>
      </c>
      <c r="U99" s="44">
        <v>892</v>
      </c>
      <c r="V99" s="44">
        <v>32107</v>
      </c>
      <c r="W99" s="44">
        <v>4648</v>
      </c>
      <c r="X99" s="44">
        <v>915</v>
      </c>
      <c r="Y99" s="44" t="s">
        <v>89</v>
      </c>
      <c r="Z99" s="44" t="s">
        <v>89</v>
      </c>
      <c r="AA99" s="44">
        <v>968</v>
      </c>
      <c r="AB99" s="44">
        <v>51794</v>
      </c>
      <c r="AC99" s="44">
        <v>42934</v>
      </c>
      <c r="AD99" s="44">
        <v>60256</v>
      </c>
      <c r="AE99" s="44">
        <v>324</v>
      </c>
      <c r="AF99" s="44" t="s">
        <v>89</v>
      </c>
      <c r="AG99" s="44" t="s">
        <v>89</v>
      </c>
      <c r="AH99" s="44">
        <v>656</v>
      </c>
      <c r="AI99" s="44">
        <v>8848</v>
      </c>
      <c r="AJ99" s="44">
        <v>46142</v>
      </c>
      <c r="AK99" s="44">
        <v>13</v>
      </c>
      <c r="AL99" s="44">
        <v>1984</v>
      </c>
      <c r="AM99" s="44" t="s">
        <v>89</v>
      </c>
      <c r="AN99" s="44">
        <v>74117</v>
      </c>
      <c r="AO99" s="44">
        <v>75418</v>
      </c>
      <c r="AP99" s="44">
        <v>769</v>
      </c>
      <c r="AQ99" s="44">
        <v>73833</v>
      </c>
      <c r="AR99" s="44">
        <v>95438</v>
      </c>
      <c r="AS99" s="44">
        <v>8866</v>
      </c>
      <c r="AT99" s="44">
        <v>54488</v>
      </c>
    </row>
    <row r="100" spans="1:46" ht="23.25">
      <c r="B100" s="14">
        <v>33</v>
      </c>
      <c r="C100" s="14">
        <v>2</v>
      </c>
      <c r="D100" s="15">
        <v>6</v>
      </c>
      <c r="E100" s="46" cm="1">
        <f t="array" ref="E100">SUM(--(G100:AT100&lt;&gt;""))</f>
        <v>34</v>
      </c>
      <c r="F100"/>
      <c r="G100" s="44">
        <v>7641</v>
      </c>
      <c r="H100" s="44" t="s">
        <v>89</v>
      </c>
      <c r="I100" s="44">
        <v>290</v>
      </c>
      <c r="J100" s="44">
        <v>412</v>
      </c>
      <c r="K100" s="44">
        <v>98</v>
      </c>
      <c r="L100" s="44">
        <v>5140</v>
      </c>
      <c r="M100" s="44">
        <v>4249</v>
      </c>
      <c r="N100" s="44">
        <v>5175</v>
      </c>
      <c r="O100" s="44" t="s">
        <v>89</v>
      </c>
      <c r="P100" s="44" t="s">
        <v>89</v>
      </c>
      <c r="Q100" s="44">
        <v>88119</v>
      </c>
      <c r="R100" s="44">
        <v>5151</v>
      </c>
      <c r="S100" s="44">
        <v>3930</v>
      </c>
      <c r="T100" s="44">
        <v>49059</v>
      </c>
      <c r="U100" s="44">
        <v>88947</v>
      </c>
      <c r="V100" s="44">
        <v>253</v>
      </c>
      <c r="W100" s="44">
        <v>6838</v>
      </c>
      <c r="X100" s="44">
        <v>367</v>
      </c>
      <c r="Y100" s="44" t="s">
        <v>89</v>
      </c>
      <c r="Z100" s="44">
        <v>2978</v>
      </c>
      <c r="AA100" s="44">
        <v>78</v>
      </c>
      <c r="AB100" s="44">
        <v>5884</v>
      </c>
      <c r="AC100" s="44">
        <v>788</v>
      </c>
      <c r="AD100" s="44">
        <v>79345</v>
      </c>
      <c r="AE100" s="44">
        <v>476</v>
      </c>
      <c r="AF100" s="44">
        <v>292</v>
      </c>
      <c r="AG100" s="44" t="s">
        <v>89</v>
      </c>
      <c r="AH100" s="44">
        <v>146</v>
      </c>
      <c r="AI100" s="44">
        <v>31447</v>
      </c>
      <c r="AJ100" s="44">
        <v>88277</v>
      </c>
      <c r="AK100" s="44">
        <v>603</v>
      </c>
      <c r="AL100" s="44" t="s">
        <v>89</v>
      </c>
      <c r="AM100" s="44">
        <v>90387</v>
      </c>
      <c r="AN100" s="44">
        <v>580</v>
      </c>
      <c r="AO100" s="44">
        <v>9850</v>
      </c>
      <c r="AP100" s="44">
        <v>7162</v>
      </c>
      <c r="AQ100" s="44">
        <v>77910</v>
      </c>
      <c r="AR100" s="44">
        <v>524</v>
      </c>
      <c r="AS100" s="44">
        <v>5404</v>
      </c>
      <c r="AT100" s="44">
        <v>6525</v>
      </c>
    </row>
    <row r="101" spans="1:46" ht="23.25">
      <c r="B101" s="14">
        <v>34</v>
      </c>
      <c r="C101" s="14">
        <v>2</v>
      </c>
      <c r="D101" s="15">
        <v>6</v>
      </c>
      <c r="E101" s="46" cm="1">
        <f t="array" ref="E101">SUM(--(G101:AT101&lt;&gt;""))</f>
        <v>32</v>
      </c>
      <c r="F101"/>
      <c r="G101" s="44">
        <v>43</v>
      </c>
      <c r="H101" s="44">
        <v>1301</v>
      </c>
      <c r="I101" s="44">
        <v>199</v>
      </c>
      <c r="J101" s="44">
        <v>3033</v>
      </c>
      <c r="K101" s="44">
        <v>60157</v>
      </c>
      <c r="L101" s="44" t="s">
        <v>89</v>
      </c>
      <c r="M101" s="44">
        <v>4385</v>
      </c>
      <c r="N101" s="44">
        <v>931</v>
      </c>
      <c r="O101" s="44">
        <v>7712</v>
      </c>
      <c r="P101" s="44">
        <v>524</v>
      </c>
      <c r="Q101" s="44">
        <v>42247</v>
      </c>
      <c r="R101" s="44">
        <v>1090</v>
      </c>
      <c r="S101" s="44">
        <v>41617</v>
      </c>
      <c r="T101" s="44">
        <v>630</v>
      </c>
      <c r="U101" s="44">
        <v>874</v>
      </c>
      <c r="V101" s="44">
        <v>96345</v>
      </c>
      <c r="W101" s="44">
        <v>5113</v>
      </c>
      <c r="X101" s="44">
        <v>812</v>
      </c>
      <c r="Y101" s="44">
        <v>79686</v>
      </c>
      <c r="Z101" s="44">
        <v>14530</v>
      </c>
      <c r="AA101" s="44" t="s">
        <v>89</v>
      </c>
      <c r="AB101" s="44">
        <v>38217</v>
      </c>
      <c r="AC101" s="44" t="s">
        <v>89</v>
      </c>
      <c r="AD101" s="44">
        <v>349</v>
      </c>
      <c r="AE101" s="44" t="s">
        <v>89</v>
      </c>
      <c r="AF101" s="44">
        <v>3213</v>
      </c>
      <c r="AG101" s="44">
        <v>5271</v>
      </c>
      <c r="AH101" s="44">
        <v>4776</v>
      </c>
      <c r="AI101" s="44">
        <v>70314</v>
      </c>
      <c r="AJ101" s="44">
        <v>466</v>
      </c>
      <c r="AK101" s="44">
        <v>74985</v>
      </c>
      <c r="AL101" s="44">
        <v>135</v>
      </c>
      <c r="AM101" s="44" t="s">
        <v>89</v>
      </c>
      <c r="AN101" s="44" t="s">
        <v>89</v>
      </c>
      <c r="AO101" s="44" t="s">
        <v>89</v>
      </c>
      <c r="AP101" s="44">
        <v>30778</v>
      </c>
      <c r="AQ101" s="44">
        <v>635</v>
      </c>
      <c r="AR101" s="44" t="s">
        <v>89</v>
      </c>
      <c r="AS101" s="44">
        <v>39227</v>
      </c>
      <c r="AT101" s="44">
        <v>117</v>
      </c>
    </row>
    <row r="102" spans="1:46" ht="23.25">
      <c r="B102" s="14">
        <v>35</v>
      </c>
      <c r="C102" s="14">
        <v>2</v>
      </c>
      <c r="D102" s="15">
        <v>6</v>
      </c>
      <c r="E102" s="46" cm="1">
        <f t="array" ref="E102">SUM(--(G102:AT102&lt;&gt;""))</f>
        <v>29</v>
      </c>
      <c r="F102"/>
      <c r="G102" s="44">
        <v>137</v>
      </c>
      <c r="H102" s="44">
        <v>42895</v>
      </c>
      <c r="I102" s="44" t="s">
        <v>89</v>
      </c>
      <c r="J102" s="44">
        <v>2587</v>
      </c>
      <c r="K102" s="44">
        <v>9570</v>
      </c>
      <c r="L102" s="44">
        <v>1000</v>
      </c>
      <c r="M102" s="44" t="s">
        <v>89</v>
      </c>
      <c r="N102" s="44">
        <v>388</v>
      </c>
      <c r="O102" s="44">
        <v>385</v>
      </c>
      <c r="P102" s="44" t="s">
        <v>89</v>
      </c>
      <c r="Q102" s="44">
        <v>838</v>
      </c>
      <c r="R102" s="44">
        <v>404</v>
      </c>
      <c r="S102" s="44" t="s">
        <v>89</v>
      </c>
      <c r="T102" s="44">
        <v>1202</v>
      </c>
      <c r="U102" s="44">
        <v>87859</v>
      </c>
      <c r="V102" s="44">
        <v>494</v>
      </c>
      <c r="W102" s="44">
        <v>1517</v>
      </c>
      <c r="X102" s="44" t="s">
        <v>89</v>
      </c>
      <c r="Y102" s="44">
        <v>73054</v>
      </c>
      <c r="Z102" s="44">
        <v>47920</v>
      </c>
      <c r="AA102" s="44">
        <v>50813</v>
      </c>
      <c r="AB102" s="44">
        <v>1542</v>
      </c>
      <c r="AC102" s="44">
        <v>4442</v>
      </c>
      <c r="AD102" s="44">
        <v>4595</v>
      </c>
      <c r="AE102" s="44">
        <v>49623</v>
      </c>
      <c r="AF102" s="44" t="s">
        <v>89</v>
      </c>
      <c r="AG102" s="44">
        <v>1257</v>
      </c>
      <c r="AH102" s="44" t="s">
        <v>89</v>
      </c>
      <c r="AI102" s="44">
        <v>885</v>
      </c>
      <c r="AJ102" s="44" t="s">
        <v>89</v>
      </c>
      <c r="AK102" s="44">
        <v>34177</v>
      </c>
      <c r="AL102" s="44" t="s">
        <v>89</v>
      </c>
      <c r="AM102" s="44">
        <v>83691</v>
      </c>
      <c r="AN102" s="44">
        <v>50749</v>
      </c>
      <c r="AO102" s="44">
        <v>572</v>
      </c>
      <c r="AP102" s="44">
        <v>7640</v>
      </c>
      <c r="AQ102" s="44">
        <v>85</v>
      </c>
      <c r="AR102" s="44" t="s">
        <v>89</v>
      </c>
      <c r="AS102" s="44" t="s">
        <v>89</v>
      </c>
      <c r="AT102" s="44">
        <v>56083</v>
      </c>
    </row>
    <row r="103" spans="1:46" ht="23.25">
      <c r="B103" s="14">
        <v>36</v>
      </c>
      <c r="C103" s="14">
        <v>2</v>
      </c>
      <c r="D103" s="15">
        <v>6</v>
      </c>
      <c r="E103" s="46" cm="1">
        <f t="array" ref="E103">SUM(--(G103:AT103&lt;&gt;""))</f>
        <v>29</v>
      </c>
      <c r="F103"/>
      <c r="G103" s="44">
        <v>6997</v>
      </c>
      <c r="H103" s="44" t="s">
        <v>89</v>
      </c>
      <c r="I103" s="44" t="s">
        <v>89</v>
      </c>
      <c r="J103" s="44">
        <v>4417</v>
      </c>
      <c r="K103" s="44">
        <v>75353</v>
      </c>
      <c r="L103" s="44">
        <v>83858</v>
      </c>
      <c r="M103" s="44">
        <v>9160</v>
      </c>
      <c r="N103" s="44">
        <v>715</v>
      </c>
      <c r="O103" s="44">
        <v>690</v>
      </c>
      <c r="P103" s="44">
        <v>16269</v>
      </c>
      <c r="Q103" s="44">
        <v>8406</v>
      </c>
      <c r="R103" s="44">
        <v>686</v>
      </c>
      <c r="S103" s="44" t="s">
        <v>89</v>
      </c>
      <c r="T103" s="44">
        <v>331</v>
      </c>
      <c r="U103" s="44" t="s">
        <v>89</v>
      </c>
      <c r="V103" s="44">
        <v>42350</v>
      </c>
      <c r="W103" s="44">
        <v>521</v>
      </c>
      <c r="X103" s="44" t="s">
        <v>89</v>
      </c>
      <c r="Y103" s="44">
        <v>12796</v>
      </c>
      <c r="Z103" s="44">
        <v>435</v>
      </c>
      <c r="AA103" s="44">
        <v>10485</v>
      </c>
      <c r="AB103" s="44">
        <v>9394</v>
      </c>
      <c r="AC103" s="44" t="s">
        <v>89</v>
      </c>
      <c r="AD103" s="44">
        <v>6614</v>
      </c>
      <c r="AE103" s="44">
        <v>1709</v>
      </c>
      <c r="AF103" s="44">
        <v>35923</v>
      </c>
      <c r="AG103" s="44" t="s">
        <v>89</v>
      </c>
      <c r="AH103" s="44" t="s">
        <v>89</v>
      </c>
      <c r="AI103" s="44">
        <v>22691</v>
      </c>
      <c r="AJ103" s="44">
        <v>5447</v>
      </c>
      <c r="AK103" s="44">
        <v>759</v>
      </c>
      <c r="AL103" s="44">
        <v>6485</v>
      </c>
      <c r="AM103" s="44">
        <v>78984</v>
      </c>
      <c r="AN103" s="44">
        <v>74779</v>
      </c>
      <c r="AO103" s="44">
        <v>9467</v>
      </c>
      <c r="AP103" s="44" t="s">
        <v>89</v>
      </c>
      <c r="AQ103" s="44" t="s">
        <v>89</v>
      </c>
      <c r="AR103" s="44">
        <v>1191</v>
      </c>
      <c r="AS103" s="44" t="s">
        <v>89</v>
      </c>
      <c r="AT103" s="44">
        <v>983</v>
      </c>
    </row>
    <row r="104" spans="1:46" ht="23.25">
      <c r="B104" s="14">
        <v>37</v>
      </c>
      <c r="C104" s="14">
        <v>2</v>
      </c>
      <c r="D104" s="15">
        <v>6</v>
      </c>
      <c r="E104" s="46" cm="1">
        <f t="array" ref="E104">SUM(--(G104:AT104&lt;&gt;""))</f>
        <v>33</v>
      </c>
      <c r="F104"/>
      <c r="G104" s="44">
        <v>9402</v>
      </c>
      <c r="H104" s="44">
        <v>4561</v>
      </c>
      <c r="I104" s="44">
        <v>4170</v>
      </c>
      <c r="J104" s="44">
        <v>66014</v>
      </c>
      <c r="K104" s="44">
        <v>7973</v>
      </c>
      <c r="L104" s="44" t="s">
        <v>89</v>
      </c>
      <c r="M104" s="44">
        <v>393</v>
      </c>
      <c r="N104" s="44">
        <v>5852</v>
      </c>
      <c r="O104" s="44">
        <v>190</v>
      </c>
      <c r="P104" s="44">
        <v>6031</v>
      </c>
      <c r="Q104" s="44">
        <v>16078</v>
      </c>
      <c r="R104" s="44">
        <v>1973</v>
      </c>
      <c r="S104" s="44">
        <v>42143</v>
      </c>
      <c r="T104" s="44">
        <v>838</v>
      </c>
      <c r="U104" s="44">
        <v>45801</v>
      </c>
      <c r="V104" s="44">
        <v>7601</v>
      </c>
      <c r="W104" s="44">
        <v>144</v>
      </c>
      <c r="X104" s="44">
        <v>83575</v>
      </c>
      <c r="Y104" s="44">
        <v>6302</v>
      </c>
      <c r="Z104" s="44">
        <v>3658</v>
      </c>
      <c r="AA104" s="44" t="s">
        <v>89</v>
      </c>
      <c r="AB104" s="44">
        <v>7809</v>
      </c>
      <c r="AC104" s="44">
        <v>8353</v>
      </c>
      <c r="AD104" s="44" t="s">
        <v>89</v>
      </c>
      <c r="AE104" s="44" t="s">
        <v>89</v>
      </c>
      <c r="AF104" s="44">
        <v>39247</v>
      </c>
      <c r="AG104" s="44">
        <v>549</v>
      </c>
      <c r="AH104" s="44" t="s">
        <v>89</v>
      </c>
      <c r="AI104" s="44">
        <v>9112</v>
      </c>
      <c r="AJ104" s="44">
        <v>4820</v>
      </c>
      <c r="AK104" s="44">
        <v>6397</v>
      </c>
      <c r="AL104" s="44">
        <v>7730</v>
      </c>
      <c r="AM104" s="44" t="s">
        <v>89</v>
      </c>
      <c r="AN104" s="44">
        <v>96758</v>
      </c>
      <c r="AO104" s="44">
        <v>85246</v>
      </c>
      <c r="AP104" s="44">
        <v>981</v>
      </c>
      <c r="AQ104" s="44" t="s">
        <v>89</v>
      </c>
      <c r="AR104" s="44">
        <v>657</v>
      </c>
      <c r="AS104" s="44">
        <v>737</v>
      </c>
      <c r="AT104" s="44">
        <v>46143</v>
      </c>
    </row>
    <row r="105" spans="1:46" ht="23.25">
      <c r="B105" s="14">
        <v>38</v>
      </c>
      <c r="C105" s="14">
        <v>2</v>
      </c>
      <c r="D105" s="15">
        <v>6</v>
      </c>
      <c r="E105" s="46" cm="1">
        <f t="array" ref="E105">SUM(--(G105:AT105&lt;&gt;""))</f>
        <v>33</v>
      </c>
      <c r="F105"/>
      <c r="G105" s="44">
        <v>96013</v>
      </c>
      <c r="H105" s="44">
        <v>71602</v>
      </c>
      <c r="I105" s="44">
        <v>2546</v>
      </c>
      <c r="J105" s="44" t="s">
        <v>89</v>
      </c>
      <c r="K105" s="44" t="s">
        <v>89</v>
      </c>
      <c r="L105" s="44">
        <v>484</v>
      </c>
      <c r="M105" s="44">
        <v>90064</v>
      </c>
      <c r="N105" s="44">
        <v>2550</v>
      </c>
      <c r="O105" s="44">
        <v>711</v>
      </c>
      <c r="P105" s="44">
        <v>97656</v>
      </c>
      <c r="Q105" s="44">
        <v>9464</v>
      </c>
      <c r="R105" s="44">
        <v>6985</v>
      </c>
      <c r="S105" s="44">
        <v>250</v>
      </c>
      <c r="T105" s="44">
        <v>1482</v>
      </c>
      <c r="U105" s="44">
        <v>5633</v>
      </c>
      <c r="V105" s="44" t="s">
        <v>89</v>
      </c>
      <c r="W105" s="44">
        <v>22840</v>
      </c>
      <c r="X105" s="44">
        <v>693</v>
      </c>
      <c r="Y105" s="44">
        <v>9942</v>
      </c>
      <c r="Z105" s="44">
        <v>3469</v>
      </c>
      <c r="AA105" s="44">
        <v>4539</v>
      </c>
      <c r="AB105" s="44" t="s">
        <v>89</v>
      </c>
      <c r="AC105" s="44">
        <v>5872</v>
      </c>
      <c r="AD105" s="44">
        <v>5183</v>
      </c>
      <c r="AE105" s="44">
        <v>124</v>
      </c>
      <c r="AF105" s="44">
        <v>6492</v>
      </c>
      <c r="AG105" s="44">
        <v>660</v>
      </c>
      <c r="AH105" s="44">
        <v>7948</v>
      </c>
      <c r="AI105" s="44">
        <v>745</v>
      </c>
      <c r="AJ105" s="44">
        <v>3734</v>
      </c>
      <c r="AK105" s="44">
        <v>9839</v>
      </c>
      <c r="AL105" s="44">
        <v>1409</v>
      </c>
      <c r="AM105" s="44">
        <v>23242</v>
      </c>
      <c r="AN105" s="44">
        <v>269</v>
      </c>
      <c r="AO105" s="44">
        <v>6603</v>
      </c>
      <c r="AP105" s="44" t="s">
        <v>89</v>
      </c>
      <c r="AQ105" s="44">
        <v>338</v>
      </c>
      <c r="AR105" s="44" t="s">
        <v>89</v>
      </c>
      <c r="AS105" s="44" t="s">
        <v>89</v>
      </c>
      <c r="AT105" s="44">
        <v>4339</v>
      </c>
    </row>
    <row r="106" spans="1:46" ht="23.25">
      <c r="B106" s="14">
        <v>39</v>
      </c>
      <c r="C106" s="14">
        <v>2</v>
      </c>
      <c r="D106" s="15">
        <v>6</v>
      </c>
      <c r="E106" s="46" cm="1">
        <f t="array" ref="E106">SUM(--(G106:AT106&lt;&gt;""))</f>
        <v>27</v>
      </c>
      <c r="F106"/>
      <c r="G106" s="44">
        <v>9448</v>
      </c>
      <c r="H106" s="44" t="s">
        <v>89</v>
      </c>
      <c r="I106" s="44" t="s">
        <v>89</v>
      </c>
      <c r="J106" s="44">
        <v>2631</v>
      </c>
      <c r="K106" s="44" t="s">
        <v>89</v>
      </c>
      <c r="L106" s="44">
        <v>5827</v>
      </c>
      <c r="M106" s="44">
        <v>217</v>
      </c>
      <c r="N106" s="44">
        <v>6231</v>
      </c>
      <c r="O106" s="44">
        <v>576</v>
      </c>
      <c r="P106" s="44">
        <v>59</v>
      </c>
      <c r="Q106" s="44">
        <v>26141</v>
      </c>
      <c r="R106" s="44" t="s">
        <v>89</v>
      </c>
      <c r="S106" s="44">
        <v>703</v>
      </c>
      <c r="T106" s="44" t="s">
        <v>89</v>
      </c>
      <c r="U106" s="44">
        <v>12267</v>
      </c>
      <c r="V106" s="44">
        <v>351</v>
      </c>
      <c r="W106" s="44">
        <v>73027</v>
      </c>
      <c r="X106" s="44" t="s">
        <v>89</v>
      </c>
      <c r="Y106" s="44">
        <v>9702</v>
      </c>
      <c r="Z106" s="44">
        <v>724</v>
      </c>
      <c r="AA106" s="44" t="s">
        <v>89</v>
      </c>
      <c r="AB106" s="44">
        <v>49480</v>
      </c>
      <c r="AC106" s="44" t="s">
        <v>89</v>
      </c>
      <c r="AD106" s="44">
        <v>7177</v>
      </c>
      <c r="AE106" s="44">
        <v>78877</v>
      </c>
      <c r="AF106" s="44" t="s">
        <v>89</v>
      </c>
      <c r="AG106" s="44">
        <v>74191</v>
      </c>
      <c r="AH106" s="44">
        <v>6678</v>
      </c>
      <c r="AI106" s="44">
        <v>95255</v>
      </c>
      <c r="AJ106" s="44" t="s">
        <v>89</v>
      </c>
      <c r="AK106" s="44" t="s">
        <v>89</v>
      </c>
      <c r="AL106" s="44">
        <v>46519</v>
      </c>
      <c r="AM106" s="44" t="s">
        <v>89</v>
      </c>
      <c r="AN106" s="44">
        <v>91978</v>
      </c>
      <c r="AO106" s="44">
        <v>30289</v>
      </c>
      <c r="AP106" s="44" t="s">
        <v>89</v>
      </c>
      <c r="AQ106" s="44">
        <v>182</v>
      </c>
      <c r="AR106" s="44">
        <v>6903</v>
      </c>
      <c r="AS106" s="44">
        <v>347</v>
      </c>
      <c r="AT106" s="44">
        <v>26346</v>
      </c>
    </row>
    <row r="107" spans="1:46" ht="23.25">
      <c r="B107" s="14">
        <v>40</v>
      </c>
      <c r="C107" s="14">
        <v>2</v>
      </c>
      <c r="D107" s="15">
        <v>6</v>
      </c>
      <c r="E107" s="46" cm="1">
        <f t="array" ref="E107">SUM(--(G107:AT107&lt;&gt;""))</f>
        <v>26</v>
      </c>
      <c r="F107"/>
      <c r="G107" s="44">
        <v>66241</v>
      </c>
      <c r="H107" s="44">
        <v>1811</v>
      </c>
      <c r="I107" s="44">
        <v>4922</v>
      </c>
      <c r="J107" s="44">
        <v>393</v>
      </c>
      <c r="K107" s="44" t="s">
        <v>89</v>
      </c>
      <c r="L107" s="44">
        <v>1439</v>
      </c>
      <c r="M107" s="44">
        <v>32004</v>
      </c>
      <c r="N107" s="44">
        <v>8639</v>
      </c>
      <c r="O107" s="44">
        <v>6147</v>
      </c>
      <c r="P107" s="44">
        <v>7980</v>
      </c>
      <c r="Q107" s="44">
        <v>12719</v>
      </c>
      <c r="R107" s="44">
        <v>82212</v>
      </c>
      <c r="S107" s="44">
        <v>714</v>
      </c>
      <c r="T107" s="44" t="s">
        <v>89</v>
      </c>
      <c r="U107" s="44" t="s">
        <v>89</v>
      </c>
      <c r="V107" s="44">
        <v>81487</v>
      </c>
      <c r="W107" s="44" t="s">
        <v>89</v>
      </c>
      <c r="X107" s="44">
        <v>208</v>
      </c>
      <c r="Y107" s="44" t="s">
        <v>89</v>
      </c>
      <c r="Z107" s="44" t="s">
        <v>89</v>
      </c>
      <c r="AA107" s="44">
        <v>2686</v>
      </c>
      <c r="AB107" s="44" t="s">
        <v>89</v>
      </c>
      <c r="AC107" s="44" t="s">
        <v>89</v>
      </c>
      <c r="AD107" s="44">
        <v>254</v>
      </c>
      <c r="AE107" s="44" t="s">
        <v>89</v>
      </c>
      <c r="AF107" s="44" t="s">
        <v>89</v>
      </c>
      <c r="AG107" s="44">
        <v>9331</v>
      </c>
      <c r="AH107" s="44">
        <v>42799</v>
      </c>
      <c r="AI107" s="44" t="s">
        <v>89</v>
      </c>
      <c r="AJ107" s="44">
        <v>91213</v>
      </c>
      <c r="AK107" s="44">
        <v>870</v>
      </c>
      <c r="AL107" s="44">
        <v>132</v>
      </c>
      <c r="AM107" s="44">
        <v>3672</v>
      </c>
      <c r="AN107" s="44">
        <v>192</v>
      </c>
      <c r="AO107" s="44">
        <v>9791</v>
      </c>
      <c r="AP107" s="44" t="s">
        <v>89</v>
      </c>
      <c r="AQ107" s="44" t="s">
        <v>89</v>
      </c>
      <c r="AR107" s="44" t="s">
        <v>89</v>
      </c>
      <c r="AS107" s="44">
        <v>6723</v>
      </c>
      <c r="AT107" s="44">
        <v>82871</v>
      </c>
    </row>
    <row r="108" spans="1:46" ht="13.5" customHeight="1">
      <c r="B108" s="4"/>
      <c r="C108" s="4"/>
      <c r="D108" s="4"/>
      <c r="E108" s="24"/>
      <c r="F108"/>
      <c r="G108" s="3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6" ht="13.5" customHeight="1" thickBot="1">
      <c r="A109" s="4"/>
      <c r="B109" s="4"/>
      <c r="C109" s="4"/>
      <c r="D109" s="4"/>
      <c r="E109" s="4"/>
      <c r="F109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6" ht="22.5" customHeight="1" thickBot="1">
      <c r="B110" s="82" t="s">
        <v>90</v>
      </c>
      <c r="C110" s="83" t="s">
        <v>91</v>
      </c>
      <c r="D110" s="47"/>
      <c r="E110" s="24"/>
      <c r="F110"/>
      <c r="G110" s="32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6" ht="15.75">
      <c r="B111" s="16"/>
      <c r="C111" s="4"/>
      <c r="D111" s="4"/>
      <c r="E111" s="24"/>
      <c r="F111"/>
      <c r="G111" s="32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6" ht="15.75">
      <c r="B112" s="55" t="s">
        <v>92</v>
      </c>
      <c r="C112" s="4"/>
      <c r="D112" s="4"/>
      <c r="E112" s="24"/>
      <c r="F112"/>
      <c r="G112" s="32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53" ht="15.75">
      <c r="B113" s="55" t="s">
        <v>93</v>
      </c>
      <c r="C113" s="4"/>
      <c r="D113" s="4"/>
      <c r="E113" s="24"/>
      <c r="F113"/>
      <c r="G113" s="32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53" ht="15.75">
      <c r="B114" s="50" t="s">
        <v>94</v>
      </c>
      <c r="C114" s="4"/>
      <c r="D114" s="1"/>
      <c r="E114" s="22"/>
      <c r="F11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53" ht="15.75">
      <c r="B115" s="60" t="s">
        <v>95</v>
      </c>
      <c r="C115" s="4"/>
      <c r="D115" s="1"/>
      <c r="E115" s="22"/>
      <c r="F115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53" ht="15.75">
      <c r="B116" s="53"/>
      <c r="C116" s="4"/>
      <c r="D116" s="4"/>
      <c r="E116" s="24"/>
      <c r="F116"/>
      <c r="G116" s="31"/>
      <c r="H116" s="4"/>
      <c r="I116" s="4"/>
      <c r="J116" s="4"/>
      <c r="K116" s="4"/>
      <c r="L116" s="4"/>
      <c r="M116" s="4"/>
      <c r="N116" s="79"/>
      <c r="O116" s="79"/>
      <c r="P116" s="79"/>
      <c r="Q116" s="79"/>
      <c r="R116" s="79"/>
      <c r="S116" s="79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</row>
    <row r="117" spans="1:53" ht="15.75">
      <c r="B117" s="63" t="s">
        <v>96</v>
      </c>
      <c r="C117" s="4"/>
      <c r="D117" s="4"/>
      <c r="E117" s="24"/>
      <c r="F117"/>
      <c r="G117" s="31"/>
      <c r="H117" s="4"/>
      <c r="I117" s="4"/>
      <c r="J117" s="4"/>
      <c r="K117" s="4"/>
      <c r="L117" s="4"/>
      <c r="M117" s="4"/>
      <c r="N117" s="47"/>
      <c r="O117" s="47"/>
      <c r="P117" s="47"/>
      <c r="Q117" s="47"/>
      <c r="R117" s="47"/>
      <c r="S117" s="47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53" ht="15.75">
      <c r="B118" s="63" t="s">
        <v>97</v>
      </c>
      <c r="C118" s="4"/>
      <c r="D118" s="4"/>
      <c r="E118" s="24"/>
      <c r="F118"/>
      <c r="G118" s="31"/>
      <c r="H118" s="4"/>
      <c r="I118" s="4"/>
      <c r="J118" s="4"/>
      <c r="K118" s="4"/>
      <c r="L118" s="4"/>
      <c r="M118" s="4"/>
      <c r="N118" s="47"/>
      <c r="O118" s="47"/>
      <c r="P118" s="47"/>
      <c r="Q118" s="47"/>
      <c r="R118" s="47"/>
      <c r="S118" s="47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53" ht="16.5" customHeight="1">
      <c r="B119" s="131"/>
      <c r="C119" s="4"/>
      <c r="D119" s="4"/>
      <c r="E119" s="24"/>
      <c r="F119"/>
      <c r="G119" s="31"/>
      <c r="H119" s="4"/>
      <c r="I119" s="4"/>
      <c r="J119" s="4"/>
      <c r="K119" s="4"/>
      <c r="L119" s="4"/>
      <c r="M119" s="4"/>
      <c r="N119" s="47"/>
      <c r="O119" s="47"/>
      <c r="P119" s="47"/>
      <c r="Q119" s="47"/>
      <c r="R119" s="47"/>
      <c r="S119" s="47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  <row r="120" spans="1:53" ht="16.5" customHeight="1">
      <c r="B120" s="52" t="s">
        <v>31</v>
      </c>
      <c r="C120" s="4"/>
      <c r="D120" s="4"/>
      <c r="E120" s="24"/>
      <c r="F120"/>
      <c r="G120" s="31"/>
      <c r="H120" s="4"/>
      <c r="I120" s="4"/>
      <c r="J120" s="4"/>
      <c r="K120" s="4"/>
      <c r="L120" s="4"/>
      <c r="M120" s="4"/>
      <c r="N120" s="47"/>
      <c r="O120" s="47"/>
      <c r="P120" s="47"/>
      <c r="Q120" s="47"/>
      <c r="R120" s="47"/>
      <c r="S120" s="47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</row>
    <row r="121" spans="1:53" ht="15.75">
      <c r="B121" s="66" t="s">
        <v>98</v>
      </c>
      <c r="C121" s="4"/>
      <c r="D121" s="4"/>
      <c r="E121" s="24"/>
      <c r="F121"/>
      <c r="G121" s="31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</row>
    <row r="122" spans="1:53" ht="15.75" customHeight="1">
      <c r="B122" s="66" t="s">
        <v>99</v>
      </c>
      <c r="C122" s="4"/>
      <c r="D122" s="4"/>
      <c r="E122" s="24"/>
      <c r="F122"/>
      <c r="G122" s="31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</row>
    <row r="123" spans="1:53" ht="15.75">
      <c r="B123" s="66" t="s">
        <v>100</v>
      </c>
      <c r="C123" s="1"/>
      <c r="D123" s="1"/>
      <c r="E123" s="22"/>
      <c r="F123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</row>
    <row r="124" spans="1:53" ht="15.75" thickBot="1">
      <c r="B124" s="16"/>
      <c r="C124" s="1"/>
      <c r="D124" s="1"/>
      <c r="E124" s="22"/>
      <c r="F124"/>
      <c r="G124" s="1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</row>
    <row r="125" spans="1:53" customFormat="1" ht="22.5" customHeight="1" thickBot="1">
      <c r="A125" s="1"/>
      <c r="B125" s="97" t="s">
        <v>9</v>
      </c>
      <c r="C125" s="97" t="s">
        <v>35</v>
      </c>
      <c r="D125" s="97" t="s">
        <v>11</v>
      </c>
      <c r="E125" s="97" t="s">
        <v>12</v>
      </c>
      <c r="G125" s="99" t="s">
        <v>101</v>
      </c>
      <c r="H125" s="99"/>
      <c r="I125" s="99"/>
      <c r="J125" s="99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</row>
    <row r="126" spans="1:53" customFormat="1" ht="15.75">
      <c r="A126" s="1"/>
      <c r="B126" s="1"/>
      <c r="C126" s="1"/>
      <c r="D126" s="1"/>
      <c r="E126" s="22"/>
      <c r="G126" s="32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 spans="1:53" customFormat="1" ht="23.25">
      <c r="A127" s="1"/>
      <c r="B127" s="14" t="s">
        <v>102</v>
      </c>
      <c r="C127" s="14">
        <v>3</v>
      </c>
      <c r="D127" s="15">
        <v>0</v>
      </c>
      <c r="E127" s="18">
        <v>861767</v>
      </c>
      <c r="G127" s="72" t="s">
        <v>103</v>
      </c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3"/>
      <c r="Z127" s="73"/>
      <c r="AA127" s="73"/>
      <c r="AB127" s="73"/>
      <c r="AC127" s="73"/>
      <c r="AD127" s="74"/>
    </row>
    <row r="128" spans="1:53" customFormat="1" ht="15.75">
      <c r="A128" s="1"/>
      <c r="B128" s="1"/>
      <c r="C128" s="1"/>
      <c r="D128" s="1"/>
      <c r="E128" s="22"/>
      <c r="G128" s="4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 spans="1:30" customFormat="1" ht="23.25" customHeight="1">
      <c r="A129" s="1"/>
      <c r="B129" s="14">
        <v>41</v>
      </c>
      <c r="C129" s="14">
        <v>3</v>
      </c>
      <c r="D129" s="15">
        <v>7</v>
      </c>
      <c r="E129" s="18" cm="1">
        <f t="array" ref="E129">SUM(--_xlfn.TEXTSPLIT(G129,";"))</f>
        <v>1124160</v>
      </c>
      <c r="G129" s="72" t="s">
        <v>104</v>
      </c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3"/>
      <c r="Z129" s="73"/>
      <c r="AA129" s="73"/>
      <c r="AB129" s="73"/>
      <c r="AC129" s="73"/>
      <c r="AD129" s="74"/>
    </row>
    <row r="130" spans="1:30" customFormat="1" ht="23.25" customHeight="1">
      <c r="A130" s="1"/>
      <c r="B130" s="14">
        <v>42</v>
      </c>
      <c r="C130" s="14">
        <v>3</v>
      </c>
      <c r="D130" s="15">
        <v>7</v>
      </c>
      <c r="E130" s="18" cm="1">
        <f t="array" ref="E130">SUM(--_xlfn.TEXTSPLIT(G130,";"))</f>
        <v>1166996</v>
      </c>
      <c r="G130" s="72" t="s">
        <v>105</v>
      </c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3"/>
      <c r="Z130" s="73"/>
      <c r="AA130" s="73"/>
      <c r="AB130" s="73"/>
      <c r="AC130" s="73"/>
      <c r="AD130" s="74"/>
    </row>
    <row r="131" spans="1:30" customFormat="1" ht="23.25" customHeight="1">
      <c r="A131" s="1"/>
      <c r="B131" s="14">
        <v>43</v>
      </c>
      <c r="C131" s="14">
        <v>3</v>
      </c>
      <c r="D131" s="15">
        <v>7</v>
      </c>
      <c r="E131" s="18" cm="1">
        <f t="array" ref="E131">SUM(--_xlfn.TEXTSPLIT(G131,";"))</f>
        <v>765437</v>
      </c>
      <c r="G131" s="72" t="s">
        <v>106</v>
      </c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3"/>
      <c r="Z131" s="73"/>
      <c r="AA131" s="73"/>
      <c r="AB131" s="73"/>
      <c r="AC131" s="73"/>
      <c r="AD131" s="74"/>
    </row>
    <row r="132" spans="1:30" customFormat="1" ht="23.25" customHeight="1">
      <c r="A132" s="1"/>
      <c r="B132" s="14">
        <v>44</v>
      </c>
      <c r="C132" s="14">
        <v>3</v>
      </c>
      <c r="D132" s="15">
        <v>7</v>
      </c>
      <c r="E132" s="18" cm="1">
        <f t="array" ref="E132">SUM(--_xlfn.TEXTSPLIT(G132,";"))</f>
        <v>576560</v>
      </c>
      <c r="G132" s="72" t="s">
        <v>107</v>
      </c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3"/>
      <c r="AC132" s="73"/>
      <c r="AD132" s="74"/>
    </row>
    <row r="133" spans="1:30" customFormat="1" ht="23.25" customHeight="1">
      <c r="A133" s="1"/>
      <c r="B133" s="14">
        <v>45</v>
      </c>
      <c r="C133" s="14">
        <v>3</v>
      </c>
      <c r="D133" s="15">
        <v>7</v>
      </c>
      <c r="E133" s="18" cm="1">
        <f t="array" ref="E133">SUM(--_xlfn.TEXTSPLIT(G133,";"))</f>
        <v>764669</v>
      </c>
      <c r="G133" s="72" t="s">
        <v>108</v>
      </c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3"/>
      <c r="Z133" s="73"/>
      <c r="AA133" s="73"/>
      <c r="AB133" s="73"/>
      <c r="AC133" s="73"/>
      <c r="AD133" s="74"/>
    </row>
    <row r="134" spans="1:30" customFormat="1" ht="23.25" customHeight="1">
      <c r="A134" s="1"/>
      <c r="B134" s="14">
        <v>46</v>
      </c>
      <c r="C134" s="14">
        <v>3</v>
      </c>
      <c r="D134" s="15">
        <v>7</v>
      </c>
      <c r="E134" s="18" cm="1">
        <f t="array" ref="E134">SUM(--_xlfn.TEXTSPLIT(G134,";"))</f>
        <v>642015</v>
      </c>
      <c r="G134" s="72" t="s">
        <v>109</v>
      </c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3"/>
      <c r="AC134" s="73"/>
      <c r="AD134" s="74"/>
    </row>
    <row r="135" spans="1:30" customFormat="1" ht="23.25" customHeight="1">
      <c r="A135" s="1"/>
      <c r="B135" s="14">
        <v>47</v>
      </c>
      <c r="C135" s="14">
        <v>3</v>
      </c>
      <c r="D135" s="15">
        <v>7</v>
      </c>
      <c r="E135" s="18" cm="1">
        <f t="array" ref="E135">SUM(--_xlfn.TEXTSPLIT(G135,";"))</f>
        <v>698606</v>
      </c>
      <c r="G135" s="72" t="s">
        <v>110</v>
      </c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3"/>
      <c r="Z135" s="73"/>
      <c r="AA135" s="73"/>
      <c r="AB135" s="73"/>
      <c r="AC135" s="73"/>
      <c r="AD135" s="74"/>
    </row>
    <row r="136" spans="1:30" customFormat="1" ht="23.25" customHeight="1">
      <c r="A136" s="1"/>
      <c r="B136" s="14">
        <v>48</v>
      </c>
      <c r="C136" s="14">
        <v>3</v>
      </c>
      <c r="D136" s="15">
        <v>7</v>
      </c>
      <c r="E136" s="18" cm="1">
        <f t="array" ref="E136">SUM(--_xlfn.TEXTSPLIT(G136,";"))</f>
        <v>890754</v>
      </c>
      <c r="G136" s="72" t="s">
        <v>111</v>
      </c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3"/>
      <c r="Z136" s="73"/>
      <c r="AA136" s="73"/>
      <c r="AB136" s="73"/>
      <c r="AC136" s="73"/>
      <c r="AD136" s="74"/>
    </row>
    <row r="137" spans="1:30" customFormat="1" ht="23.25" customHeight="1">
      <c r="A137" s="1"/>
      <c r="B137" s="14">
        <v>49</v>
      </c>
      <c r="C137" s="14">
        <v>3</v>
      </c>
      <c r="D137" s="15">
        <v>7</v>
      </c>
      <c r="E137" s="18" cm="1">
        <f t="array" ref="E137">SUM(--_xlfn.TEXTSPLIT(G137,";"))</f>
        <v>806892</v>
      </c>
      <c r="G137" s="72" t="s">
        <v>112</v>
      </c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3"/>
      <c r="Z137" s="73"/>
      <c r="AA137" s="73"/>
      <c r="AB137" s="73"/>
      <c r="AC137" s="73"/>
      <c r="AD137" s="74"/>
    </row>
    <row r="138" spans="1:30" customFormat="1" ht="23.25" customHeight="1">
      <c r="A138" s="1"/>
      <c r="B138" s="14">
        <v>50</v>
      </c>
      <c r="C138" s="14">
        <v>3</v>
      </c>
      <c r="D138" s="15">
        <v>7</v>
      </c>
      <c r="E138" s="18" cm="1">
        <f t="array" ref="E138">SUM(--_xlfn.TEXTSPLIT(G138,";"))</f>
        <v>330042</v>
      </c>
      <c r="G138" s="72" t="s">
        <v>113</v>
      </c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3"/>
      <c r="Z138" s="73"/>
      <c r="AA138" s="73"/>
      <c r="AB138" s="73"/>
      <c r="AC138" s="73"/>
      <c r="AD138" s="74"/>
    </row>
    <row r="139" spans="1:30" customFormat="1" ht="23.25" customHeight="1">
      <c r="A139" s="1"/>
      <c r="B139" s="14">
        <v>51</v>
      </c>
      <c r="C139" s="14">
        <v>3</v>
      </c>
      <c r="D139" s="15">
        <v>7</v>
      </c>
      <c r="E139" s="18" cm="1">
        <f t="array" ref="E139">SUM(--_xlfn.TEXTSPLIT(G139,";"))</f>
        <v>1016746</v>
      </c>
      <c r="G139" s="72" t="s">
        <v>114</v>
      </c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3"/>
      <c r="Z139" s="73"/>
      <c r="AA139" s="73"/>
      <c r="AB139" s="73"/>
      <c r="AC139" s="73"/>
      <c r="AD139" s="74"/>
    </row>
    <row r="140" spans="1:30" customFormat="1" ht="23.25" customHeight="1">
      <c r="A140" s="1"/>
      <c r="B140" s="14">
        <v>52</v>
      </c>
      <c r="C140" s="14">
        <v>3</v>
      </c>
      <c r="D140" s="15">
        <v>7</v>
      </c>
      <c r="E140" s="18" cm="1">
        <f t="array" ref="E140">SUM(--_xlfn.TEXTSPLIT(G140,";"))</f>
        <v>634563</v>
      </c>
      <c r="G140" s="72" t="s">
        <v>115</v>
      </c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3"/>
      <c r="Z140" s="73"/>
      <c r="AA140" s="73"/>
      <c r="AB140" s="73"/>
      <c r="AC140" s="73"/>
      <c r="AD140" s="74"/>
    </row>
    <row r="141" spans="1:30" customFormat="1" ht="23.25" customHeight="1">
      <c r="A141" s="1"/>
      <c r="B141" s="14">
        <v>53</v>
      </c>
      <c r="C141" s="14">
        <v>3</v>
      </c>
      <c r="D141" s="15">
        <v>7</v>
      </c>
      <c r="E141" s="18" cm="1">
        <f t="array" ref="E141">SUM(--_xlfn.TEXTSPLIT(G141,";"))</f>
        <v>1076651</v>
      </c>
      <c r="G141" s="72" t="s">
        <v>116</v>
      </c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3"/>
      <c r="Z141" s="73"/>
      <c r="AA141" s="73"/>
      <c r="AB141" s="73"/>
      <c r="AC141" s="73"/>
      <c r="AD141" s="74"/>
    </row>
    <row r="142" spans="1:30" customFormat="1" ht="23.25" customHeight="1">
      <c r="A142" s="1"/>
      <c r="B142" s="14">
        <v>54</v>
      </c>
      <c r="C142" s="14">
        <v>3</v>
      </c>
      <c r="D142" s="15">
        <v>7</v>
      </c>
      <c r="E142" s="18" cm="1">
        <f t="array" ref="E142">SUM(--_xlfn.TEXTSPLIT(G142,";"))</f>
        <v>986379</v>
      </c>
      <c r="G142" s="72" t="s">
        <v>117</v>
      </c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3"/>
      <c r="Z142" s="73"/>
      <c r="AA142" s="73"/>
      <c r="AB142" s="73"/>
      <c r="AC142" s="73"/>
      <c r="AD142" s="74"/>
    </row>
    <row r="143" spans="1:30" customFormat="1" ht="23.25" customHeight="1">
      <c r="A143" s="1"/>
      <c r="B143" s="14">
        <v>55</v>
      </c>
      <c r="C143" s="14">
        <v>3</v>
      </c>
      <c r="D143" s="15">
        <v>7</v>
      </c>
      <c r="E143" s="18" cm="1">
        <f t="array" ref="E143">SUM(--_xlfn.TEXTSPLIT(G143,";"))</f>
        <v>839784</v>
      </c>
      <c r="G143" s="72" t="s">
        <v>118</v>
      </c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3"/>
      <c r="Z143" s="73"/>
      <c r="AA143" s="73"/>
      <c r="AB143" s="73"/>
      <c r="AC143" s="73"/>
      <c r="AD143" s="74"/>
    </row>
    <row r="144" spans="1:30" customFormat="1" ht="23.25" customHeight="1">
      <c r="A144" s="1"/>
      <c r="B144" s="14">
        <v>56</v>
      </c>
      <c r="C144" s="14">
        <v>3</v>
      </c>
      <c r="D144" s="15">
        <v>7</v>
      </c>
      <c r="E144" s="18" cm="1">
        <f t="array" ref="E144">SUM(--_xlfn.TEXTSPLIT(G144,";"))</f>
        <v>916023</v>
      </c>
      <c r="G144" s="72" t="s">
        <v>119</v>
      </c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3"/>
      <c r="Z144" s="73"/>
      <c r="AA144" s="73"/>
      <c r="AB144" s="73"/>
      <c r="AC144" s="73"/>
      <c r="AD144" s="74"/>
    </row>
    <row r="145" spans="1:55" customFormat="1" ht="23.25" customHeight="1">
      <c r="A145" s="1"/>
      <c r="B145" s="14">
        <v>57</v>
      </c>
      <c r="C145" s="14">
        <v>3</v>
      </c>
      <c r="D145" s="15">
        <v>7</v>
      </c>
      <c r="E145" s="18" cm="1">
        <f t="array" ref="E145">SUM(--_xlfn.TEXTSPLIT(G145,";"))</f>
        <v>709940</v>
      </c>
      <c r="G145" s="72" t="s">
        <v>120</v>
      </c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3"/>
      <c r="Z145" s="73"/>
      <c r="AA145" s="73"/>
      <c r="AB145" s="73"/>
      <c r="AC145" s="73"/>
      <c r="AD145" s="74"/>
    </row>
    <row r="146" spans="1:55" customFormat="1" ht="23.25" customHeight="1">
      <c r="A146" s="1"/>
      <c r="B146" s="14">
        <v>58</v>
      </c>
      <c r="C146" s="14">
        <v>3</v>
      </c>
      <c r="D146" s="15">
        <v>7</v>
      </c>
      <c r="E146" s="18" cm="1">
        <f t="array" ref="E146">SUM(--_xlfn.TEXTSPLIT(G146,";"))</f>
        <v>515399</v>
      </c>
      <c r="G146" s="72" t="s">
        <v>121</v>
      </c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3"/>
      <c r="Z146" s="73"/>
      <c r="AA146" s="73"/>
      <c r="AB146" s="73"/>
      <c r="AC146" s="73"/>
      <c r="AD146" s="74"/>
    </row>
    <row r="147" spans="1:55" customFormat="1" ht="23.25" customHeight="1">
      <c r="A147" s="1"/>
      <c r="B147" s="14">
        <v>59</v>
      </c>
      <c r="C147" s="14">
        <v>3</v>
      </c>
      <c r="D147" s="15">
        <v>7</v>
      </c>
      <c r="E147" s="18" cm="1">
        <f t="array" ref="E147">SUM(--_xlfn.TEXTSPLIT(G147,";"))</f>
        <v>690509</v>
      </c>
      <c r="G147" s="72" t="s">
        <v>122</v>
      </c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3"/>
      <c r="Z147" s="73"/>
      <c r="AA147" s="73"/>
      <c r="AB147" s="73"/>
      <c r="AC147" s="73"/>
      <c r="AD147" s="74"/>
    </row>
    <row r="148" spans="1:55" customFormat="1" ht="23.25" customHeight="1">
      <c r="A148" s="1"/>
      <c r="B148" s="14">
        <v>60</v>
      </c>
      <c r="C148" s="14">
        <v>3</v>
      </c>
      <c r="D148" s="15">
        <v>7</v>
      </c>
      <c r="E148" s="18" cm="1">
        <f t="array" ref="E148">SUM(--_xlfn.TEXTSPLIT(G148,";"))</f>
        <v>872199</v>
      </c>
      <c r="G148" s="72" t="s">
        <v>123</v>
      </c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3"/>
      <c r="Z148" s="73"/>
      <c r="AA148" s="73"/>
      <c r="AB148" s="73"/>
      <c r="AC148" s="73"/>
      <c r="AD148" s="74"/>
    </row>
    <row r="149" spans="1:55" customFormat="1">
      <c r="A149" s="4"/>
      <c r="B149" s="4"/>
      <c r="C149" s="4"/>
      <c r="D149" s="4"/>
      <c r="E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 spans="1:55" customFormat="1" ht="15" customHeight="1" thickBot="1">
      <c r="A150" s="4"/>
      <c r="B150" s="4"/>
      <c r="C150" s="4"/>
      <c r="D150" s="4"/>
      <c r="E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 spans="1:55" customFormat="1" ht="22.5" customHeight="1" thickBot="1">
      <c r="A151" s="1"/>
      <c r="B151" s="82" t="s">
        <v>124</v>
      </c>
      <c r="C151" s="83" t="s">
        <v>91</v>
      </c>
      <c r="D151" s="47"/>
      <c r="E151" s="24"/>
      <c r="G151" s="32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 spans="1:55" customFormat="1" ht="15.75">
      <c r="A152" s="1"/>
      <c r="B152" s="16"/>
      <c r="C152" s="4"/>
      <c r="D152" s="4"/>
      <c r="E152" s="24"/>
      <c r="G152" s="32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 spans="1:55" customFormat="1" ht="15.75">
      <c r="A153" s="4"/>
      <c r="B153" s="33" t="s">
        <v>125</v>
      </c>
      <c r="C153" s="4"/>
      <c r="D153" s="4"/>
      <c r="E153" s="24"/>
      <c r="G153" s="32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 spans="1:55" customFormat="1" ht="15.75" customHeight="1">
      <c r="A154" s="1"/>
      <c r="B154" s="62" t="s">
        <v>126</v>
      </c>
      <c r="C154" s="4"/>
      <c r="D154" s="4"/>
      <c r="E154" s="24"/>
      <c r="G154" s="32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 spans="1:55" customFormat="1" ht="15.75" customHeight="1">
      <c r="A155" s="1"/>
      <c r="B155" s="85" t="s">
        <v>127</v>
      </c>
      <c r="C155" s="4"/>
      <c r="D155" s="4"/>
      <c r="E155" s="24"/>
      <c r="G155" s="32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 spans="1:55" customFormat="1" ht="15.75">
      <c r="A156" s="1"/>
      <c r="B156" s="54"/>
      <c r="C156" s="4"/>
      <c r="D156" s="4"/>
      <c r="E156" s="24"/>
      <c r="G156" s="32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 spans="1:55" customFormat="1" ht="15.75" customHeight="1">
      <c r="A157" s="1"/>
      <c r="B157" s="63" t="s">
        <v>128</v>
      </c>
      <c r="C157" s="4"/>
      <c r="D157" s="4"/>
      <c r="E157" s="24"/>
      <c r="G157" s="32"/>
      <c r="H157" s="4"/>
      <c r="I157" s="4"/>
      <c r="J157" s="4"/>
      <c r="K157" s="4"/>
      <c r="L157" s="4"/>
      <c r="M157" s="4"/>
      <c r="N157" s="47"/>
      <c r="O157" s="47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 spans="1:55" customFormat="1" ht="15.75">
      <c r="A158" s="1"/>
      <c r="B158" s="33"/>
      <c r="C158" s="4"/>
      <c r="D158" s="4"/>
      <c r="E158" s="24"/>
      <c r="G158" s="32"/>
      <c r="H158" s="4"/>
      <c r="I158" s="4"/>
      <c r="J158" s="4"/>
      <c r="K158" s="4" t="str" cm="1">
        <f t="array" ref="K158:T158">_xlfn.UNIQUE(_xlfn.TOROW(J169:AW188),1)</f>
        <v>👽</v>
      </c>
      <c r="L158" s="4" t="str">
        <v>💀</v>
      </c>
      <c r="M158" s="4" t="str">
        <v>🐉</v>
      </c>
      <c r="N158" s="47" t="str">
        <v>🎃</v>
      </c>
      <c r="O158" s="47" t="str">
        <v>👻</v>
      </c>
      <c r="P158" s="4" t="str">
        <v>🐽</v>
      </c>
      <c r="Q158" s="4" t="str">
        <v>👿</v>
      </c>
      <c r="R158" s="4" t="str">
        <v>🐍</v>
      </c>
      <c r="S158" s="4" t="str">
        <v>👹</v>
      </c>
      <c r="T158" s="4" t="str">
        <v>🐙</v>
      </c>
      <c r="U158" s="4"/>
      <c r="V158" s="4"/>
      <c r="W158" s="4"/>
      <c r="X158" s="4"/>
      <c r="Y158" s="4"/>
      <c r="Z158" s="4"/>
      <c r="AA158" s="4"/>
      <c r="AB158" s="4"/>
      <c r="AC158" s="4"/>
      <c r="AD158" s="4"/>
      <c r="AZ158" t="str" cm="1">
        <f t="array" ref="AZ158:AZ167">_xlfn.UNIQUE(_xlfn.TOCOL(AY169:CK189,3))</f>
        <v>👽</v>
      </c>
      <c r="BA158" cm="1">
        <f t="array" ref="BA158:BA167">COUNTIF(AY169:CN189,_xlfn.ANCHORARRAY(AZ158))</f>
        <v>69</v>
      </c>
      <c r="BC158">
        <f>MAX(_xlfn.ANCHORARRAY(BA158))</f>
        <v>88</v>
      </c>
    </row>
    <row r="159" spans="1:55" customFormat="1" ht="15.75">
      <c r="A159" s="1"/>
      <c r="B159" s="65" t="s">
        <v>31</v>
      </c>
      <c r="C159" s="4"/>
      <c r="D159" s="4"/>
      <c r="E159" s="24"/>
      <c r="G159" s="32"/>
      <c r="H159" s="4"/>
      <c r="I159" s="4"/>
      <c r="J159" s="4"/>
      <c r="K159" s="4" cm="1">
        <f t="array" ref="K159:T159">COUNTIF($J$169:$AW$188,_xlfn.ANCHORARRAY(K158))</f>
        <v>84</v>
      </c>
      <c r="L159" s="4">
        <v>69</v>
      </c>
      <c r="M159" s="4">
        <v>72</v>
      </c>
      <c r="N159" s="47">
        <v>96</v>
      </c>
      <c r="O159" s="47">
        <v>95</v>
      </c>
      <c r="P159" s="4">
        <v>83</v>
      </c>
      <c r="Q159" s="4">
        <v>66</v>
      </c>
      <c r="R159" s="4">
        <v>73</v>
      </c>
      <c r="S159" s="4">
        <v>81</v>
      </c>
      <c r="T159" s="4">
        <v>81</v>
      </c>
      <c r="U159" s="4"/>
      <c r="V159" s="4"/>
      <c r="W159" s="4"/>
      <c r="X159" s="4"/>
      <c r="Y159" s="4"/>
      <c r="Z159" s="4"/>
      <c r="AA159" s="4"/>
      <c r="AB159" s="4"/>
      <c r="AC159" s="4"/>
      <c r="AD159" s="4"/>
      <c r="AZ159" s="4" t="str">
        <v>💀</v>
      </c>
      <c r="BA159">
        <v>66</v>
      </c>
    </row>
    <row r="160" spans="1:55" customFormat="1" ht="15.75">
      <c r="A160" s="1"/>
      <c r="B160" s="66" t="s">
        <v>129</v>
      </c>
      <c r="C160" s="4"/>
      <c r="D160" s="4"/>
      <c r="E160" s="24"/>
      <c r="G160" s="32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Z160" t="str">
        <v>🎃</v>
      </c>
      <c r="BA160">
        <v>75</v>
      </c>
    </row>
    <row r="161" spans="1:89" customFormat="1" ht="15.75">
      <c r="A161" s="1"/>
      <c r="B161" s="66" t="s">
        <v>130</v>
      </c>
      <c r="C161" s="4"/>
      <c r="D161" s="1"/>
      <c r="E161" s="22"/>
      <c r="G161" s="1"/>
      <c r="H161" s="1"/>
      <c r="I161" s="4"/>
      <c r="J161" s="4"/>
      <c r="K161" s="4"/>
      <c r="L161" s="4">
        <f>MAX(_xlfn.ANCHORARRAY(K159))</f>
        <v>96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Z161" t="str">
        <v>👻</v>
      </c>
      <c r="BA161">
        <v>88</v>
      </c>
    </row>
    <row r="162" spans="1:89" customFormat="1" ht="15.75">
      <c r="A162" s="1"/>
      <c r="B162" s="66" t="s">
        <v>131</v>
      </c>
      <c r="C162" s="4"/>
      <c r="D162" s="4"/>
      <c r="E162" s="24"/>
      <c r="G162" s="3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Z162" t="str">
        <v>🐽</v>
      </c>
      <c r="BA162">
        <v>66</v>
      </c>
    </row>
    <row r="163" spans="1:89" customFormat="1" ht="15.75" thickBot="1">
      <c r="A163" s="1"/>
      <c r="B163" s="2"/>
      <c r="C163" s="1"/>
      <c r="D163" s="1"/>
      <c r="E163" s="22"/>
      <c r="G163" s="1"/>
      <c r="H163" s="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Z163" t="str">
        <v>👿</v>
      </c>
      <c r="BA163">
        <v>64</v>
      </c>
    </row>
    <row r="164" spans="1:89" ht="22.5" customHeight="1" thickBot="1">
      <c r="B164" s="16"/>
      <c r="C164" s="1"/>
      <c r="D164" s="1"/>
      <c r="E164" s="22"/>
      <c r="F164"/>
      <c r="G164" s="17"/>
      <c r="I164" s="4"/>
      <c r="J164" s="101" t="s">
        <v>132</v>
      </c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  <c r="X164" s="102"/>
      <c r="Y164" s="102"/>
      <c r="Z164" s="102"/>
      <c r="AA164" s="102"/>
      <c r="AB164" s="102"/>
      <c r="AC164" s="102"/>
      <c r="AD164" s="102"/>
      <c r="AE164" s="102"/>
      <c r="AF164" s="102"/>
      <c r="AG164" s="102"/>
      <c r="AH164" s="102"/>
      <c r="AI164" s="102"/>
      <c r="AJ164" s="102"/>
      <c r="AK164" s="102"/>
      <c r="AL164" s="102"/>
      <c r="AM164" s="102"/>
      <c r="AN164" s="102"/>
      <c r="AO164" s="102"/>
      <c r="AP164" s="102"/>
      <c r="AQ164" s="102"/>
      <c r="AR164" s="102"/>
      <c r="AS164" s="102"/>
      <c r="AT164" s="102"/>
      <c r="AU164" s="102"/>
      <c r="AV164" s="102"/>
      <c r="AW164" s="96"/>
      <c r="AZ164" s="4" t="str">
        <v>🐍</v>
      </c>
      <c r="BA164" s="4">
        <v>66</v>
      </c>
    </row>
    <row r="165" spans="1:89" ht="22.5" customHeight="1" thickBot="1">
      <c r="B165" s="97" t="s">
        <v>9</v>
      </c>
      <c r="C165" s="97" t="s">
        <v>35</v>
      </c>
      <c r="D165" s="97" t="s">
        <v>11</v>
      </c>
      <c r="E165" s="97" t="s">
        <v>12</v>
      </c>
      <c r="F165"/>
      <c r="G165" s="99" t="s">
        <v>133</v>
      </c>
      <c r="H165" s="99"/>
      <c r="J165" s="99">
        <v>1</v>
      </c>
      <c r="K165" s="99">
        <v>2</v>
      </c>
      <c r="L165" s="99">
        <v>3</v>
      </c>
      <c r="M165" s="99">
        <v>4</v>
      </c>
      <c r="N165" s="99">
        <v>5</v>
      </c>
      <c r="O165" s="99">
        <v>6</v>
      </c>
      <c r="P165" s="99">
        <v>7</v>
      </c>
      <c r="Q165" s="99">
        <v>8</v>
      </c>
      <c r="R165" s="99">
        <v>9</v>
      </c>
      <c r="S165" s="99">
        <v>10</v>
      </c>
      <c r="T165" s="99">
        <v>11</v>
      </c>
      <c r="U165" s="99">
        <v>12</v>
      </c>
      <c r="V165" s="99">
        <v>13</v>
      </c>
      <c r="W165" s="99">
        <v>14</v>
      </c>
      <c r="X165" s="99">
        <v>15</v>
      </c>
      <c r="Y165" s="99">
        <v>16</v>
      </c>
      <c r="Z165" s="99">
        <v>17</v>
      </c>
      <c r="AA165" s="99">
        <v>18</v>
      </c>
      <c r="AB165" s="99">
        <v>19</v>
      </c>
      <c r="AC165" s="99">
        <v>20</v>
      </c>
      <c r="AD165" s="99">
        <v>21</v>
      </c>
      <c r="AE165" s="99">
        <v>22</v>
      </c>
      <c r="AF165" s="99">
        <v>23</v>
      </c>
      <c r="AG165" s="99">
        <v>24</v>
      </c>
      <c r="AH165" s="99">
        <v>25</v>
      </c>
      <c r="AI165" s="99">
        <v>26</v>
      </c>
      <c r="AJ165" s="99">
        <v>27</v>
      </c>
      <c r="AK165" s="99">
        <v>28</v>
      </c>
      <c r="AL165" s="99">
        <v>29</v>
      </c>
      <c r="AM165" s="99">
        <v>30</v>
      </c>
      <c r="AN165" s="99">
        <v>31</v>
      </c>
      <c r="AO165" s="99">
        <v>32</v>
      </c>
      <c r="AP165" s="99">
        <v>33</v>
      </c>
      <c r="AQ165" s="99">
        <v>34</v>
      </c>
      <c r="AR165" s="99">
        <v>35</v>
      </c>
      <c r="AS165" s="99">
        <v>36</v>
      </c>
      <c r="AT165" s="99">
        <v>37</v>
      </c>
      <c r="AU165" s="99">
        <v>38</v>
      </c>
      <c r="AV165" s="99">
        <v>39</v>
      </c>
      <c r="AW165" s="99">
        <v>40</v>
      </c>
      <c r="AZ165" s="4" t="str">
        <v>👹</v>
      </c>
      <c r="BA165" s="4">
        <v>81</v>
      </c>
    </row>
    <row r="166" spans="1:89" ht="15.75">
      <c r="B166" s="1"/>
      <c r="C166" s="1"/>
      <c r="D166" s="1"/>
      <c r="E166" s="22"/>
      <c r="F166"/>
      <c r="G166" s="32"/>
      <c r="H166" s="32"/>
      <c r="I166" s="32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Z166" s="4" t="str">
        <v>🐙</v>
      </c>
      <c r="BA166" s="4">
        <v>68</v>
      </c>
    </row>
    <row r="167" spans="1:89" ht="23.25">
      <c r="B167" s="14" t="s">
        <v>134</v>
      </c>
      <c r="C167" s="14">
        <v>4</v>
      </c>
      <c r="D167" s="15">
        <v>0</v>
      </c>
      <c r="E167" s="46">
        <v>6</v>
      </c>
      <c r="F167"/>
      <c r="G167" s="76" t="s">
        <v>135</v>
      </c>
      <c r="H167" s="77"/>
      <c r="I167" s="75"/>
      <c r="J167" s="44" t="s">
        <v>135</v>
      </c>
      <c r="K167" s="44" t="s">
        <v>136</v>
      </c>
      <c r="L167" s="44" t="s">
        <v>135</v>
      </c>
      <c r="M167" s="44" t="s">
        <v>137</v>
      </c>
      <c r="N167" s="44" t="s">
        <v>138</v>
      </c>
      <c r="O167" s="44" t="s">
        <v>139</v>
      </c>
      <c r="P167" s="44" t="s">
        <v>135</v>
      </c>
      <c r="Q167" s="44" t="s">
        <v>140</v>
      </c>
      <c r="R167" s="44" t="s">
        <v>141</v>
      </c>
      <c r="S167" s="44" t="s">
        <v>142</v>
      </c>
      <c r="T167" s="44" t="s">
        <v>143</v>
      </c>
      <c r="U167" s="44" t="s">
        <v>136</v>
      </c>
      <c r="V167" s="44" t="s">
        <v>141</v>
      </c>
      <c r="W167" s="44" t="s">
        <v>138</v>
      </c>
      <c r="X167" s="44" t="s">
        <v>138</v>
      </c>
      <c r="Y167" s="44" t="s">
        <v>142</v>
      </c>
      <c r="Z167" s="44" t="s">
        <v>138</v>
      </c>
      <c r="AA167" s="44" t="s">
        <v>140</v>
      </c>
      <c r="AB167" s="44" t="s">
        <v>140</v>
      </c>
      <c r="AC167" s="44" t="s">
        <v>141</v>
      </c>
      <c r="AD167" s="44" t="s">
        <v>135</v>
      </c>
      <c r="AE167" s="44" t="s">
        <v>142</v>
      </c>
      <c r="AF167" s="44" t="s">
        <v>136</v>
      </c>
      <c r="AG167" s="44" t="s">
        <v>141</v>
      </c>
      <c r="AH167" s="44" t="s">
        <v>139</v>
      </c>
      <c r="AI167" s="44" t="s">
        <v>135</v>
      </c>
      <c r="AJ167" s="44" t="s">
        <v>135</v>
      </c>
      <c r="AK167" s="44" t="s">
        <v>143</v>
      </c>
      <c r="AL167" s="44" t="s">
        <v>142</v>
      </c>
      <c r="AM167" s="44" t="s">
        <v>142</v>
      </c>
      <c r="AN167" s="44" t="s">
        <v>144</v>
      </c>
      <c r="AO167" s="44" t="s">
        <v>136</v>
      </c>
      <c r="AP167" s="44" t="s">
        <v>144</v>
      </c>
      <c r="AQ167" s="44" t="s">
        <v>143</v>
      </c>
      <c r="AR167" s="44" t="s">
        <v>143</v>
      </c>
      <c r="AS167" s="44" t="s">
        <v>136</v>
      </c>
      <c r="AT167" s="44" t="s">
        <v>139</v>
      </c>
      <c r="AU167" s="44" t="s">
        <v>144</v>
      </c>
      <c r="AV167" s="44" t="s">
        <v>142</v>
      </c>
      <c r="AW167" s="44" t="s">
        <v>137</v>
      </c>
      <c r="AZ167" s="4" t="str">
        <v>🐉</v>
      </c>
      <c r="BA167" s="4">
        <v>60</v>
      </c>
    </row>
    <row r="168" spans="1:89" ht="15.75">
      <c r="B168" s="1"/>
      <c r="C168" s="1"/>
      <c r="D168" s="1"/>
      <c r="E168" s="56"/>
      <c r="F168"/>
      <c r="G168" s="45"/>
      <c r="H168" s="45"/>
      <c r="I168" s="45"/>
      <c r="J168" s="49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</row>
    <row r="169" spans="1:89" ht="23.25" customHeight="1">
      <c r="B169" s="14">
        <v>61</v>
      </c>
      <c r="C169" s="14">
        <v>4</v>
      </c>
      <c r="D169" s="15">
        <v>7</v>
      </c>
      <c r="E169" s="46">
        <f>COUNTIF(J169:AW169,G169)</f>
        <v>4</v>
      </c>
      <c r="F169"/>
      <c r="G169" s="76" t="s">
        <v>144</v>
      </c>
      <c r="H169" s="77"/>
      <c r="I169" s="75"/>
      <c r="J169" s="44" t="s">
        <v>137</v>
      </c>
      <c r="K169" s="44" t="s">
        <v>142</v>
      </c>
      <c r="L169" s="44" t="s">
        <v>144</v>
      </c>
      <c r="M169" s="44" t="s">
        <v>139</v>
      </c>
      <c r="N169" s="44" t="s">
        <v>142</v>
      </c>
      <c r="O169" s="44" t="s">
        <v>139</v>
      </c>
      <c r="P169" s="44" t="s">
        <v>143</v>
      </c>
      <c r="Q169" s="44" t="s">
        <v>139</v>
      </c>
      <c r="R169" s="44" t="s">
        <v>139</v>
      </c>
      <c r="S169" s="44" t="s">
        <v>139</v>
      </c>
      <c r="T169" s="44" t="s">
        <v>137</v>
      </c>
      <c r="U169" s="44" t="s">
        <v>144</v>
      </c>
      <c r="V169" s="44" t="s">
        <v>143</v>
      </c>
      <c r="W169" s="44" t="s">
        <v>135</v>
      </c>
      <c r="X169" s="44" t="s">
        <v>140</v>
      </c>
      <c r="Y169" s="44" t="s">
        <v>136</v>
      </c>
      <c r="Z169" s="44" t="s">
        <v>136</v>
      </c>
      <c r="AA169" s="44" t="s">
        <v>141</v>
      </c>
      <c r="AB169" s="44" t="s">
        <v>138</v>
      </c>
      <c r="AC169" s="44" t="s">
        <v>137</v>
      </c>
      <c r="AD169" s="44" t="s">
        <v>144</v>
      </c>
      <c r="AE169" s="44" t="s">
        <v>136</v>
      </c>
      <c r="AF169" s="44" t="s">
        <v>138</v>
      </c>
      <c r="AG169" s="44" t="s">
        <v>138</v>
      </c>
      <c r="AH169" s="44" t="s">
        <v>142</v>
      </c>
      <c r="AI169" s="44" t="s">
        <v>136</v>
      </c>
      <c r="AJ169" s="44" t="s">
        <v>136</v>
      </c>
      <c r="AK169" s="44" t="s">
        <v>139</v>
      </c>
      <c r="AL169" s="44" t="s">
        <v>136</v>
      </c>
      <c r="AM169" s="44" t="s">
        <v>144</v>
      </c>
      <c r="AN169" s="44" t="s">
        <v>137</v>
      </c>
      <c r="AO169" s="44" t="s">
        <v>137</v>
      </c>
      <c r="AP169" s="44" t="s">
        <v>140</v>
      </c>
      <c r="AQ169" s="44" t="s">
        <v>138</v>
      </c>
      <c r="AR169" s="44" t="s">
        <v>138</v>
      </c>
      <c r="AS169" s="44" t="s">
        <v>138</v>
      </c>
      <c r="AT169" s="44" t="s">
        <v>135</v>
      </c>
      <c r="AU169" s="44" t="s">
        <v>141</v>
      </c>
      <c r="AV169" s="44" t="s">
        <v>139</v>
      </c>
      <c r="AW169" s="44" t="s">
        <v>136</v>
      </c>
      <c r="AY169" s="4" t="str" cm="1">
        <f t="array" ref="AY169:CH169">_xlfn._xlws.FILTER(J169:AW169,J169:AW169&lt;&gt;G169)</f>
        <v>👽</v>
      </c>
      <c r="AZ169" s="4" t="str">
        <v>💀</v>
      </c>
      <c r="BA169" s="4" t="str">
        <v>🎃</v>
      </c>
      <c r="BB169" s="4" t="str">
        <v>💀</v>
      </c>
      <c r="BC169" s="4" t="str">
        <v>🎃</v>
      </c>
      <c r="BD169" s="4" t="str">
        <v>👻</v>
      </c>
      <c r="BE169" s="4" t="str">
        <v>🎃</v>
      </c>
      <c r="BF169" s="4" t="str">
        <v>🎃</v>
      </c>
      <c r="BG169" s="4" t="str">
        <v>🎃</v>
      </c>
      <c r="BH169" s="4" t="str">
        <v>👽</v>
      </c>
      <c r="BI169" s="4" t="str">
        <v>👻</v>
      </c>
      <c r="BJ169" s="4" t="str">
        <v>🐽</v>
      </c>
      <c r="BK169" s="4" t="str">
        <v>👿</v>
      </c>
      <c r="BL169" s="4" t="str">
        <v>🐍</v>
      </c>
      <c r="BM169" s="4" t="str">
        <v>🐍</v>
      </c>
      <c r="BN169" s="4" t="str">
        <v>👹</v>
      </c>
      <c r="BO169" s="4" t="str">
        <v>🐙</v>
      </c>
      <c r="BP169" s="4" t="str">
        <v>👽</v>
      </c>
      <c r="BQ169" s="4" t="str">
        <v>🐍</v>
      </c>
      <c r="BR169" s="4" t="str">
        <v>🐙</v>
      </c>
      <c r="BS169" s="4" t="str">
        <v>🐙</v>
      </c>
      <c r="BT169" s="4" t="str">
        <v>💀</v>
      </c>
      <c r="BU169" s="4" t="str">
        <v>🐍</v>
      </c>
      <c r="BV169" s="4" t="str">
        <v>🐍</v>
      </c>
      <c r="BW169" s="4" t="str">
        <v>🎃</v>
      </c>
      <c r="BX169" s="4" t="str">
        <v>🐍</v>
      </c>
      <c r="BY169" s="4" t="str">
        <v>👽</v>
      </c>
      <c r="BZ169" s="4" t="str">
        <v>👽</v>
      </c>
      <c r="CA169" s="4" t="str">
        <v>👿</v>
      </c>
      <c r="CB169" s="4" t="str">
        <v>🐙</v>
      </c>
      <c r="CC169" s="4" t="str">
        <v>🐙</v>
      </c>
      <c r="CD169" s="4" t="str">
        <v>🐙</v>
      </c>
      <c r="CE169" s="4" t="str">
        <v>🐽</v>
      </c>
      <c r="CF169" s="4" t="str">
        <v>👹</v>
      </c>
      <c r="CG169" s="4" t="str">
        <v>🎃</v>
      </c>
      <c r="CH169" s="4" t="str">
        <v>🐍</v>
      </c>
    </row>
    <row r="170" spans="1:89" ht="23.25" customHeight="1">
      <c r="B170" s="14">
        <v>62</v>
      </c>
      <c r="C170" s="14">
        <v>4</v>
      </c>
      <c r="D170" s="15">
        <v>7</v>
      </c>
      <c r="E170" s="46">
        <f t="shared" ref="E170:E188" si="1">COUNTIF(J170:AW170,G170)</f>
        <v>9</v>
      </c>
      <c r="F170"/>
      <c r="G170" s="76" t="s">
        <v>139</v>
      </c>
      <c r="H170" s="77"/>
      <c r="I170" s="75"/>
      <c r="J170" s="44" t="s">
        <v>136</v>
      </c>
      <c r="K170" s="44" t="s">
        <v>144</v>
      </c>
      <c r="L170" s="44" t="s">
        <v>139</v>
      </c>
      <c r="M170" s="44" t="s">
        <v>142</v>
      </c>
      <c r="N170" s="44" t="s">
        <v>139</v>
      </c>
      <c r="O170" s="44" t="s">
        <v>140</v>
      </c>
      <c r="P170" s="44" t="s">
        <v>137</v>
      </c>
      <c r="Q170" s="44" t="s">
        <v>137</v>
      </c>
      <c r="R170" s="44" t="s">
        <v>139</v>
      </c>
      <c r="S170" s="44" t="s">
        <v>139</v>
      </c>
      <c r="T170" s="44" t="s">
        <v>141</v>
      </c>
      <c r="U170" s="44" t="s">
        <v>136</v>
      </c>
      <c r="V170" s="44" t="s">
        <v>139</v>
      </c>
      <c r="W170" s="44" t="s">
        <v>139</v>
      </c>
      <c r="X170" s="44" t="s">
        <v>136</v>
      </c>
      <c r="Y170" s="44" t="s">
        <v>137</v>
      </c>
      <c r="Z170" s="44" t="s">
        <v>140</v>
      </c>
      <c r="AA170" s="44" t="s">
        <v>141</v>
      </c>
      <c r="AB170" s="44" t="s">
        <v>139</v>
      </c>
      <c r="AC170" s="44" t="s">
        <v>141</v>
      </c>
      <c r="AD170" s="44" t="s">
        <v>143</v>
      </c>
      <c r="AE170" s="44" t="s">
        <v>140</v>
      </c>
      <c r="AF170" s="44" t="s">
        <v>139</v>
      </c>
      <c r="AG170" s="44" t="s">
        <v>138</v>
      </c>
      <c r="AH170" s="44" t="s">
        <v>143</v>
      </c>
      <c r="AI170" s="44" t="s">
        <v>138</v>
      </c>
      <c r="AJ170" s="44" t="s">
        <v>136</v>
      </c>
      <c r="AK170" s="44" t="s">
        <v>135</v>
      </c>
      <c r="AL170" s="44" t="s">
        <v>138</v>
      </c>
      <c r="AM170" s="44" t="s">
        <v>137</v>
      </c>
      <c r="AN170" s="44" t="s">
        <v>140</v>
      </c>
      <c r="AO170" s="44" t="s">
        <v>144</v>
      </c>
      <c r="AP170" s="44" t="s">
        <v>139</v>
      </c>
      <c r="AQ170" s="44" t="s">
        <v>140</v>
      </c>
      <c r="AR170" s="44" t="s">
        <v>144</v>
      </c>
      <c r="AS170" s="44" t="s">
        <v>141</v>
      </c>
      <c r="AT170" s="44" t="s">
        <v>136</v>
      </c>
      <c r="AU170" s="44" t="s">
        <v>136</v>
      </c>
      <c r="AV170" s="44" t="s">
        <v>140</v>
      </c>
      <c r="AW170" s="44" t="s">
        <v>138</v>
      </c>
      <c r="AY170" s="4" t="str" cm="1">
        <f t="array" ref="AY170:CC170">_xlfn._xlws.FILTER(J170:AW170,J170:AW170&lt;&gt;G170)</f>
        <v>🐍</v>
      </c>
      <c r="AZ170" s="4" t="str">
        <v>🐉</v>
      </c>
      <c r="BA170" s="4" t="str">
        <v>💀</v>
      </c>
      <c r="BB170" s="4" t="str">
        <v>👿</v>
      </c>
      <c r="BC170" s="4" t="str">
        <v>👽</v>
      </c>
      <c r="BD170" s="4" t="str">
        <v>👽</v>
      </c>
      <c r="BE170" s="4" t="str">
        <v>👹</v>
      </c>
      <c r="BF170" s="4" t="str">
        <v>🐍</v>
      </c>
      <c r="BG170" s="4" t="str">
        <v>🐍</v>
      </c>
      <c r="BH170" s="4" t="str">
        <v>👽</v>
      </c>
      <c r="BI170" s="4" t="str">
        <v>👿</v>
      </c>
      <c r="BJ170" s="4" t="str">
        <v>👹</v>
      </c>
      <c r="BK170" s="4" t="str">
        <v>👹</v>
      </c>
      <c r="BL170" s="4" t="str">
        <v>👻</v>
      </c>
      <c r="BM170" s="4" t="str">
        <v>👿</v>
      </c>
      <c r="BN170" s="4" t="str">
        <v>🐙</v>
      </c>
      <c r="BO170" s="4" t="str">
        <v>👻</v>
      </c>
      <c r="BP170" s="4" t="str">
        <v>🐙</v>
      </c>
      <c r="BQ170" s="4" t="str">
        <v>🐍</v>
      </c>
      <c r="BR170" s="4" t="str">
        <v>🐽</v>
      </c>
      <c r="BS170" s="4" t="str">
        <v>🐙</v>
      </c>
      <c r="BT170" s="4" t="str">
        <v>👽</v>
      </c>
      <c r="BU170" s="4" t="str">
        <v>👿</v>
      </c>
      <c r="BV170" s="4" t="str">
        <v>🐉</v>
      </c>
      <c r="BW170" s="4" t="str">
        <v>👿</v>
      </c>
      <c r="BX170" s="4" t="str">
        <v>🐉</v>
      </c>
      <c r="BY170" s="4" t="str">
        <v>👹</v>
      </c>
      <c r="BZ170" s="4" t="str">
        <v>🐍</v>
      </c>
      <c r="CA170" s="4" t="str">
        <v>🐍</v>
      </c>
      <c r="CB170" s="4" t="str">
        <v>👿</v>
      </c>
      <c r="CC170" s="4" t="str">
        <v>🐙</v>
      </c>
    </row>
    <row r="171" spans="1:89" ht="23.25" customHeight="1">
      <c r="B171" s="14">
        <v>63</v>
      </c>
      <c r="C171" s="14">
        <v>4</v>
      </c>
      <c r="D171" s="15">
        <v>7</v>
      </c>
      <c r="E171" s="46">
        <f t="shared" si="1"/>
        <v>2</v>
      </c>
      <c r="F171"/>
      <c r="G171" s="76" t="s">
        <v>140</v>
      </c>
      <c r="H171" s="77"/>
      <c r="I171" s="75"/>
      <c r="J171" s="44" t="s">
        <v>141</v>
      </c>
      <c r="K171" s="44" t="s">
        <v>139</v>
      </c>
      <c r="L171" s="44" t="s">
        <v>141</v>
      </c>
      <c r="M171" s="44" t="s">
        <v>138</v>
      </c>
      <c r="N171" s="44" t="s">
        <v>139</v>
      </c>
      <c r="O171" s="44" t="s">
        <v>138</v>
      </c>
      <c r="P171" s="44" t="s">
        <v>136</v>
      </c>
      <c r="Q171" s="44" t="s">
        <v>143</v>
      </c>
      <c r="R171" s="44" t="s">
        <v>141</v>
      </c>
      <c r="S171" s="44" t="s">
        <v>136</v>
      </c>
      <c r="T171" s="44" t="s">
        <v>138</v>
      </c>
      <c r="U171" s="44" t="s">
        <v>144</v>
      </c>
      <c r="V171" s="44" t="s">
        <v>142</v>
      </c>
      <c r="W171" s="44" t="s">
        <v>137</v>
      </c>
      <c r="X171" s="44" t="s">
        <v>143</v>
      </c>
      <c r="Y171" s="44" t="s">
        <v>137</v>
      </c>
      <c r="Z171" s="44" t="s">
        <v>141</v>
      </c>
      <c r="AA171" s="44" t="s">
        <v>144</v>
      </c>
      <c r="AB171" s="44" t="s">
        <v>138</v>
      </c>
      <c r="AC171" s="44" t="s">
        <v>137</v>
      </c>
      <c r="AD171" s="44" t="s">
        <v>144</v>
      </c>
      <c r="AE171" s="44" t="s">
        <v>142</v>
      </c>
      <c r="AF171" s="44" t="s">
        <v>137</v>
      </c>
      <c r="AG171" s="44" t="s">
        <v>137</v>
      </c>
      <c r="AH171" s="44" t="s">
        <v>138</v>
      </c>
      <c r="AI171" s="44" t="s">
        <v>136</v>
      </c>
      <c r="AJ171" s="44" t="s">
        <v>135</v>
      </c>
      <c r="AK171" s="44" t="s">
        <v>143</v>
      </c>
      <c r="AL171" s="44" t="s">
        <v>136</v>
      </c>
      <c r="AM171" s="44" t="s">
        <v>140</v>
      </c>
      <c r="AN171" s="44" t="s">
        <v>139</v>
      </c>
      <c r="AO171" s="44" t="s">
        <v>138</v>
      </c>
      <c r="AP171" s="44" t="s">
        <v>142</v>
      </c>
      <c r="AQ171" s="44" t="s">
        <v>141</v>
      </c>
      <c r="AR171" s="44" t="s">
        <v>140</v>
      </c>
      <c r="AS171" s="44" t="s">
        <v>138</v>
      </c>
      <c r="AT171" s="44" t="s">
        <v>142</v>
      </c>
      <c r="AU171" s="44" t="s">
        <v>137</v>
      </c>
      <c r="AV171" s="44" t="s">
        <v>141</v>
      </c>
      <c r="AW171" s="44" t="s">
        <v>135</v>
      </c>
      <c r="AY171" s="4" t="str" cm="1">
        <f t="array" ref="AY171:CJ171">_xlfn._xlws.FILTER(J171:AW171,J171:AW171&lt;&gt;G171)</f>
        <v>👹</v>
      </c>
      <c r="AZ171" s="4" t="str">
        <v>🎃</v>
      </c>
      <c r="BA171" s="4" t="str">
        <v>👹</v>
      </c>
      <c r="BB171" s="4" t="str">
        <v>🐙</v>
      </c>
      <c r="BC171" s="4" t="str">
        <v>🎃</v>
      </c>
      <c r="BD171" s="4" t="str">
        <v>🐙</v>
      </c>
      <c r="BE171" s="4" t="str">
        <v>🐍</v>
      </c>
      <c r="BF171" s="4" t="str">
        <v>👻</v>
      </c>
      <c r="BG171" s="4" t="str">
        <v>👹</v>
      </c>
      <c r="BH171" s="4" t="str">
        <v>🐍</v>
      </c>
      <c r="BI171" s="4" t="str">
        <v>🐙</v>
      </c>
      <c r="BJ171" s="4" t="str">
        <v>🐉</v>
      </c>
      <c r="BK171" s="4" t="str">
        <v>💀</v>
      </c>
      <c r="BL171" s="4" t="str">
        <v>👽</v>
      </c>
      <c r="BM171" s="4" t="str">
        <v>👻</v>
      </c>
      <c r="BN171" s="4" t="str">
        <v>👽</v>
      </c>
      <c r="BO171" s="4" t="str">
        <v>👹</v>
      </c>
      <c r="BP171" s="4" t="str">
        <v>🐉</v>
      </c>
      <c r="BQ171" s="4" t="str">
        <v>🐙</v>
      </c>
      <c r="BR171" s="4" t="str">
        <v>👽</v>
      </c>
      <c r="BS171" s="4" t="str">
        <v>🐉</v>
      </c>
      <c r="BT171" s="4" t="str">
        <v>💀</v>
      </c>
      <c r="BU171" s="4" t="str">
        <v>👽</v>
      </c>
      <c r="BV171" s="4" t="str">
        <v>👽</v>
      </c>
      <c r="BW171" s="4" t="str">
        <v>🐙</v>
      </c>
      <c r="BX171" s="4" t="str">
        <v>🐍</v>
      </c>
      <c r="BY171" s="4" t="str">
        <v>🐽</v>
      </c>
      <c r="BZ171" s="4" t="str">
        <v>👻</v>
      </c>
      <c r="CA171" s="4" t="str">
        <v>🐍</v>
      </c>
      <c r="CB171" s="4" t="str">
        <v>🎃</v>
      </c>
      <c r="CC171" s="4" t="str">
        <v>🐙</v>
      </c>
      <c r="CD171" s="4" t="str">
        <v>💀</v>
      </c>
      <c r="CE171" s="4" t="str">
        <v>👹</v>
      </c>
      <c r="CF171" s="4" t="str">
        <v>🐙</v>
      </c>
      <c r="CG171" s="4" t="str">
        <v>💀</v>
      </c>
      <c r="CH171" s="4" t="str">
        <v>👽</v>
      </c>
      <c r="CI171" s="4" t="str">
        <v>👹</v>
      </c>
      <c r="CJ171" s="4" t="str">
        <v>🐽</v>
      </c>
    </row>
    <row r="172" spans="1:89" ht="23.25" customHeight="1">
      <c r="B172" s="14">
        <v>64</v>
      </c>
      <c r="C172" s="14">
        <v>4</v>
      </c>
      <c r="D172" s="15">
        <v>7</v>
      </c>
      <c r="E172" s="46">
        <f t="shared" si="1"/>
        <v>8</v>
      </c>
      <c r="F172"/>
      <c r="G172" s="76" t="s">
        <v>137</v>
      </c>
      <c r="H172" s="77"/>
      <c r="I172" s="75"/>
      <c r="J172" s="44" t="s">
        <v>140</v>
      </c>
      <c r="K172" s="44" t="s">
        <v>144</v>
      </c>
      <c r="L172" s="44" t="s">
        <v>143</v>
      </c>
      <c r="M172" s="44" t="s">
        <v>142</v>
      </c>
      <c r="N172" s="44" t="s">
        <v>137</v>
      </c>
      <c r="O172" s="44" t="s">
        <v>139</v>
      </c>
      <c r="P172" s="44" t="s">
        <v>138</v>
      </c>
      <c r="Q172" s="44" t="s">
        <v>142</v>
      </c>
      <c r="R172" s="44" t="s">
        <v>140</v>
      </c>
      <c r="S172" s="44" t="s">
        <v>135</v>
      </c>
      <c r="T172" s="44" t="s">
        <v>135</v>
      </c>
      <c r="U172" s="44" t="s">
        <v>137</v>
      </c>
      <c r="V172" s="44" t="s">
        <v>142</v>
      </c>
      <c r="W172" s="44" t="s">
        <v>137</v>
      </c>
      <c r="X172" s="44" t="s">
        <v>135</v>
      </c>
      <c r="Y172" s="44" t="s">
        <v>139</v>
      </c>
      <c r="Z172" s="44" t="s">
        <v>137</v>
      </c>
      <c r="AA172" s="44" t="s">
        <v>143</v>
      </c>
      <c r="AB172" s="44" t="s">
        <v>142</v>
      </c>
      <c r="AC172" s="44" t="s">
        <v>135</v>
      </c>
      <c r="AD172" s="44" t="s">
        <v>142</v>
      </c>
      <c r="AE172" s="44" t="s">
        <v>135</v>
      </c>
      <c r="AF172" s="44" t="s">
        <v>144</v>
      </c>
      <c r="AG172" s="44" t="s">
        <v>136</v>
      </c>
      <c r="AH172" s="44" t="s">
        <v>137</v>
      </c>
      <c r="AI172" s="44" t="s">
        <v>140</v>
      </c>
      <c r="AJ172" s="44" t="s">
        <v>144</v>
      </c>
      <c r="AK172" s="44" t="s">
        <v>143</v>
      </c>
      <c r="AL172" s="44" t="s">
        <v>143</v>
      </c>
      <c r="AM172" s="44" t="s">
        <v>137</v>
      </c>
      <c r="AN172" s="44" t="s">
        <v>136</v>
      </c>
      <c r="AO172" s="44" t="s">
        <v>136</v>
      </c>
      <c r="AP172" s="44" t="s">
        <v>139</v>
      </c>
      <c r="AQ172" s="44" t="s">
        <v>137</v>
      </c>
      <c r="AR172" s="44" t="s">
        <v>141</v>
      </c>
      <c r="AS172" s="44" t="s">
        <v>138</v>
      </c>
      <c r="AT172" s="44" t="s">
        <v>137</v>
      </c>
      <c r="AU172" s="44" t="s">
        <v>138</v>
      </c>
      <c r="AV172" s="44" t="s">
        <v>135</v>
      </c>
      <c r="AW172" s="44" t="s">
        <v>136</v>
      </c>
      <c r="AY172" s="4" t="str" cm="1">
        <f t="array" ref="AY172:CD172">_xlfn._xlws.FILTER(J172:AW172,J172:AW172&lt;&gt;G172)</f>
        <v>👿</v>
      </c>
      <c r="AZ172" s="4" t="str">
        <v>🐉</v>
      </c>
      <c r="BA172" s="4" t="str">
        <v>👻</v>
      </c>
      <c r="BB172" s="4" t="str">
        <v>💀</v>
      </c>
      <c r="BC172" s="4" t="str">
        <v>🎃</v>
      </c>
      <c r="BD172" s="4" t="str">
        <v>🐙</v>
      </c>
      <c r="BE172" s="4" t="str">
        <v>💀</v>
      </c>
      <c r="BF172" s="4" t="str">
        <v>👿</v>
      </c>
      <c r="BG172" s="4" t="str">
        <v>🐽</v>
      </c>
      <c r="BH172" s="4" t="str">
        <v>🐽</v>
      </c>
      <c r="BI172" s="4" t="str">
        <v>💀</v>
      </c>
      <c r="BJ172" s="4" t="str">
        <v>🐽</v>
      </c>
      <c r="BK172" s="4" t="str">
        <v>🎃</v>
      </c>
      <c r="BL172" s="4" t="str">
        <v>👻</v>
      </c>
      <c r="BM172" s="4" t="str">
        <v>💀</v>
      </c>
      <c r="BN172" s="4" t="str">
        <v>🐽</v>
      </c>
      <c r="BO172" s="4" t="str">
        <v>💀</v>
      </c>
      <c r="BP172" s="4" t="str">
        <v>🐽</v>
      </c>
      <c r="BQ172" s="4" t="str">
        <v>🐉</v>
      </c>
      <c r="BR172" s="4" t="str">
        <v>🐍</v>
      </c>
      <c r="BS172" s="4" t="str">
        <v>👿</v>
      </c>
      <c r="BT172" s="4" t="str">
        <v>🐉</v>
      </c>
      <c r="BU172" s="4" t="str">
        <v>👻</v>
      </c>
      <c r="BV172" s="4" t="str">
        <v>👻</v>
      </c>
      <c r="BW172" s="4" t="str">
        <v>🐍</v>
      </c>
      <c r="BX172" s="4" t="str">
        <v>🐍</v>
      </c>
      <c r="BY172" s="4" t="str">
        <v>🎃</v>
      </c>
      <c r="BZ172" s="4" t="str">
        <v>👹</v>
      </c>
      <c r="CA172" s="4" t="str">
        <v>🐙</v>
      </c>
      <c r="CB172" s="4" t="str">
        <v>🐙</v>
      </c>
      <c r="CC172" s="4" t="str">
        <v>🐽</v>
      </c>
      <c r="CD172" s="4" t="str">
        <v>🐍</v>
      </c>
    </row>
    <row r="173" spans="1:89" ht="23.25" customHeight="1">
      <c r="B173" s="14">
        <v>65</v>
      </c>
      <c r="C173" s="14">
        <v>4</v>
      </c>
      <c r="D173" s="15">
        <v>7</v>
      </c>
      <c r="E173" s="46">
        <f t="shared" si="1"/>
        <v>1</v>
      </c>
      <c r="F173"/>
      <c r="G173" s="76" t="s">
        <v>138</v>
      </c>
      <c r="H173" s="77"/>
      <c r="I173" s="75"/>
      <c r="J173" s="44" t="s">
        <v>139</v>
      </c>
      <c r="K173" s="44" t="s">
        <v>143</v>
      </c>
      <c r="L173" s="44" t="s">
        <v>143</v>
      </c>
      <c r="M173" s="44" t="s">
        <v>139</v>
      </c>
      <c r="N173" s="44" t="s">
        <v>143</v>
      </c>
      <c r="O173" s="44" t="s">
        <v>144</v>
      </c>
      <c r="P173" s="44" t="s">
        <v>143</v>
      </c>
      <c r="Q173" s="44" t="s">
        <v>136</v>
      </c>
      <c r="R173" s="44" t="s">
        <v>135</v>
      </c>
      <c r="S173" s="44" t="s">
        <v>136</v>
      </c>
      <c r="T173" s="44" t="s">
        <v>141</v>
      </c>
      <c r="U173" s="44" t="s">
        <v>144</v>
      </c>
      <c r="V173" s="44" t="s">
        <v>140</v>
      </c>
      <c r="W173" s="44" t="s">
        <v>137</v>
      </c>
      <c r="X173" s="44" t="s">
        <v>139</v>
      </c>
      <c r="Y173" s="44" t="s">
        <v>143</v>
      </c>
      <c r="Z173" s="44" t="s">
        <v>138</v>
      </c>
      <c r="AA173" s="44" t="s">
        <v>141</v>
      </c>
      <c r="AB173" s="44" t="s">
        <v>141</v>
      </c>
      <c r="AC173" s="44" t="s">
        <v>141</v>
      </c>
      <c r="AD173" s="44" t="s">
        <v>140</v>
      </c>
      <c r="AE173" s="44" t="s">
        <v>137</v>
      </c>
      <c r="AF173" s="44" t="s">
        <v>142</v>
      </c>
      <c r="AG173" s="44" t="s">
        <v>137</v>
      </c>
      <c r="AH173" s="44" t="s">
        <v>139</v>
      </c>
      <c r="AI173" s="44" t="s">
        <v>137</v>
      </c>
      <c r="AJ173" s="44" t="s">
        <v>141</v>
      </c>
      <c r="AK173" s="44" t="s">
        <v>142</v>
      </c>
      <c r="AL173" s="44" t="s">
        <v>141</v>
      </c>
      <c r="AM173" s="44" t="s">
        <v>141</v>
      </c>
      <c r="AN173" s="44" t="s">
        <v>141</v>
      </c>
      <c r="AO173" s="44" t="s">
        <v>137</v>
      </c>
      <c r="AP173" s="44" t="s">
        <v>135</v>
      </c>
      <c r="AQ173" s="44" t="s">
        <v>137</v>
      </c>
      <c r="AR173" s="44" t="s">
        <v>135</v>
      </c>
      <c r="AS173" s="44" t="s">
        <v>140</v>
      </c>
      <c r="AT173" s="44" t="s">
        <v>135</v>
      </c>
      <c r="AU173" s="44" t="s">
        <v>144</v>
      </c>
      <c r="AV173" s="44" t="s">
        <v>141</v>
      </c>
      <c r="AW173" s="44" t="s">
        <v>140</v>
      </c>
      <c r="AY173" s="4" t="str" cm="1">
        <f t="array" ref="AY173:CK173">_xlfn._xlws.FILTER(J173:AW173,J173:AW173&lt;&gt;G173)</f>
        <v>🎃</v>
      </c>
      <c r="AZ173" s="4" t="str">
        <v>👻</v>
      </c>
      <c r="BA173" s="4" t="str">
        <v>👻</v>
      </c>
      <c r="BB173" s="4" t="str">
        <v>🎃</v>
      </c>
      <c r="BC173" s="4" t="str">
        <v>👻</v>
      </c>
      <c r="BD173" s="4" t="str">
        <v>🐉</v>
      </c>
      <c r="BE173" s="4" t="str">
        <v>👻</v>
      </c>
      <c r="BF173" s="4" t="str">
        <v>🐍</v>
      </c>
      <c r="BG173" s="4" t="str">
        <v>🐽</v>
      </c>
      <c r="BH173" s="4" t="str">
        <v>🐍</v>
      </c>
      <c r="BI173" s="4" t="str">
        <v>👹</v>
      </c>
      <c r="BJ173" s="4" t="str">
        <v>🐉</v>
      </c>
      <c r="BK173" s="4" t="str">
        <v>👿</v>
      </c>
      <c r="BL173" s="4" t="str">
        <v>👽</v>
      </c>
      <c r="BM173" s="4" t="str">
        <v>🎃</v>
      </c>
      <c r="BN173" s="4" t="str">
        <v>👻</v>
      </c>
      <c r="BO173" s="4" t="str">
        <v>👹</v>
      </c>
      <c r="BP173" s="4" t="str">
        <v>👹</v>
      </c>
      <c r="BQ173" s="4" t="str">
        <v>👹</v>
      </c>
      <c r="BR173" s="4" t="str">
        <v>👿</v>
      </c>
      <c r="BS173" s="4" t="str">
        <v>👽</v>
      </c>
      <c r="BT173" s="4" t="str">
        <v>💀</v>
      </c>
      <c r="BU173" s="4" t="str">
        <v>👽</v>
      </c>
      <c r="BV173" s="4" t="str">
        <v>🎃</v>
      </c>
      <c r="BW173" s="4" t="str">
        <v>👽</v>
      </c>
      <c r="BX173" s="4" t="str">
        <v>👹</v>
      </c>
      <c r="BY173" s="4" t="str">
        <v>💀</v>
      </c>
      <c r="BZ173" s="4" t="str">
        <v>👹</v>
      </c>
      <c r="CA173" s="4" t="str">
        <v>👹</v>
      </c>
      <c r="CB173" s="4" t="str">
        <v>👹</v>
      </c>
      <c r="CC173" s="4" t="str">
        <v>👽</v>
      </c>
      <c r="CD173" s="4" t="str">
        <v>🐽</v>
      </c>
      <c r="CE173" s="4" t="str">
        <v>👽</v>
      </c>
      <c r="CF173" s="4" t="str">
        <v>🐽</v>
      </c>
      <c r="CG173" s="4" t="str">
        <v>👿</v>
      </c>
      <c r="CH173" s="4" t="str">
        <v>🐽</v>
      </c>
      <c r="CI173" s="4" t="str">
        <v>🐉</v>
      </c>
      <c r="CJ173" s="4" t="str">
        <v>👹</v>
      </c>
      <c r="CK173" s="4" t="str">
        <v>👿</v>
      </c>
    </row>
    <row r="174" spans="1:89" ht="23.25" customHeight="1">
      <c r="B174" s="14">
        <v>66</v>
      </c>
      <c r="C174" s="14">
        <v>4</v>
      </c>
      <c r="D174" s="15">
        <v>7</v>
      </c>
      <c r="E174" s="46">
        <f t="shared" si="1"/>
        <v>6</v>
      </c>
      <c r="F174"/>
      <c r="G174" s="76" t="s">
        <v>135</v>
      </c>
      <c r="H174" s="77"/>
      <c r="I174" s="75"/>
      <c r="J174" s="44" t="s">
        <v>143</v>
      </c>
      <c r="K174" s="44" t="s">
        <v>137</v>
      </c>
      <c r="L174" s="44" t="s">
        <v>142</v>
      </c>
      <c r="M174" s="44" t="s">
        <v>136</v>
      </c>
      <c r="N174" s="44" t="s">
        <v>135</v>
      </c>
      <c r="O174" s="44" t="s">
        <v>138</v>
      </c>
      <c r="P174" s="44" t="s">
        <v>143</v>
      </c>
      <c r="Q174" s="44" t="s">
        <v>136</v>
      </c>
      <c r="R174" s="44" t="s">
        <v>135</v>
      </c>
      <c r="S174" s="44" t="s">
        <v>138</v>
      </c>
      <c r="T174" s="44" t="s">
        <v>142</v>
      </c>
      <c r="U174" s="44" t="s">
        <v>142</v>
      </c>
      <c r="V174" s="44" t="s">
        <v>142</v>
      </c>
      <c r="W174" s="44" t="s">
        <v>140</v>
      </c>
      <c r="X174" s="44" t="s">
        <v>135</v>
      </c>
      <c r="Y174" s="44" t="s">
        <v>144</v>
      </c>
      <c r="Z174" s="44" t="s">
        <v>137</v>
      </c>
      <c r="AA174" s="44" t="s">
        <v>139</v>
      </c>
      <c r="AB174" s="44" t="s">
        <v>142</v>
      </c>
      <c r="AC174" s="44" t="s">
        <v>139</v>
      </c>
      <c r="AD174" s="44" t="s">
        <v>141</v>
      </c>
      <c r="AE174" s="44" t="s">
        <v>136</v>
      </c>
      <c r="AF174" s="44" t="s">
        <v>141</v>
      </c>
      <c r="AG174" s="44" t="s">
        <v>140</v>
      </c>
      <c r="AH174" s="44" t="s">
        <v>143</v>
      </c>
      <c r="AI174" s="44" t="s">
        <v>140</v>
      </c>
      <c r="AJ174" s="44" t="s">
        <v>143</v>
      </c>
      <c r="AK174" s="44" t="s">
        <v>143</v>
      </c>
      <c r="AL174" s="44" t="s">
        <v>135</v>
      </c>
      <c r="AM174" s="44" t="s">
        <v>140</v>
      </c>
      <c r="AN174" s="44" t="s">
        <v>137</v>
      </c>
      <c r="AO174" s="44" t="s">
        <v>141</v>
      </c>
      <c r="AP174" s="44" t="s">
        <v>143</v>
      </c>
      <c r="AQ174" s="44" t="s">
        <v>135</v>
      </c>
      <c r="AR174" s="44" t="s">
        <v>136</v>
      </c>
      <c r="AS174" s="44" t="s">
        <v>143</v>
      </c>
      <c r="AT174" s="44" t="s">
        <v>142</v>
      </c>
      <c r="AU174" s="44" t="s">
        <v>142</v>
      </c>
      <c r="AV174" s="44" t="s">
        <v>135</v>
      </c>
      <c r="AW174" s="44" t="s">
        <v>139</v>
      </c>
      <c r="AY174" s="4" t="str" cm="1">
        <f t="array" ref="AY174:CF174">_xlfn._xlws.FILTER(J174:AW174,J174:AW174&lt;&gt;G174)</f>
        <v>👻</v>
      </c>
      <c r="AZ174" s="4" t="str">
        <v>👽</v>
      </c>
      <c r="BA174" s="4" t="str">
        <v>💀</v>
      </c>
      <c r="BB174" s="4" t="str">
        <v>🐍</v>
      </c>
      <c r="BC174" s="4" t="str">
        <v>🐙</v>
      </c>
      <c r="BD174" s="4" t="str">
        <v>👻</v>
      </c>
      <c r="BE174" s="4" t="str">
        <v>🐍</v>
      </c>
      <c r="BF174" s="4" t="str">
        <v>🐙</v>
      </c>
      <c r="BG174" s="4" t="str">
        <v>💀</v>
      </c>
      <c r="BH174" s="4" t="str">
        <v>💀</v>
      </c>
      <c r="BI174" s="4" t="str">
        <v>💀</v>
      </c>
      <c r="BJ174" s="4" t="str">
        <v>👿</v>
      </c>
      <c r="BK174" s="4" t="str">
        <v>🐉</v>
      </c>
      <c r="BL174" s="4" t="str">
        <v>👽</v>
      </c>
      <c r="BM174" s="4" t="str">
        <v>🎃</v>
      </c>
      <c r="BN174" s="4" t="str">
        <v>💀</v>
      </c>
      <c r="BO174" s="4" t="str">
        <v>🎃</v>
      </c>
      <c r="BP174" s="4" t="str">
        <v>👹</v>
      </c>
      <c r="BQ174" s="4" t="str">
        <v>🐍</v>
      </c>
      <c r="BR174" s="4" t="str">
        <v>👹</v>
      </c>
      <c r="BS174" s="4" t="str">
        <v>👿</v>
      </c>
      <c r="BT174" s="4" t="str">
        <v>👻</v>
      </c>
      <c r="BU174" s="4" t="str">
        <v>👿</v>
      </c>
      <c r="BV174" s="4" t="str">
        <v>👻</v>
      </c>
      <c r="BW174" s="4" t="str">
        <v>👻</v>
      </c>
      <c r="BX174" s="4" t="str">
        <v>👿</v>
      </c>
      <c r="BY174" s="4" t="str">
        <v>👽</v>
      </c>
      <c r="BZ174" s="4" t="str">
        <v>👹</v>
      </c>
      <c r="CA174" s="4" t="str">
        <v>👻</v>
      </c>
      <c r="CB174" s="4" t="str">
        <v>🐍</v>
      </c>
      <c r="CC174" s="4" t="str">
        <v>👻</v>
      </c>
      <c r="CD174" s="4" t="str">
        <v>💀</v>
      </c>
      <c r="CE174" s="4" t="str">
        <v>💀</v>
      </c>
      <c r="CF174" s="4" t="str">
        <v>🎃</v>
      </c>
    </row>
    <row r="175" spans="1:89" ht="23.25" customHeight="1">
      <c r="B175" s="14">
        <v>67</v>
      </c>
      <c r="C175" s="14">
        <v>4</v>
      </c>
      <c r="D175" s="15">
        <v>7</v>
      </c>
      <c r="E175" s="46">
        <f t="shared" si="1"/>
        <v>2</v>
      </c>
      <c r="F175"/>
      <c r="G175" s="76" t="s">
        <v>144</v>
      </c>
      <c r="H175" s="77"/>
      <c r="I175" s="75"/>
      <c r="J175" s="44" t="s">
        <v>139</v>
      </c>
      <c r="K175" s="44" t="s">
        <v>135</v>
      </c>
      <c r="L175" s="44" t="s">
        <v>138</v>
      </c>
      <c r="M175" s="44" t="s">
        <v>136</v>
      </c>
      <c r="N175" s="44" t="s">
        <v>143</v>
      </c>
      <c r="O175" s="44" t="s">
        <v>140</v>
      </c>
      <c r="P175" s="44" t="s">
        <v>140</v>
      </c>
      <c r="Q175" s="44" t="s">
        <v>140</v>
      </c>
      <c r="R175" s="44" t="s">
        <v>139</v>
      </c>
      <c r="S175" s="44" t="s">
        <v>135</v>
      </c>
      <c r="T175" s="44" t="s">
        <v>138</v>
      </c>
      <c r="U175" s="44" t="s">
        <v>139</v>
      </c>
      <c r="V175" s="44" t="s">
        <v>137</v>
      </c>
      <c r="W175" s="44" t="s">
        <v>144</v>
      </c>
      <c r="X175" s="44" t="s">
        <v>143</v>
      </c>
      <c r="Y175" s="44" t="s">
        <v>137</v>
      </c>
      <c r="Z175" s="44" t="s">
        <v>140</v>
      </c>
      <c r="AA175" s="44" t="s">
        <v>142</v>
      </c>
      <c r="AB175" s="44" t="s">
        <v>142</v>
      </c>
      <c r="AC175" s="44" t="s">
        <v>142</v>
      </c>
      <c r="AD175" s="44" t="s">
        <v>141</v>
      </c>
      <c r="AE175" s="44" t="s">
        <v>136</v>
      </c>
      <c r="AF175" s="44" t="s">
        <v>138</v>
      </c>
      <c r="AG175" s="44" t="s">
        <v>139</v>
      </c>
      <c r="AH175" s="44" t="s">
        <v>139</v>
      </c>
      <c r="AI175" s="44" t="s">
        <v>144</v>
      </c>
      <c r="AJ175" s="44" t="s">
        <v>143</v>
      </c>
      <c r="AK175" s="44" t="s">
        <v>135</v>
      </c>
      <c r="AL175" s="44" t="s">
        <v>136</v>
      </c>
      <c r="AM175" s="44" t="s">
        <v>143</v>
      </c>
      <c r="AN175" s="44" t="s">
        <v>138</v>
      </c>
      <c r="AO175" s="44" t="s">
        <v>141</v>
      </c>
      <c r="AP175" s="44" t="s">
        <v>138</v>
      </c>
      <c r="AQ175" s="44" t="s">
        <v>135</v>
      </c>
      <c r="AR175" s="44" t="s">
        <v>140</v>
      </c>
      <c r="AS175" s="44" t="s">
        <v>135</v>
      </c>
      <c r="AT175" s="44" t="s">
        <v>137</v>
      </c>
      <c r="AU175" s="44" t="s">
        <v>135</v>
      </c>
      <c r="AV175" s="44" t="s">
        <v>140</v>
      </c>
      <c r="AW175" s="44" t="s">
        <v>136</v>
      </c>
      <c r="AY175" s="4" t="str" cm="1">
        <f t="array" ref="AY175:CJ175">_xlfn._xlws.FILTER(J175:AW175,J175:AW175&lt;&gt;G175)</f>
        <v>🎃</v>
      </c>
      <c r="AZ175" s="4" t="str">
        <v>🐽</v>
      </c>
      <c r="BA175" s="4" t="str">
        <v>🐙</v>
      </c>
      <c r="BB175" s="4" t="str">
        <v>🐍</v>
      </c>
      <c r="BC175" s="4" t="str">
        <v>👻</v>
      </c>
      <c r="BD175" s="4" t="str">
        <v>👿</v>
      </c>
      <c r="BE175" s="4" t="str">
        <v>👿</v>
      </c>
      <c r="BF175" s="4" t="str">
        <v>👿</v>
      </c>
      <c r="BG175" s="4" t="str">
        <v>🎃</v>
      </c>
      <c r="BH175" s="4" t="str">
        <v>🐽</v>
      </c>
      <c r="BI175" s="4" t="str">
        <v>🐙</v>
      </c>
      <c r="BJ175" s="4" t="str">
        <v>🎃</v>
      </c>
      <c r="BK175" s="4" t="str">
        <v>👽</v>
      </c>
      <c r="BL175" s="4" t="str">
        <v>👻</v>
      </c>
      <c r="BM175" s="4" t="str">
        <v>👽</v>
      </c>
      <c r="BN175" s="4" t="str">
        <v>👿</v>
      </c>
      <c r="BO175" s="4" t="str">
        <v>💀</v>
      </c>
      <c r="BP175" s="4" t="str">
        <v>💀</v>
      </c>
      <c r="BQ175" s="4" t="str">
        <v>💀</v>
      </c>
      <c r="BR175" s="4" t="str">
        <v>👹</v>
      </c>
      <c r="BS175" s="4" t="str">
        <v>🐍</v>
      </c>
      <c r="BT175" s="4" t="str">
        <v>🐙</v>
      </c>
      <c r="BU175" s="4" t="str">
        <v>🎃</v>
      </c>
      <c r="BV175" s="4" t="str">
        <v>🎃</v>
      </c>
      <c r="BW175" s="4" t="str">
        <v>👻</v>
      </c>
      <c r="BX175" s="4" t="str">
        <v>🐽</v>
      </c>
      <c r="BY175" s="4" t="str">
        <v>🐍</v>
      </c>
      <c r="BZ175" s="4" t="str">
        <v>👻</v>
      </c>
      <c r="CA175" s="4" t="str">
        <v>🐙</v>
      </c>
      <c r="CB175" s="4" t="str">
        <v>👹</v>
      </c>
      <c r="CC175" s="4" t="str">
        <v>🐙</v>
      </c>
      <c r="CD175" s="4" t="str">
        <v>🐽</v>
      </c>
      <c r="CE175" s="4" t="str">
        <v>👿</v>
      </c>
      <c r="CF175" s="4" t="str">
        <v>🐽</v>
      </c>
      <c r="CG175" s="4" t="str">
        <v>👽</v>
      </c>
      <c r="CH175" s="4" t="str">
        <v>🐽</v>
      </c>
      <c r="CI175" s="4" t="str">
        <v>👿</v>
      </c>
      <c r="CJ175" s="4" t="str">
        <v>🐍</v>
      </c>
    </row>
    <row r="176" spans="1:89" ht="23.25" customHeight="1">
      <c r="B176" s="14">
        <v>68</v>
      </c>
      <c r="C176" s="14">
        <v>4</v>
      </c>
      <c r="D176" s="15">
        <v>7</v>
      </c>
      <c r="E176" s="46">
        <f t="shared" si="1"/>
        <v>3</v>
      </c>
      <c r="F176"/>
      <c r="G176" s="76" t="s">
        <v>136</v>
      </c>
      <c r="H176" s="77"/>
      <c r="I176" s="75"/>
      <c r="J176" s="44" t="s">
        <v>141</v>
      </c>
      <c r="K176" s="44" t="s">
        <v>142</v>
      </c>
      <c r="L176" s="44" t="s">
        <v>138</v>
      </c>
      <c r="M176" s="44" t="s">
        <v>143</v>
      </c>
      <c r="N176" s="44" t="s">
        <v>143</v>
      </c>
      <c r="O176" s="44" t="s">
        <v>142</v>
      </c>
      <c r="P176" s="44" t="s">
        <v>137</v>
      </c>
      <c r="Q176" s="44" t="s">
        <v>141</v>
      </c>
      <c r="R176" s="44" t="s">
        <v>144</v>
      </c>
      <c r="S176" s="44" t="s">
        <v>137</v>
      </c>
      <c r="T176" s="44" t="s">
        <v>142</v>
      </c>
      <c r="U176" s="44" t="s">
        <v>135</v>
      </c>
      <c r="V176" s="44" t="s">
        <v>143</v>
      </c>
      <c r="W176" s="44" t="s">
        <v>142</v>
      </c>
      <c r="X176" s="44" t="s">
        <v>139</v>
      </c>
      <c r="Y176" s="44" t="s">
        <v>142</v>
      </c>
      <c r="Z176" s="44" t="s">
        <v>137</v>
      </c>
      <c r="AA176" s="44" t="s">
        <v>139</v>
      </c>
      <c r="AB176" s="44" t="s">
        <v>141</v>
      </c>
      <c r="AC176" s="44" t="s">
        <v>141</v>
      </c>
      <c r="AD176" s="44" t="s">
        <v>135</v>
      </c>
      <c r="AE176" s="44" t="s">
        <v>141</v>
      </c>
      <c r="AF176" s="44" t="s">
        <v>140</v>
      </c>
      <c r="AG176" s="44" t="s">
        <v>143</v>
      </c>
      <c r="AH176" s="44" t="s">
        <v>143</v>
      </c>
      <c r="AI176" s="44" t="s">
        <v>144</v>
      </c>
      <c r="AJ176" s="44" t="s">
        <v>138</v>
      </c>
      <c r="AK176" s="44" t="s">
        <v>140</v>
      </c>
      <c r="AL176" s="44" t="s">
        <v>136</v>
      </c>
      <c r="AM176" s="44" t="s">
        <v>136</v>
      </c>
      <c r="AN176" s="44" t="s">
        <v>138</v>
      </c>
      <c r="AO176" s="44" t="s">
        <v>144</v>
      </c>
      <c r="AP176" s="44" t="s">
        <v>141</v>
      </c>
      <c r="AQ176" s="44" t="s">
        <v>141</v>
      </c>
      <c r="AR176" s="44" t="s">
        <v>143</v>
      </c>
      <c r="AS176" s="44" t="s">
        <v>137</v>
      </c>
      <c r="AT176" s="44" t="s">
        <v>135</v>
      </c>
      <c r="AU176" s="44" t="s">
        <v>136</v>
      </c>
      <c r="AV176" s="44" t="s">
        <v>139</v>
      </c>
      <c r="AW176" s="44" t="s">
        <v>142</v>
      </c>
      <c r="AY176" s="4" t="str" cm="1">
        <f t="array" ref="AY176:CI176">_xlfn._xlws.FILTER(J176:AW176,J176:AW176&lt;&gt;G176)</f>
        <v>👹</v>
      </c>
      <c r="AZ176" s="4" t="str">
        <v>💀</v>
      </c>
      <c r="BA176" s="4" t="str">
        <v>🐙</v>
      </c>
      <c r="BB176" s="4" t="str">
        <v>👻</v>
      </c>
      <c r="BC176" s="4" t="str">
        <v>👻</v>
      </c>
      <c r="BD176" s="4" t="str">
        <v>💀</v>
      </c>
      <c r="BE176" s="4" t="str">
        <v>👽</v>
      </c>
      <c r="BF176" s="4" t="str">
        <v>👹</v>
      </c>
      <c r="BG176" s="4" t="str">
        <v>🐉</v>
      </c>
      <c r="BH176" s="4" t="str">
        <v>👽</v>
      </c>
      <c r="BI176" s="4" t="str">
        <v>💀</v>
      </c>
      <c r="BJ176" s="4" t="str">
        <v>🐽</v>
      </c>
      <c r="BK176" s="4" t="str">
        <v>👻</v>
      </c>
      <c r="BL176" s="4" t="str">
        <v>💀</v>
      </c>
      <c r="BM176" s="4" t="str">
        <v>🎃</v>
      </c>
      <c r="BN176" s="4" t="str">
        <v>💀</v>
      </c>
      <c r="BO176" s="4" t="str">
        <v>👽</v>
      </c>
      <c r="BP176" s="4" t="str">
        <v>🎃</v>
      </c>
      <c r="BQ176" s="4" t="str">
        <v>👹</v>
      </c>
      <c r="BR176" s="4" t="str">
        <v>👹</v>
      </c>
      <c r="BS176" s="4" t="str">
        <v>🐽</v>
      </c>
      <c r="BT176" s="4" t="str">
        <v>👹</v>
      </c>
      <c r="BU176" s="4" t="str">
        <v>👿</v>
      </c>
      <c r="BV176" s="4" t="str">
        <v>👻</v>
      </c>
      <c r="BW176" s="4" t="str">
        <v>👻</v>
      </c>
      <c r="BX176" s="4" t="str">
        <v>🐉</v>
      </c>
      <c r="BY176" s="4" t="str">
        <v>🐙</v>
      </c>
      <c r="BZ176" s="4" t="str">
        <v>👿</v>
      </c>
      <c r="CA176" s="4" t="str">
        <v>🐙</v>
      </c>
      <c r="CB176" s="4" t="str">
        <v>🐉</v>
      </c>
      <c r="CC176" s="4" t="str">
        <v>👹</v>
      </c>
      <c r="CD176" s="4" t="str">
        <v>👹</v>
      </c>
      <c r="CE176" s="4" t="str">
        <v>👻</v>
      </c>
      <c r="CF176" s="4" t="str">
        <v>👽</v>
      </c>
      <c r="CG176" s="4" t="str">
        <v>🐽</v>
      </c>
      <c r="CH176" s="4" t="str">
        <v>🎃</v>
      </c>
      <c r="CI176" s="4" t="str">
        <v>💀</v>
      </c>
    </row>
    <row r="177" spans="2:88" ht="23.25" customHeight="1">
      <c r="B177" s="14">
        <v>69</v>
      </c>
      <c r="C177" s="14">
        <v>4</v>
      </c>
      <c r="D177" s="15">
        <v>7</v>
      </c>
      <c r="E177" s="46">
        <f t="shared" si="1"/>
        <v>7</v>
      </c>
      <c r="F177"/>
      <c r="G177" s="76" t="s">
        <v>143</v>
      </c>
      <c r="H177" s="77"/>
      <c r="I177" s="75"/>
      <c r="J177" s="44" t="s">
        <v>137</v>
      </c>
      <c r="K177" s="44" t="s">
        <v>138</v>
      </c>
      <c r="L177" s="44" t="s">
        <v>135</v>
      </c>
      <c r="M177" s="44" t="s">
        <v>138</v>
      </c>
      <c r="N177" s="44" t="s">
        <v>138</v>
      </c>
      <c r="O177" s="44" t="s">
        <v>144</v>
      </c>
      <c r="P177" s="44" t="s">
        <v>135</v>
      </c>
      <c r="Q177" s="44" t="s">
        <v>137</v>
      </c>
      <c r="R177" s="44" t="s">
        <v>141</v>
      </c>
      <c r="S177" s="44" t="s">
        <v>139</v>
      </c>
      <c r="T177" s="44" t="s">
        <v>139</v>
      </c>
      <c r="U177" s="44" t="s">
        <v>138</v>
      </c>
      <c r="V177" s="44" t="s">
        <v>135</v>
      </c>
      <c r="W177" s="44" t="s">
        <v>143</v>
      </c>
      <c r="X177" s="44" t="s">
        <v>136</v>
      </c>
      <c r="Y177" s="44" t="s">
        <v>143</v>
      </c>
      <c r="Z177" s="44" t="s">
        <v>144</v>
      </c>
      <c r="AA177" s="44" t="s">
        <v>144</v>
      </c>
      <c r="AB177" s="44" t="s">
        <v>143</v>
      </c>
      <c r="AC177" s="44" t="s">
        <v>140</v>
      </c>
      <c r="AD177" s="44" t="s">
        <v>141</v>
      </c>
      <c r="AE177" s="44" t="s">
        <v>143</v>
      </c>
      <c r="AF177" s="44" t="s">
        <v>141</v>
      </c>
      <c r="AG177" s="44" t="s">
        <v>136</v>
      </c>
      <c r="AH177" s="44" t="s">
        <v>135</v>
      </c>
      <c r="AI177" s="44" t="s">
        <v>135</v>
      </c>
      <c r="AJ177" s="44" t="s">
        <v>142</v>
      </c>
      <c r="AK177" s="44" t="s">
        <v>135</v>
      </c>
      <c r="AL177" s="44" t="s">
        <v>136</v>
      </c>
      <c r="AM177" s="44" t="s">
        <v>144</v>
      </c>
      <c r="AN177" s="44" t="s">
        <v>142</v>
      </c>
      <c r="AO177" s="44" t="s">
        <v>143</v>
      </c>
      <c r="AP177" s="44" t="s">
        <v>143</v>
      </c>
      <c r="AQ177" s="44" t="s">
        <v>136</v>
      </c>
      <c r="AR177" s="44" t="s">
        <v>141</v>
      </c>
      <c r="AS177" s="44" t="s">
        <v>143</v>
      </c>
      <c r="AT177" s="44" t="s">
        <v>140</v>
      </c>
      <c r="AU177" s="44" t="s">
        <v>135</v>
      </c>
      <c r="AV177" s="44" t="s">
        <v>139</v>
      </c>
      <c r="AW177" s="44" t="s">
        <v>135</v>
      </c>
      <c r="AY177" s="4" t="str" cm="1">
        <f t="array" ref="AY177:CE177">_xlfn._xlws.FILTER(J177:AW177,J177:AW177&lt;&gt;G177)</f>
        <v>👽</v>
      </c>
      <c r="AZ177" s="4" t="str">
        <v>🐙</v>
      </c>
      <c r="BA177" s="4" t="str">
        <v>🐽</v>
      </c>
      <c r="BB177" s="4" t="str">
        <v>🐙</v>
      </c>
      <c r="BC177" s="4" t="str">
        <v>🐙</v>
      </c>
      <c r="BD177" s="4" t="str">
        <v>🐉</v>
      </c>
      <c r="BE177" s="4" t="str">
        <v>🐽</v>
      </c>
      <c r="BF177" s="4" t="str">
        <v>👽</v>
      </c>
      <c r="BG177" s="4" t="str">
        <v>👹</v>
      </c>
      <c r="BH177" s="4" t="str">
        <v>🎃</v>
      </c>
      <c r="BI177" s="4" t="str">
        <v>🎃</v>
      </c>
      <c r="BJ177" s="4" t="str">
        <v>🐙</v>
      </c>
      <c r="BK177" s="4" t="str">
        <v>🐽</v>
      </c>
      <c r="BL177" s="4" t="str">
        <v>🐍</v>
      </c>
      <c r="BM177" s="4" t="str">
        <v>🐉</v>
      </c>
      <c r="BN177" s="4" t="str">
        <v>🐉</v>
      </c>
      <c r="BO177" s="4" t="str">
        <v>👿</v>
      </c>
      <c r="BP177" s="4" t="str">
        <v>👹</v>
      </c>
      <c r="BQ177" s="4" t="str">
        <v>👹</v>
      </c>
      <c r="BR177" s="4" t="str">
        <v>🐍</v>
      </c>
      <c r="BS177" s="4" t="str">
        <v>🐽</v>
      </c>
      <c r="BT177" s="4" t="str">
        <v>🐽</v>
      </c>
      <c r="BU177" s="4" t="str">
        <v>💀</v>
      </c>
      <c r="BV177" s="4" t="str">
        <v>🐽</v>
      </c>
      <c r="BW177" s="4" t="str">
        <v>🐍</v>
      </c>
      <c r="BX177" s="4" t="str">
        <v>🐉</v>
      </c>
      <c r="BY177" s="4" t="str">
        <v>💀</v>
      </c>
      <c r="BZ177" s="4" t="str">
        <v>🐍</v>
      </c>
      <c r="CA177" s="4" t="str">
        <v>👹</v>
      </c>
      <c r="CB177" s="4" t="str">
        <v>👿</v>
      </c>
      <c r="CC177" s="4" t="str">
        <v>🐽</v>
      </c>
      <c r="CD177" s="4" t="str">
        <v>🎃</v>
      </c>
      <c r="CE177" s="4" t="str">
        <v>🐽</v>
      </c>
    </row>
    <row r="178" spans="2:88" ht="23.25" customHeight="1">
      <c r="B178" s="14">
        <v>70</v>
      </c>
      <c r="C178" s="14">
        <v>4</v>
      </c>
      <c r="D178" s="15">
        <v>7</v>
      </c>
      <c r="E178" s="46">
        <f t="shared" si="1"/>
        <v>8</v>
      </c>
      <c r="F178"/>
      <c r="G178" s="76" t="s">
        <v>138</v>
      </c>
      <c r="H178" s="77"/>
      <c r="I178" s="75"/>
      <c r="J178" s="44" t="s">
        <v>140</v>
      </c>
      <c r="K178" s="44" t="s">
        <v>136</v>
      </c>
      <c r="L178" s="44" t="s">
        <v>140</v>
      </c>
      <c r="M178" s="44" t="s">
        <v>136</v>
      </c>
      <c r="N178" s="44" t="s">
        <v>138</v>
      </c>
      <c r="O178" s="44" t="s">
        <v>137</v>
      </c>
      <c r="P178" s="44" t="s">
        <v>143</v>
      </c>
      <c r="Q178" s="44" t="s">
        <v>143</v>
      </c>
      <c r="R178" s="44" t="s">
        <v>138</v>
      </c>
      <c r="S178" s="44" t="s">
        <v>138</v>
      </c>
      <c r="T178" s="44" t="s">
        <v>138</v>
      </c>
      <c r="U178" s="44" t="s">
        <v>142</v>
      </c>
      <c r="V178" s="44" t="s">
        <v>141</v>
      </c>
      <c r="W178" s="44" t="s">
        <v>138</v>
      </c>
      <c r="X178" s="44" t="s">
        <v>135</v>
      </c>
      <c r="Y178" s="44" t="s">
        <v>138</v>
      </c>
      <c r="Z178" s="44" t="s">
        <v>139</v>
      </c>
      <c r="AA178" s="44" t="s">
        <v>135</v>
      </c>
      <c r="AB178" s="44" t="s">
        <v>139</v>
      </c>
      <c r="AC178" s="44" t="s">
        <v>143</v>
      </c>
      <c r="AD178" s="44" t="s">
        <v>139</v>
      </c>
      <c r="AE178" s="44" t="s">
        <v>139</v>
      </c>
      <c r="AF178" s="44" t="s">
        <v>138</v>
      </c>
      <c r="AG178" s="44" t="s">
        <v>143</v>
      </c>
      <c r="AH178" s="44" t="s">
        <v>139</v>
      </c>
      <c r="AI178" s="44" t="s">
        <v>141</v>
      </c>
      <c r="AJ178" s="44" t="s">
        <v>135</v>
      </c>
      <c r="AK178" s="44" t="s">
        <v>143</v>
      </c>
      <c r="AL178" s="44" t="s">
        <v>139</v>
      </c>
      <c r="AM178" s="44" t="s">
        <v>136</v>
      </c>
      <c r="AN178" s="44" t="s">
        <v>141</v>
      </c>
      <c r="AO178" s="44" t="s">
        <v>143</v>
      </c>
      <c r="AP178" s="44" t="s">
        <v>142</v>
      </c>
      <c r="AQ178" s="44" t="s">
        <v>144</v>
      </c>
      <c r="AR178" s="44" t="s">
        <v>135</v>
      </c>
      <c r="AS178" s="44" t="s">
        <v>144</v>
      </c>
      <c r="AT178" s="44" t="s">
        <v>143</v>
      </c>
      <c r="AU178" s="44" t="s">
        <v>135</v>
      </c>
      <c r="AV178" s="44" t="s">
        <v>138</v>
      </c>
      <c r="AW178" s="44" t="s">
        <v>137</v>
      </c>
      <c r="AY178" s="4" t="str" cm="1">
        <f t="array" ref="AY178:CD178">_xlfn._xlws.FILTER(J178:AW178,J178:AW178&lt;&gt;G178)</f>
        <v>👿</v>
      </c>
      <c r="AZ178" s="4" t="str">
        <v>🐍</v>
      </c>
      <c r="BA178" s="4" t="str">
        <v>👿</v>
      </c>
      <c r="BB178" s="4" t="str">
        <v>🐍</v>
      </c>
      <c r="BC178" s="4" t="str">
        <v>👽</v>
      </c>
      <c r="BD178" s="4" t="str">
        <v>👻</v>
      </c>
      <c r="BE178" s="4" t="str">
        <v>👻</v>
      </c>
      <c r="BF178" s="4" t="str">
        <v>💀</v>
      </c>
      <c r="BG178" s="4" t="str">
        <v>👹</v>
      </c>
      <c r="BH178" s="4" t="str">
        <v>🐽</v>
      </c>
      <c r="BI178" s="4" t="str">
        <v>🎃</v>
      </c>
      <c r="BJ178" s="4" t="str">
        <v>🐽</v>
      </c>
      <c r="BK178" s="4" t="str">
        <v>🎃</v>
      </c>
      <c r="BL178" s="4" t="str">
        <v>👻</v>
      </c>
      <c r="BM178" s="4" t="str">
        <v>🎃</v>
      </c>
      <c r="BN178" s="4" t="str">
        <v>🎃</v>
      </c>
      <c r="BO178" s="4" t="str">
        <v>👻</v>
      </c>
      <c r="BP178" s="4" t="str">
        <v>🎃</v>
      </c>
      <c r="BQ178" s="4" t="str">
        <v>👹</v>
      </c>
      <c r="BR178" s="4" t="str">
        <v>🐽</v>
      </c>
      <c r="BS178" s="4" t="str">
        <v>👻</v>
      </c>
      <c r="BT178" s="4" t="str">
        <v>🎃</v>
      </c>
      <c r="BU178" s="4" t="str">
        <v>🐍</v>
      </c>
      <c r="BV178" s="4" t="str">
        <v>👹</v>
      </c>
      <c r="BW178" s="4" t="str">
        <v>👻</v>
      </c>
      <c r="BX178" s="4" t="str">
        <v>💀</v>
      </c>
      <c r="BY178" s="4" t="str">
        <v>🐉</v>
      </c>
      <c r="BZ178" s="4" t="str">
        <v>🐽</v>
      </c>
      <c r="CA178" s="4" t="str">
        <v>🐉</v>
      </c>
      <c r="CB178" s="4" t="str">
        <v>👻</v>
      </c>
      <c r="CC178" s="4" t="str">
        <v>🐽</v>
      </c>
      <c r="CD178" s="4" t="str">
        <v>👽</v>
      </c>
    </row>
    <row r="179" spans="2:88" ht="23.25" customHeight="1">
      <c r="B179" s="14">
        <v>71</v>
      </c>
      <c r="C179" s="14">
        <v>4</v>
      </c>
      <c r="D179" s="15">
        <v>7</v>
      </c>
      <c r="E179" s="46">
        <f t="shared" si="1"/>
        <v>6</v>
      </c>
      <c r="F179"/>
      <c r="G179" s="76" t="s">
        <v>135</v>
      </c>
      <c r="H179" s="77"/>
      <c r="I179" s="75"/>
      <c r="J179" s="44" t="s">
        <v>139</v>
      </c>
      <c r="K179" s="44" t="s">
        <v>143</v>
      </c>
      <c r="L179" s="44" t="s">
        <v>138</v>
      </c>
      <c r="M179" s="44" t="s">
        <v>140</v>
      </c>
      <c r="N179" s="44" t="s">
        <v>137</v>
      </c>
      <c r="O179" s="44" t="s">
        <v>136</v>
      </c>
      <c r="P179" s="44" t="s">
        <v>142</v>
      </c>
      <c r="Q179" s="44" t="s">
        <v>138</v>
      </c>
      <c r="R179" s="44" t="s">
        <v>135</v>
      </c>
      <c r="S179" s="44" t="s">
        <v>138</v>
      </c>
      <c r="T179" s="44" t="s">
        <v>141</v>
      </c>
      <c r="U179" s="44" t="s">
        <v>136</v>
      </c>
      <c r="V179" s="44" t="s">
        <v>143</v>
      </c>
      <c r="W179" s="44" t="s">
        <v>135</v>
      </c>
      <c r="X179" s="44" t="s">
        <v>142</v>
      </c>
      <c r="Y179" s="44" t="s">
        <v>135</v>
      </c>
      <c r="Z179" s="44" t="s">
        <v>141</v>
      </c>
      <c r="AA179" s="44" t="s">
        <v>143</v>
      </c>
      <c r="AB179" s="44" t="s">
        <v>143</v>
      </c>
      <c r="AC179" s="44" t="s">
        <v>138</v>
      </c>
      <c r="AD179" s="44" t="s">
        <v>141</v>
      </c>
      <c r="AE179" s="44" t="s">
        <v>138</v>
      </c>
      <c r="AF179" s="44" t="s">
        <v>139</v>
      </c>
      <c r="AG179" s="44" t="s">
        <v>139</v>
      </c>
      <c r="AH179" s="44" t="s">
        <v>139</v>
      </c>
      <c r="AI179" s="44" t="s">
        <v>139</v>
      </c>
      <c r="AJ179" s="44" t="s">
        <v>141</v>
      </c>
      <c r="AK179" s="44" t="s">
        <v>135</v>
      </c>
      <c r="AL179" s="44" t="s">
        <v>140</v>
      </c>
      <c r="AM179" s="44" t="s">
        <v>135</v>
      </c>
      <c r="AN179" s="44" t="s">
        <v>137</v>
      </c>
      <c r="AO179" s="44" t="s">
        <v>137</v>
      </c>
      <c r="AP179" s="44" t="s">
        <v>136</v>
      </c>
      <c r="AQ179" s="44" t="s">
        <v>144</v>
      </c>
      <c r="AR179" s="44" t="s">
        <v>137</v>
      </c>
      <c r="AS179" s="44" t="s">
        <v>139</v>
      </c>
      <c r="AT179" s="44" t="s">
        <v>143</v>
      </c>
      <c r="AU179" s="44" t="s">
        <v>135</v>
      </c>
      <c r="AV179" s="44" t="s">
        <v>138</v>
      </c>
      <c r="AW179" s="44" t="s">
        <v>140</v>
      </c>
      <c r="AY179" s="4" t="str" cm="1">
        <f t="array" ref="AY179:CF179">_xlfn._xlws.FILTER(J179:AW179,J179:AW179&lt;&gt;G179)</f>
        <v>🎃</v>
      </c>
      <c r="AZ179" s="4" t="str">
        <v>👻</v>
      </c>
      <c r="BA179" s="4" t="str">
        <v>🐙</v>
      </c>
      <c r="BB179" s="4" t="str">
        <v>👿</v>
      </c>
      <c r="BC179" s="4" t="str">
        <v>👽</v>
      </c>
      <c r="BD179" s="4" t="str">
        <v>🐍</v>
      </c>
      <c r="BE179" s="4" t="str">
        <v>💀</v>
      </c>
      <c r="BF179" s="4" t="str">
        <v>🐙</v>
      </c>
      <c r="BG179" s="4" t="str">
        <v>🐙</v>
      </c>
      <c r="BH179" s="4" t="str">
        <v>👹</v>
      </c>
      <c r="BI179" s="4" t="str">
        <v>🐍</v>
      </c>
      <c r="BJ179" s="4" t="str">
        <v>👻</v>
      </c>
      <c r="BK179" s="4" t="str">
        <v>💀</v>
      </c>
      <c r="BL179" s="4" t="str">
        <v>👹</v>
      </c>
      <c r="BM179" s="4" t="str">
        <v>👻</v>
      </c>
      <c r="BN179" s="4" t="str">
        <v>👻</v>
      </c>
      <c r="BO179" s="4" t="str">
        <v>🐙</v>
      </c>
      <c r="BP179" s="4" t="str">
        <v>👹</v>
      </c>
      <c r="BQ179" s="4" t="str">
        <v>🐙</v>
      </c>
      <c r="BR179" s="4" t="str">
        <v>🎃</v>
      </c>
      <c r="BS179" s="4" t="str">
        <v>🎃</v>
      </c>
      <c r="BT179" s="4" t="str">
        <v>🎃</v>
      </c>
      <c r="BU179" s="4" t="str">
        <v>🎃</v>
      </c>
      <c r="BV179" s="4" t="str">
        <v>👹</v>
      </c>
      <c r="BW179" s="4" t="str">
        <v>👿</v>
      </c>
      <c r="BX179" s="4" t="str">
        <v>👽</v>
      </c>
      <c r="BY179" s="4" t="str">
        <v>👽</v>
      </c>
      <c r="BZ179" s="4" t="str">
        <v>🐍</v>
      </c>
      <c r="CA179" s="4" t="str">
        <v>🐉</v>
      </c>
      <c r="CB179" s="4" t="str">
        <v>👽</v>
      </c>
      <c r="CC179" s="4" t="str">
        <v>🎃</v>
      </c>
      <c r="CD179" s="4" t="str">
        <v>👻</v>
      </c>
      <c r="CE179" s="4" t="str">
        <v>🐙</v>
      </c>
      <c r="CF179" s="4" t="str">
        <v>👿</v>
      </c>
    </row>
    <row r="180" spans="2:88" ht="23.25" customHeight="1">
      <c r="B180" s="14">
        <v>72</v>
      </c>
      <c r="C180" s="14">
        <v>4</v>
      </c>
      <c r="D180" s="15">
        <v>7</v>
      </c>
      <c r="E180" s="46">
        <f t="shared" si="1"/>
        <v>9</v>
      </c>
      <c r="F180"/>
      <c r="G180" s="76" t="s">
        <v>139</v>
      </c>
      <c r="H180" s="77"/>
      <c r="I180" s="75"/>
      <c r="J180" s="44" t="s">
        <v>140</v>
      </c>
      <c r="K180" s="44" t="s">
        <v>143</v>
      </c>
      <c r="L180" s="44" t="s">
        <v>138</v>
      </c>
      <c r="M180" s="44" t="s">
        <v>143</v>
      </c>
      <c r="N180" s="44" t="s">
        <v>143</v>
      </c>
      <c r="O180" s="44" t="s">
        <v>137</v>
      </c>
      <c r="P180" s="44" t="s">
        <v>139</v>
      </c>
      <c r="Q180" s="44" t="s">
        <v>140</v>
      </c>
      <c r="R180" s="44" t="s">
        <v>135</v>
      </c>
      <c r="S180" s="44" t="s">
        <v>138</v>
      </c>
      <c r="T180" s="44" t="s">
        <v>144</v>
      </c>
      <c r="U180" s="44" t="s">
        <v>144</v>
      </c>
      <c r="V180" s="44" t="s">
        <v>136</v>
      </c>
      <c r="W180" s="44" t="s">
        <v>139</v>
      </c>
      <c r="X180" s="44" t="s">
        <v>143</v>
      </c>
      <c r="Y180" s="44" t="s">
        <v>139</v>
      </c>
      <c r="Z180" s="44" t="s">
        <v>143</v>
      </c>
      <c r="AA180" s="44" t="s">
        <v>137</v>
      </c>
      <c r="AB180" s="44" t="s">
        <v>137</v>
      </c>
      <c r="AC180" s="44" t="s">
        <v>142</v>
      </c>
      <c r="AD180" s="44" t="s">
        <v>139</v>
      </c>
      <c r="AE180" s="44" t="s">
        <v>136</v>
      </c>
      <c r="AF180" s="44" t="s">
        <v>142</v>
      </c>
      <c r="AG180" s="44" t="s">
        <v>141</v>
      </c>
      <c r="AH180" s="44" t="s">
        <v>142</v>
      </c>
      <c r="AI180" s="44" t="s">
        <v>141</v>
      </c>
      <c r="AJ180" s="44" t="s">
        <v>137</v>
      </c>
      <c r="AK180" s="44" t="s">
        <v>142</v>
      </c>
      <c r="AL180" s="44" t="s">
        <v>138</v>
      </c>
      <c r="AM180" s="44" t="s">
        <v>141</v>
      </c>
      <c r="AN180" s="44" t="s">
        <v>139</v>
      </c>
      <c r="AO180" s="44" t="s">
        <v>143</v>
      </c>
      <c r="AP180" s="44" t="s">
        <v>140</v>
      </c>
      <c r="AQ180" s="44" t="s">
        <v>139</v>
      </c>
      <c r="AR180" s="44" t="s">
        <v>136</v>
      </c>
      <c r="AS180" s="44" t="s">
        <v>139</v>
      </c>
      <c r="AT180" s="44" t="s">
        <v>139</v>
      </c>
      <c r="AU180" s="44" t="s">
        <v>139</v>
      </c>
      <c r="AV180" s="44" t="s">
        <v>137</v>
      </c>
      <c r="AW180" s="44" t="s">
        <v>136</v>
      </c>
      <c r="AY180" s="4" t="str" cm="1">
        <f t="array" ref="AY180:CC180">_xlfn._xlws.FILTER(J180:AW180,J180:AW180&lt;&gt;G180)</f>
        <v>👿</v>
      </c>
      <c r="AZ180" s="4" t="str">
        <v>👻</v>
      </c>
      <c r="BA180" s="4" t="str">
        <v>🐙</v>
      </c>
      <c r="BB180" s="4" t="str">
        <v>👻</v>
      </c>
      <c r="BC180" s="4" t="str">
        <v>👻</v>
      </c>
      <c r="BD180" s="4" t="str">
        <v>👽</v>
      </c>
      <c r="BE180" s="4" t="str">
        <v>👿</v>
      </c>
      <c r="BF180" s="4" t="str">
        <v>🐽</v>
      </c>
      <c r="BG180" s="4" t="str">
        <v>🐙</v>
      </c>
      <c r="BH180" s="4" t="str">
        <v>🐉</v>
      </c>
      <c r="BI180" s="4" t="str">
        <v>🐉</v>
      </c>
      <c r="BJ180" s="4" t="str">
        <v>🐍</v>
      </c>
      <c r="BK180" s="4" t="str">
        <v>👻</v>
      </c>
      <c r="BL180" s="4" t="str">
        <v>👻</v>
      </c>
      <c r="BM180" s="4" t="str">
        <v>👽</v>
      </c>
      <c r="BN180" s="4" t="str">
        <v>👽</v>
      </c>
      <c r="BO180" s="4" t="str">
        <v>💀</v>
      </c>
      <c r="BP180" s="4" t="str">
        <v>🐍</v>
      </c>
      <c r="BQ180" s="4" t="str">
        <v>💀</v>
      </c>
      <c r="BR180" s="4" t="str">
        <v>👹</v>
      </c>
      <c r="BS180" s="4" t="str">
        <v>💀</v>
      </c>
      <c r="BT180" s="4" t="str">
        <v>👹</v>
      </c>
      <c r="BU180" s="4" t="str">
        <v>👽</v>
      </c>
      <c r="BV180" s="4" t="str">
        <v>💀</v>
      </c>
      <c r="BW180" s="4" t="str">
        <v>🐙</v>
      </c>
      <c r="BX180" s="4" t="str">
        <v>👹</v>
      </c>
      <c r="BY180" s="4" t="str">
        <v>👻</v>
      </c>
      <c r="BZ180" s="4" t="str">
        <v>👿</v>
      </c>
      <c r="CA180" s="4" t="str">
        <v>🐍</v>
      </c>
      <c r="CB180" s="4" t="str">
        <v>👽</v>
      </c>
      <c r="CC180" s="4" t="str">
        <v>🐍</v>
      </c>
    </row>
    <row r="181" spans="2:88" ht="23.25" customHeight="1">
      <c r="B181" s="14">
        <v>73</v>
      </c>
      <c r="C181" s="14">
        <v>4</v>
      </c>
      <c r="D181" s="15">
        <v>7</v>
      </c>
      <c r="E181" s="46">
        <f t="shared" si="1"/>
        <v>6</v>
      </c>
      <c r="F181"/>
      <c r="G181" s="76" t="s">
        <v>144</v>
      </c>
      <c r="H181" s="77"/>
      <c r="I181" s="75"/>
      <c r="J181" s="44" t="s">
        <v>142</v>
      </c>
      <c r="K181" s="44" t="s">
        <v>135</v>
      </c>
      <c r="L181" s="44" t="s">
        <v>136</v>
      </c>
      <c r="M181" s="44" t="s">
        <v>138</v>
      </c>
      <c r="N181" s="44" t="s">
        <v>137</v>
      </c>
      <c r="O181" s="44" t="s">
        <v>139</v>
      </c>
      <c r="P181" s="44" t="s">
        <v>135</v>
      </c>
      <c r="Q181" s="44" t="s">
        <v>136</v>
      </c>
      <c r="R181" s="44" t="s">
        <v>144</v>
      </c>
      <c r="S181" s="44" t="s">
        <v>136</v>
      </c>
      <c r="T181" s="44" t="s">
        <v>144</v>
      </c>
      <c r="U181" s="44" t="s">
        <v>139</v>
      </c>
      <c r="V181" s="44" t="s">
        <v>139</v>
      </c>
      <c r="W181" s="44" t="s">
        <v>136</v>
      </c>
      <c r="X181" s="44" t="s">
        <v>143</v>
      </c>
      <c r="Y181" s="44" t="s">
        <v>144</v>
      </c>
      <c r="Z181" s="44" t="s">
        <v>139</v>
      </c>
      <c r="AA181" s="44" t="s">
        <v>139</v>
      </c>
      <c r="AB181" s="44" t="s">
        <v>137</v>
      </c>
      <c r="AC181" s="44" t="s">
        <v>136</v>
      </c>
      <c r="AD181" s="44" t="s">
        <v>141</v>
      </c>
      <c r="AE181" s="44" t="s">
        <v>139</v>
      </c>
      <c r="AF181" s="44" t="s">
        <v>144</v>
      </c>
      <c r="AG181" s="44" t="s">
        <v>136</v>
      </c>
      <c r="AH181" s="44" t="s">
        <v>140</v>
      </c>
      <c r="AI181" s="44" t="s">
        <v>143</v>
      </c>
      <c r="AJ181" s="44" t="s">
        <v>143</v>
      </c>
      <c r="AK181" s="44" t="s">
        <v>136</v>
      </c>
      <c r="AL181" s="44" t="s">
        <v>141</v>
      </c>
      <c r="AM181" s="44" t="s">
        <v>136</v>
      </c>
      <c r="AN181" s="44" t="s">
        <v>144</v>
      </c>
      <c r="AO181" s="44" t="s">
        <v>144</v>
      </c>
      <c r="AP181" s="44" t="s">
        <v>136</v>
      </c>
      <c r="AQ181" s="44" t="s">
        <v>141</v>
      </c>
      <c r="AR181" s="44" t="s">
        <v>137</v>
      </c>
      <c r="AS181" s="44" t="s">
        <v>135</v>
      </c>
      <c r="AT181" s="44" t="s">
        <v>142</v>
      </c>
      <c r="AU181" s="44" t="s">
        <v>141</v>
      </c>
      <c r="AV181" s="44" t="s">
        <v>141</v>
      </c>
      <c r="AW181" s="44" t="s">
        <v>142</v>
      </c>
      <c r="AY181" s="4" t="str" cm="1">
        <f t="array" ref="AY181:CF181">_xlfn._xlws.FILTER(J181:AW181,J181:AW181&lt;&gt;G181)</f>
        <v>💀</v>
      </c>
      <c r="AZ181" s="4" t="str">
        <v>🐽</v>
      </c>
      <c r="BA181" s="4" t="str">
        <v>🐍</v>
      </c>
      <c r="BB181" s="4" t="str">
        <v>🐙</v>
      </c>
      <c r="BC181" s="4" t="str">
        <v>👽</v>
      </c>
      <c r="BD181" s="4" t="str">
        <v>🎃</v>
      </c>
      <c r="BE181" s="4" t="str">
        <v>🐽</v>
      </c>
      <c r="BF181" s="4" t="str">
        <v>🐍</v>
      </c>
      <c r="BG181" s="4" t="str">
        <v>🐍</v>
      </c>
      <c r="BH181" s="4" t="str">
        <v>🎃</v>
      </c>
      <c r="BI181" s="4" t="str">
        <v>🎃</v>
      </c>
      <c r="BJ181" s="4" t="str">
        <v>🐍</v>
      </c>
      <c r="BK181" s="4" t="str">
        <v>👻</v>
      </c>
      <c r="BL181" s="4" t="str">
        <v>🎃</v>
      </c>
      <c r="BM181" s="4" t="str">
        <v>🎃</v>
      </c>
      <c r="BN181" s="4" t="str">
        <v>👽</v>
      </c>
      <c r="BO181" s="4" t="str">
        <v>🐍</v>
      </c>
      <c r="BP181" s="4" t="str">
        <v>👹</v>
      </c>
      <c r="BQ181" s="4" t="str">
        <v>🎃</v>
      </c>
      <c r="BR181" s="4" t="str">
        <v>🐍</v>
      </c>
      <c r="BS181" s="4" t="str">
        <v>👿</v>
      </c>
      <c r="BT181" s="4" t="str">
        <v>👻</v>
      </c>
      <c r="BU181" s="4" t="str">
        <v>👻</v>
      </c>
      <c r="BV181" s="4" t="str">
        <v>🐍</v>
      </c>
      <c r="BW181" s="4" t="str">
        <v>👹</v>
      </c>
      <c r="BX181" s="4" t="str">
        <v>🐍</v>
      </c>
      <c r="BY181" s="4" t="str">
        <v>🐍</v>
      </c>
      <c r="BZ181" s="4" t="str">
        <v>👹</v>
      </c>
      <c r="CA181" s="4" t="str">
        <v>👽</v>
      </c>
      <c r="CB181" s="4" t="str">
        <v>🐽</v>
      </c>
      <c r="CC181" s="4" t="str">
        <v>💀</v>
      </c>
      <c r="CD181" s="4" t="str">
        <v>👹</v>
      </c>
      <c r="CE181" s="4" t="str">
        <v>👹</v>
      </c>
      <c r="CF181" s="4" t="str">
        <v>💀</v>
      </c>
    </row>
    <row r="182" spans="2:88" ht="23.25" customHeight="1">
      <c r="B182" s="14">
        <v>74</v>
      </c>
      <c r="C182" s="14">
        <v>4</v>
      </c>
      <c r="D182" s="15">
        <v>7</v>
      </c>
      <c r="E182" s="46">
        <f t="shared" si="1"/>
        <v>4</v>
      </c>
      <c r="F182"/>
      <c r="G182" s="76" t="s">
        <v>138</v>
      </c>
      <c r="H182" s="77"/>
      <c r="I182" s="75"/>
      <c r="J182" s="44" t="s">
        <v>137</v>
      </c>
      <c r="K182" s="44" t="s">
        <v>142</v>
      </c>
      <c r="L182" s="44" t="s">
        <v>139</v>
      </c>
      <c r="M182" s="44" t="s">
        <v>137</v>
      </c>
      <c r="N182" s="44" t="s">
        <v>142</v>
      </c>
      <c r="O182" s="44" t="s">
        <v>142</v>
      </c>
      <c r="P182" s="44" t="s">
        <v>136</v>
      </c>
      <c r="Q182" s="44" t="s">
        <v>136</v>
      </c>
      <c r="R182" s="44" t="s">
        <v>141</v>
      </c>
      <c r="S182" s="44" t="s">
        <v>143</v>
      </c>
      <c r="T182" s="44" t="s">
        <v>137</v>
      </c>
      <c r="U182" s="44" t="s">
        <v>142</v>
      </c>
      <c r="V182" s="44" t="s">
        <v>139</v>
      </c>
      <c r="W182" s="44" t="s">
        <v>138</v>
      </c>
      <c r="X182" s="44" t="s">
        <v>141</v>
      </c>
      <c r="Y182" s="44" t="s">
        <v>138</v>
      </c>
      <c r="Z182" s="44" t="s">
        <v>140</v>
      </c>
      <c r="AA182" s="44" t="s">
        <v>144</v>
      </c>
      <c r="AB182" s="44" t="s">
        <v>144</v>
      </c>
      <c r="AC182" s="44" t="s">
        <v>137</v>
      </c>
      <c r="AD182" s="44" t="s">
        <v>141</v>
      </c>
      <c r="AE182" s="44" t="s">
        <v>137</v>
      </c>
      <c r="AF182" s="44" t="s">
        <v>138</v>
      </c>
      <c r="AG182" s="44" t="s">
        <v>141</v>
      </c>
      <c r="AH182" s="44" t="s">
        <v>144</v>
      </c>
      <c r="AI182" s="44" t="s">
        <v>144</v>
      </c>
      <c r="AJ182" s="44" t="s">
        <v>137</v>
      </c>
      <c r="AK182" s="44" t="s">
        <v>144</v>
      </c>
      <c r="AL182" s="44" t="s">
        <v>136</v>
      </c>
      <c r="AM182" s="44" t="s">
        <v>137</v>
      </c>
      <c r="AN182" s="44" t="s">
        <v>140</v>
      </c>
      <c r="AO182" s="44" t="s">
        <v>137</v>
      </c>
      <c r="AP182" s="44" t="s">
        <v>137</v>
      </c>
      <c r="AQ182" s="44" t="s">
        <v>135</v>
      </c>
      <c r="AR182" s="44" t="s">
        <v>139</v>
      </c>
      <c r="AS182" s="44" t="s">
        <v>135</v>
      </c>
      <c r="AT182" s="44" t="s">
        <v>138</v>
      </c>
      <c r="AU182" s="44" t="s">
        <v>144</v>
      </c>
      <c r="AV182" s="44" t="s">
        <v>143</v>
      </c>
      <c r="AW182" s="44" t="s">
        <v>139</v>
      </c>
      <c r="AY182" s="4" t="str" cm="1">
        <f t="array" ref="AY182:CH182">_xlfn._xlws.FILTER(J182:AW182,J182:AW182&lt;&gt;G182)</f>
        <v>👽</v>
      </c>
      <c r="AZ182" s="4" t="str">
        <v>💀</v>
      </c>
      <c r="BA182" s="4" t="str">
        <v>🎃</v>
      </c>
      <c r="BB182" s="4" t="str">
        <v>👽</v>
      </c>
      <c r="BC182" s="4" t="str">
        <v>💀</v>
      </c>
      <c r="BD182" s="4" t="str">
        <v>💀</v>
      </c>
      <c r="BE182" s="4" t="str">
        <v>🐍</v>
      </c>
      <c r="BF182" s="4" t="str">
        <v>🐍</v>
      </c>
      <c r="BG182" s="4" t="str">
        <v>👹</v>
      </c>
      <c r="BH182" s="4" t="str">
        <v>👻</v>
      </c>
      <c r="BI182" s="4" t="str">
        <v>👽</v>
      </c>
      <c r="BJ182" s="4" t="str">
        <v>💀</v>
      </c>
      <c r="BK182" s="4" t="str">
        <v>🎃</v>
      </c>
      <c r="BL182" s="4" t="str">
        <v>👹</v>
      </c>
      <c r="BM182" s="4" t="str">
        <v>👿</v>
      </c>
      <c r="BN182" s="4" t="str">
        <v>🐉</v>
      </c>
      <c r="BO182" s="4" t="str">
        <v>🐉</v>
      </c>
      <c r="BP182" s="4" t="str">
        <v>👽</v>
      </c>
      <c r="BQ182" s="4" t="str">
        <v>👹</v>
      </c>
      <c r="BR182" s="4" t="str">
        <v>👽</v>
      </c>
      <c r="BS182" s="4" t="str">
        <v>👹</v>
      </c>
      <c r="BT182" s="4" t="str">
        <v>🐉</v>
      </c>
      <c r="BU182" s="4" t="str">
        <v>🐉</v>
      </c>
      <c r="BV182" s="4" t="str">
        <v>👽</v>
      </c>
      <c r="BW182" s="4" t="str">
        <v>🐉</v>
      </c>
      <c r="BX182" s="4" t="str">
        <v>🐍</v>
      </c>
      <c r="BY182" s="4" t="str">
        <v>👽</v>
      </c>
      <c r="BZ182" s="4" t="str">
        <v>👿</v>
      </c>
      <c r="CA182" s="4" t="str">
        <v>👽</v>
      </c>
      <c r="CB182" s="4" t="str">
        <v>👽</v>
      </c>
      <c r="CC182" s="4" t="str">
        <v>🐽</v>
      </c>
      <c r="CD182" s="4" t="str">
        <v>🎃</v>
      </c>
      <c r="CE182" s="4" t="str">
        <v>🐽</v>
      </c>
      <c r="CF182" s="4" t="str">
        <v>🐉</v>
      </c>
      <c r="CG182" s="4" t="str">
        <v>👻</v>
      </c>
      <c r="CH182" s="4" t="str">
        <v>🎃</v>
      </c>
    </row>
    <row r="183" spans="2:88" ht="23.25" customHeight="1">
      <c r="B183" s="14">
        <v>75</v>
      </c>
      <c r="C183" s="14">
        <v>4</v>
      </c>
      <c r="D183" s="15">
        <v>7</v>
      </c>
      <c r="E183" s="46">
        <f t="shared" si="1"/>
        <v>5</v>
      </c>
      <c r="F183"/>
      <c r="G183" s="76" t="s">
        <v>135</v>
      </c>
      <c r="H183" s="77"/>
      <c r="I183" s="75"/>
      <c r="J183" s="44" t="s">
        <v>140</v>
      </c>
      <c r="K183" s="44" t="s">
        <v>143</v>
      </c>
      <c r="L183" s="44" t="s">
        <v>141</v>
      </c>
      <c r="M183" s="44" t="s">
        <v>143</v>
      </c>
      <c r="N183" s="44" t="s">
        <v>143</v>
      </c>
      <c r="O183" s="44" t="s">
        <v>135</v>
      </c>
      <c r="P183" s="44" t="s">
        <v>136</v>
      </c>
      <c r="Q183" s="44" t="s">
        <v>140</v>
      </c>
      <c r="R183" s="44" t="s">
        <v>143</v>
      </c>
      <c r="S183" s="44" t="s">
        <v>136</v>
      </c>
      <c r="T183" s="44" t="s">
        <v>140</v>
      </c>
      <c r="U183" s="44" t="s">
        <v>135</v>
      </c>
      <c r="V183" s="44" t="s">
        <v>140</v>
      </c>
      <c r="W183" s="44" t="s">
        <v>140</v>
      </c>
      <c r="X183" s="44" t="s">
        <v>136</v>
      </c>
      <c r="Y183" s="44" t="s">
        <v>138</v>
      </c>
      <c r="Z183" s="44" t="s">
        <v>142</v>
      </c>
      <c r="AA183" s="44" t="s">
        <v>140</v>
      </c>
      <c r="AB183" s="44" t="s">
        <v>139</v>
      </c>
      <c r="AC183" s="44" t="s">
        <v>142</v>
      </c>
      <c r="AD183" s="44" t="s">
        <v>140</v>
      </c>
      <c r="AE183" s="44" t="s">
        <v>137</v>
      </c>
      <c r="AF183" s="44" t="s">
        <v>138</v>
      </c>
      <c r="AG183" s="44" t="s">
        <v>141</v>
      </c>
      <c r="AH183" s="44" t="s">
        <v>138</v>
      </c>
      <c r="AI183" s="44" t="s">
        <v>138</v>
      </c>
      <c r="AJ183" s="44" t="s">
        <v>140</v>
      </c>
      <c r="AK183" s="44" t="s">
        <v>139</v>
      </c>
      <c r="AL183" s="44" t="s">
        <v>142</v>
      </c>
      <c r="AM183" s="44" t="s">
        <v>139</v>
      </c>
      <c r="AN183" s="44" t="s">
        <v>138</v>
      </c>
      <c r="AO183" s="44" t="s">
        <v>143</v>
      </c>
      <c r="AP183" s="44" t="s">
        <v>141</v>
      </c>
      <c r="AQ183" s="44" t="s">
        <v>135</v>
      </c>
      <c r="AR183" s="44" t="s">
        <v>142</v>
      </c>
      <c r="AS183" s="44" t="s">
        <v>138</v>
      </c>
      <c r="AT183" s="44" t="s">
        <v>140</v>
      </c>
      <c r="AU183" s="44" t="s">
        <v>135</v>
      </c>
      <c r="AV183" s="44" t="s">
        <v>135</v>
      </c>
      <c r="AW183" s="44" t="s">
        <v>144</v>
      </c>
      <c r="AY183" s="4" t="str" cm="1">
        <f t="array" ref="AY183:CG183">_xlfn._xlws.FILTER(J183:AW183,J183:AW183&lt;&gt;G183)</f>
        <v>👿</v>
      </c>
      <c r="AZ183" s="4" t="str">
        <v>👻</v>
      </c>
      <c r="BA183" s="4" t="str">
        <v>👹</v>
      </c>
      <c r="BB183" s="4" t="str">
        <v>👻</v>
      </c>
      <c r="BC183" s="4" t="str">
        <v>👻</v>
      </c>
      <c r="BD183" s="4" t="str">
        <v>🐍</v>
      </c>
      <c r="BE183" s="4" t="str">
        <v>👿</v>
      </c>
      <c r="BF183" s="4" t="str">
        <v>👻</v>
      </c>
      <c r="BG183" s="4" t="str">
        <v>🐍</v>
      </c>
      <c r="BH183" s="4" t="str">
        <v>👿</v>
      </c>
      <c r="BI183" s="4" t="str">
        <v>👿</v>
      </c>
      <c r="BJ183" s="4" t="str">
        <v>👿</v>
      </c>
      <c r="BK183" s="4" t="str">
        <v>🐍</v>
      </c>
      <c r="BL183" s="4" t="str">
        <v>🐙</v>
      </c>
      <c r="BM183" s="4" t="str">
        <v>💀</v>
      </c>
      <c r="BN183" s="4" t="str">
        <v>👿</v>
      </c>
      <c r="BO183" s="4" t="str">
        <v>🎃</v>
      </c>
      <c r="BP183" s="4" t="str">
        <v>💀</v>
      </c>
      <c r="BQ183" s="4" t="str">
        <v>👿</v>
      </c>
      <c r="BR183" s="4" t="str">
        <v>👽</v>
      </c>
      <c r="BS183" s="4" t="str">
        <v>🐙</v>
      </c>
      <c r="BT183" s="4" t="str">
        <v>👹</v>
      </c>
      <c r="BU183" s="4" t="str">
        <v>🐙</v>
      </c>
      <c r="BV183" s="4" t="str">
        <v>🐙</v>
      </c>
      <c r="BW183" s="4" t="str">
        <v>👿</v>
      </c>
      <c r="BX183" s="4" t="str">
        <v>🎃</v>
      </c>
      <c r="BY183" s="4" t="str">
        <v>💀</v>
      </c>
      <c r="BZ183" s="4" t="str">
        <v>🎃</v>
      </c>
      <c r="CA183" s="4" t="str">
        <v>🐙</v>
      </c>
      <c r="CB183" s="4" t="str">
        <v>👻</v>
      </c>
      <c r="CC183" s="4" t="str">
        <v>👹</v>
      </c>
      <c r="CD183" s="4" t="str">
        <v>💀</v>
      </c>
      <c r="CE183" s="4" t="str">
        <v>🐙</v>
      </c>
      <c r="CF183" s="4" t="str">
        <v>👿</v>
      </c>
      <c r="CG183" s="4" t="str">
        <v>🐉</v>
      </c>
    </row>
    <row r="184" spans="2:88" ht="23.25" customHeight="1">
      <c r="B184" s="14">
        <v>76</v>
      </c>
      <c r="C184" s="14">
        <v>4</v>
      </c>
      <c r="D184" s="15">
        <v>7</v>
      </c>
      <c r="E184" s="46">
        <f t="shared" si="1"/>
        <v>4</v>
      </c>
      <c r="F184"/>
      <c r="G184" s="76" t="s">
        <v>136</v>
      </c>
      <c r="H184" s="77"/>
      <c r="I184" s="75"/>
      <c r="J184" s="44" t="s">
        <v>143</v>
      </c>
      <c r="K184" s="44" t="s">
        <v>141</v>
      </c>
      <c r="L184" s="44" t="s">
        <v>135</v>
      </c>
      <c r="M184" s="44" t="s">
        <v>144</v>
      </c>
      <c r="N184" s="44" t="s">
        <v>141</v>
      </c>
      <c r="O184" s="44" t="s">
        <v>139</v>
      </c>
      <c r="P184" s="44" t="s">
        <v>136</v>
      </c>
      <c r="Q184" s="44" t="s">
        <v>135</v>
      </c>
      <c r="R184" s="44" t="s">
        <v>137</v>
      </c>
      <c r="S184" s="44" t="s">
        <v>143</v>
      </c>
      <c r="T184" s="44" t="s">
        <v>144</v>
      </c>
      <c r="U184" s="44" t="s">
        <v>143</v>
      </c>
      <c r="V184" s="44" t="s">
        <v>135</v>
      </c>
      <c r="W184" s="44" t="s">
        <v>139</v>
      </c>
      <c r="X184" s="44" t="s">
        <v>136</v>
      </c>
      <c r="Y184" s="44" t="s">
        <v>139</v>
      </c>
      <c r="Z184" s="44" t="s">
        <v>138</v>
      </c>
      <c r="AA184" s="44" t="s">
        <v>139</v>
      </c>
      <c r="AB184" s="44" t="s">
        <v>143</v>
      </c>
      <c r="AC184" s="44" t="s">
        <v>141</v>
      </c>
      <c r="AD184" s="44" t="s">
        <v>137</v>
      </c>
      <c r="AE184" s="44" t="s">
        <v>142</v>
      </c>
      <c r="AF184" s="44" t="s">
        <v>143</v>
      </c>
      <c r="AG184" s="44" t="s">
        <v>141</v>
      </c>
      <c r="AH184" s="44" t="s">
        <v>142</v>
      </c>
      <c r="AI184" s="44" t="s">
        <v>138</v>
      </c>
      <c r="AJ184" s="44" t="s">
        <v>139</v>
      </c>
      <c r="AK184" s="44" t="s">
        <v>135</v>
      </c>
      <c r="AL184" s="44" t="s">
        <v>142</v>
      </c>
      <c r="AM184" s="44" t="s">
        <v>135</v>
      </c>
      <c r="AN184" s="44" t="s">
        <v>136</v>
      </c>
      <c r="AO184" s="44" t="s">
        <v>138</v>
      </c>
      <c r="AP184" s="44" t="s">
        <v>137</v>
      </c>
      <c r="AQ184" s="44" t="s">
        <v>135</v>
      </c>
      <c r="AR184" s="44" t="s">
        <v>143</v>
      </c>
      <c r="AS184" s="44" t="s">
        <v>138</v>
      </c>
      <c r="AT184" s="44" t="s">
        <v>138</v>
      </c>
      <c r="AU184" s="44" t="s">
        <v>143</v>
      </c>
      <c r="AV184" s="44" t="s">
        <v>136</v>
      </c>
      <c r="AW184" s="44" t="s">
        <v>141</v>
      </c>
      <c r="AY184" s="4" t="str" cm="1">
        <f t="array" ref="AY184:CH184">_xlfn._xlws.FILTER(J184:AW184,J184:AW184&lt;&gt;G184)</f>
        <v>👻</v>
      </c>
      <c r="AZ184" s="4" t="str">
        <v>👹</v>
      </c>
      <c r="BA184" s="4" t="str">
        <v>🐽</v>
      </c>
      <c r="BB184" s="4" t="str">
        <v>🐉</v>
      </c>
      <c r="BC184" s="4" t="str">
        <v>👹</v>
      </c>
      <c r="BD184" s="4" t="str">
        <v>🎃</v>
      </c>
      <c r="BE184" s="4" t="str">
        <v>🐽</v>
      </c>
      <c r="BF184" s="4" t="str">
        <v>👽</v>
      </c>
      <c r="BG184" s="4" t="str">
        <v>👻</v>
      </c>
      <c r="BH184" s="4" t="str">
        <v>🐉</v>
      </c>
      <c r="BI184" s="4" t="str">
        <v>👻</v>
      </c>
      <c r="BJ184" s="4" t="str">
        <v>🐽</v>
      </c>
      <c r="BK184" s="4" t="str">
        <v>🎃</v>
      </c>
      <c r="BL184" s="4" t="str">
        <v>🎃</v>
      </c>
      <c r="BM184" s="4" t="str">
        <v>🐙</v>
      </c>
      <c r="BN184" s="4" t="str">
        <v>🎃</v>
      </c>
      <c r="BO184" s="4" t="str">
        <v>👻</v>
      </c>
      <c r="BP184" s="4" t="str">
        <v>👹</v>
      </c>
      <c r="BQ184" s="4" t="str">
        <v>👽</v>
      </c>
      <c r="BR184" s="4" t="str">
        <v>💀</v>
      </c>
      <c r="BS184" s="4" t="str">
        <v>👻</v>
      </c>
      <c r="BT184" s="4" t="str">
        <v>👹</v>
      </c>
      <c r="BU184" s="4" t="str">
        <v>💀</v>
      </c>
      <c r="BV184" s="4" t="str">
        <v>🐙</v>
      </c>
      <c r="BW184" s="4" t="str">
        <v>🎃</v>
      </c>
      <c r="BX184" s="4" t="str">
        <v>🐽</v>
      </c>
      <c r="BY184" s="4" t="str">
        <v>💀</v>
      </c>
      <c r="BZ184" s="4" t="str">
        <v>🐽</v>
      </c>
      <c r="CA184" s="4" t="str">
        <v>🐙</v>
      </c>
      <c r="CB184" s="4" t="str">
        <v>👽</v>
      </c>
      <c r="CC184" s="4" t="str">
        <v>🐽</v>
      </c>
      <c r="CD184" s="4" t="str">
        <v>👻</v>
      </c>
      <c r="CE184" s="4" t="str">
        <v>🐙</v>
      </c>
      <c r="CF184" s="4" t="str">
        <v>🐙</v>
      </c>
      <c r="CG184" s="4" t="str">
        <v>👻</v>
      </c>
      <c r="CH184" s="4" t="str">
        <v>👹</v>
      </c>
    </row>
    <row r="185" spans="2:88" ht="23.25" customHeight="1">
      <c r="B185" s="14">
        <v>77</v>
      </c>
      <c r="C185" s="14">
        <v>4</v>
      </c>
      <c r="D185" s="15">
        <v>7</v>
      </c>
      <c r="E185" s="46">
        <f t="shared" si="1"/>
        <v>2</v>
      </c>
      <c r="F185"/>
      <c r="G185" s="76" t="s">
        <v>137</v>
      </c>
      <c r="H185" s="77"/>
      <c r="I185" s="75"/>
      <c r="J185" s="44" t="s">
        <v>140</v>
      </c>
      <c r="K185" s="44" t="s">
        <v>136</v>
      </c>
      <c r="L185" s="44" t="s">
        <v>141</v>
      </c>
      <c r="M185" s="44" t="s">
        <v>138</v>
      </c>
      <c r="N185" s="44" t="s">
        <v>143</v>
      </c>
      <c r="O185" s="44" t="s">
        <v>141</v>
      </c>
      <c r="P185" s="44" t="s">
        <v>140</v>
      </c>
      <c r="Q185" s="44" t="s">
        <v>143</v>
      </c>
      <c r="R185" s="44" t="s">
        <v>144</v>
      </c>
      <c r="S185" s="44" t="s">
        <v>136</v>
      </c>
      <c r="T185" s="44" t="s">
        <v>143</v>
      </c>
      <c r="U185" s="44" t="s">
        <v>144</v>
      </c>
      <c r="V185" s="44" t="s">
        <v>142</v>
      </c>
      <c r="W185" s="44" t="s">
        <v>142</v>
      </c>
      <c r="X185" s="44" t="s">
        <v>143</v>
      </c>
      <c r="Y185" s="44" t="s">
        <v>135</v>
      </c>
      <c r="Z185" s="44" t="s">
        <v>135</v>
      </c>
      <c r="AA185" s="44" t="s">
        <v>139</v>
      </c>
      <c r="AB185" s="44" t="s">
        <v>140</v>
      </c>
      <c r="AC185" s="44" t="s">
        <v>144</v>
      </c>
      <c r="AD185" s="44" t="s">
        <v>143</v>
      </c>
      <c r="AE185" s="44" t="s">
        <v>138</v>
      </c>
      <c r="AF185" s="44" t="s">
        <v>135</v>
      </c>
      <c r="AG185" s="44" t="s">
        <v>144</v>
      </c>
      <c r="AH185" s="44" t="s">
        <v>138</v>
      </c>
      <c r="AI185" s="44" t="s">
        <v>143</v>
      </c>
      <c r="AJ185" s="44" t="s">
        <v>139</v>
      </c>
      <c r="AK185" s="44" t="s">
        <v>135</v>
      </c>
      <c r="AL185" s="44" t="s">
        <v>144</v>
      </c>
      <c r="AM185" s="44" t="s">
        <v>135</v>
      </c>
      <c r="AN185" s="44" t="s">
        <v>138</v>
      </c>
      <c r="AO185" s="44" t="s">
        <v>144</v>
      </c>
      <c r="AP185" s="44" t="s">
        <v>139</v>
      </c>
      <c r="AQ185" s="44" t="s">
        <v>137</v>
      </c>
      <c r="AR185" s="44" t="s">
        <v>141</v>
      </c>
      <c r="AS185" s="44" t="s">
        <v>144</v>
      </c>
      <c r="AT185" s="44" t="s">
        <v>137</v>
      </c>
      <c r="AU185" s="44" t="s">
        <v>144</v>
      </c>
      <c r="AV185" s="44" t="s">
        <v>142</v>
      </c>
      <c r="AW185" s="44" t="s">
        <v>143</v>
      </c>
      <c r="AY185" s="4" t="str" cm="1">
        <f t="array" ref="AY185:CJ185">_xlfn._xlws.FILTER(J185:AW185,J185:AW185&lt;&gt;G185)</f>
        <v>👿</v>
      </c>
      <c r="AZ185" s="4" t="str">
        <v>🐍</v>
      </c>
      <c r="BA185" s="4" t="str">
        <v>👹</v>
      </c>
      <c r="BB185" s="4" t="str">
        <v>🐙</v>
      </c>
      <c r="BC185" s="4" t="str">
        <v>👻</v>
      </c>
      <c r="BD185" s="4" t="str">
        <v>👹</v>
      </c>
      <c r="BE185" s="4" t="str">
        <v>👿</v>
      </c>
      <c r="BF185" s="4" t="str">
        <v>👻</v>
      </c>
      <c r="BG185" s="4" t="str">
        <v>🐉</v>
      </c>
      <c r="BH185" s="4" t="str">
        <v>🐍</v>
      </c>
      <c r="BI185" s="4" t="str">
        <v>👻</v>
      </c>
      <c r="BJ185" s="4" t="str">
        <v>🐉</v>
      </c>
      <c r="BK185" s="4" t="str">
        <v>💀</v>
      </c>
      <c r="BL185" s="4" t="str">
        <v>💀</v>
      </c>
      <c r="BM185" s="4" t="str">
        <v>👻</v>
      </c>
      <c r="BN185" s="4" t="str">
        <v>🐽</v>
      </c>
      <c r="BO185" s="4" t="str">
        <v>🐽</v>
      </c>
      <c r="BP185" s="4" t="str">
        <v>🎃</v>
      </c>
      <c r="BQ185" s="4" t="str">
        <v>👿</v>
      </c>
      <c r="BR185" s="4" t="str">
        <v>🐉</v>
      </c>
      <c r="BS185" s="4" t="str">
        <v>👻</v>
      </c>
      <c r="BT185" s="4" t="str">
        <v>🐙</v>
      </c>
      <c r="BU185" s="4" t="str">
        <v>🐽</v>
      </c>
      <c r="BV185" s="4" t="str">
        <v>🐉</v>
      </c>
      <c r="BW185" s="4" t="str">
        <v>🐙</v>
      </c>
      <c r="BX185" s="4" t="str">
        <v>👻</v>
      </c>
      <c r="BY185" s="4" t="str">
        <v>🎃</v>
      </c>
      <c r="BZ185" s="4" t="str">
        <v>🐽</v>
      </c>
      <c r="CA185" s="4" t="str">
        <v>🐉</v>
      </c>
      <c r="CB185" s="4" t="str">
        <v>🐽</v>
      </c>
      <c r="CC185" s="4" t="str">
        <v>🐙</v>
      </c>
      <c r="CD185" s="4" t="str">
        <v>🐉</v>
      </c>
      <c r="CE185" s="4" t="str">
        <v>🎃</v>
      </c>
      <c r="CF185" s="4" t="str">
        <v>👹</v>
      </c>
      <c r="CG185" s="4" t="str">
        <v>🐉</v>
      </c>
      <c r="CH185" s="4" t="str">
        <v>🐉</v>
      </c>
      <c r="CI185" s="4" t="str">
        <v>💀</v>
      </c>
      <c r="CJ185" s="4" t="str">
        <v>👻</v>
      </c>
    </row>
    <row r="186" spans="2:88" ht="23.25" customHeight="1">
      <c r="B186" s="14">
        <v>78</v>
      </c>
      <c r="C186" s="14">
        <v>4</v>
      </c>
      <c r="D186" s="15">
        <v>7</v>
      </c>
      <c r="E186" s="46">
        <f t="shared" si="1"/>
        <v>3</v>
      </c>
      <c r="F186"/>
      <c r="G186" s="76" t="s">
        <v>139</v>
      </c>
      <c r="H186" s="77"/>
      <c r="I186" s="75"/>
      <c r="J186" s="44" t="s">
        <v>136</v>
      </c>
      <c r="K186" s="44" t="s">
        <v>141</v>
      </c>
      <c r="L186" s="44" t="s">
        <v>138</v>
      </c>
      <c r="M186" s="44" t="s">
        <v>135</v>
      </c>
      <c r="N186" s="44" t="s">
        <v>140</v>
      </c>
      <c r="O186" s="44" t="s">
        <v>143</v>
      </c>
      <c r="P186" s="44" t="s">
        <v>139</v>
      </c>
      <c r="Q186" s="44" t="s">
        <v>144</v>
      </c>
      <c r="R186" s="44" t="s">
        <v>137</v>
      </c>
      <c r="S186" s="44" t="s">
        <v>141</v>
      </c>
      <c r="T186" s="44" t="s">
        <v>144</v>
      </c>
      <c r="U186" s="44" t="s">
        <v>140</v>
      </c>
      <c r="V186" s="44" t="s">
        <v>140</v>
      </c>
      <c r="W186" s="44" t="s">
        <v>142</v>
      </c>
      <c r="X186" s="44" t="s">
        <v>135</v>
      </c>
      <c r="Y186" s="44" t="s">
        <v>137</v>
      </c>
      <c r="Z186" s="44" t="s">
        <v>140</v>
      </c>
      <c r="AA186" s="44" t="s">
        <v>138</v>
      </c>
      <c r="AB186" s="44" t="s">
        <v>144</v>
      </c>
      <c r="AC186" s="44" t="s">
        <v>137</v>
      </c>
      <c r="AD186" s="44" t="s">
        <v>135</v>
      </c>
      <c r="AE186" s="44" t="s">
        <v>137</v>
      </c>
      <c r="AF186" s="44" t="s">
        <v>139</v>
      </c>
      <c r="AG186" s="44" t="s">
        <v>139</v>
      </c>
      <c r="AH186" s="44" t="s">
        <v>143</v>
      </c>
      <c r="AI186" s="44" t="s">
        <v>137</v>
      </c>
      <c r="AJ186" s="44" t="s">
        <v>138</v>
      </c>
      <c r="AK186" s="44" t="s">
        <v>143</v>
      </c>
      <c r="AL186" s="44" t="s">
        <v>141</v>
      </c>
      <c r="AM186" s="44" t="s">
        <v>137</v>
      </c>
      <c r="AN186" s="44" t="s">
        <v>142</v>
      </c>
      <c r="AO186" s="44" t="s">
        <v>144</v>
      </c>
      <c r="AP186" s="44" t="s">
        <v>135</v>
      </c>
      <c r="AQ186" s="44" t="s">
        <v>143</v>
      </c>
      <c r="AR186" s="44" t="s">
        <v>144</v>
      </c>
      <c r="AS186" s="44" t="s">
        <v>144</v>
      </c>
      <c r="AT186" s="44" t="s">
        <v>142</v>
      </c>
      <c r="AU186" s="44" t="s">
        <v>135</v>
      </c>
      <c r="AV186" s="44" t="s">
        <v>142</v>
      </c>
      <c r="AW186" s="44" t="s">
        <v>137</v>
      </c>
      <c r="AY186" s="4" t="str" cm="1">
        <f t="array" ref="AY186:CI186">_xlfn._xlws.FILTER(J186:AW186,J186:AW186&lt;&gt;G186)</f>
        <v>🐍</v>
      </c>
      <c r="AZ186" s="4" t="str">
        <v>👹</v>
      </c>
      <c r="BA186" s="4" t="str">
        <v>🐙</v>
      </c>
      <c r="BB186" s="4" t="str">
        <v>🐽</v>
      </c>
      <c r="BC186" s="4" t="str">
        <v>👿</v>
      </c>
      <c r="BD186" s="4" t="str">
        <v>👻</v>
      </c>
      <c r="BE186" s="4" t="str">
        <v>🐉</v>
      </c>
      <c r="BF186" s="4" t="str">
        <v>👽</v>
      </c>
      <c r="BG186" s="4" t="str">
        <v>👹</v>
      </c>
      <c r="BH186" s="4" t="str">
        <v>🐉</v>
      </c>
      <c r="BI186" s="4" t="str">
        <v>👿</v>
      </c>
      <c r="BJ186" s="4" t="str">
        <v>👿</v>
      </c>
      <c r="BK186" s="4" t="str">
        <v>💀</v>
      </c>
      <c r="BL186" s="4" t="str">
        <v>🐽</v>
      </c>
      <c r="BM186" s="4" t="str">
        <v>👽</v>
      </c>
      <c r="BN186" s="4" t="str">
        <v>👿</v>
      </c>
      <c r="BO186" s="4" t="str">
        <v>🐙</v>
      </c>
      <c r="BP186" s="4" t="str">
        <v>🐉</v>
      </c>
      <c r="BQ186" s="4" t="str">
        <v>👽</v>
      </c>
      <c r="BR186" s="4" t="str">
        <v>🐽</v>
      </c>
      <c r="BS186" s="4" t="str">
        <v>👽</v>
      </c>
      <c r="BT186" s="4" t="str">
        <v>👻</v>
      </c>
      <c r="BU186" s="4" t="str">
        <v>👽</v>
      </c>
      <c r="BV186" s="4" t="str">
        <v>🐙</v>
      </c>
      <c r="BW186" s="4" t="str">
        <v>👻</v>
      </c>
      <c r="BX186" s="4" t="str">
        <v>👹</v>
      </c>
      <c r="BY186" s="4" t="str">
        <v>👽</v>
      </c>
      <c r="BZ186" s="4" t="str">
        <v>💀</v>
      </c>
      <c r="CA186" s="4" t="str">
        <v>🐉</v>
      </c>
      <c r="CB186" s="4" t="str">
        <v>🐽</v>
      </c>
      <c r="CC186" s="4" t="str">
        <v>👻</v>
      </c>
      <c r="CD186" s="4" t="str">
        <v>🐉</v>
      </c>
      <c r="CE186" s="4" t="str">
        <v>🐉</v>
      </c>
      <c r="CF186" s="4" t="str">
        <v>💀</v>
      </c>
      <c r="CG186" s="4" t="str">
        <v>🐽</v>
      </c>
      <c r="CH186" s="4" t="str">
        <v>💀</v>
      </c>
      <c r="CI186" s="4" t="str">
        <v>👽</v>
      </c>
    </row>
    <row r="187" spans="2:88" ht="23.25" customHeight="1">
      <c r="B187" s="14">
        <v>79</v>
      </c>
      <c r="C187" s="14">
        <v>4</v>
      </c>
      <c r="D187" s="15">
        <v>7</v>
      </c>
      <c r="E187" s="46">
        <f t="shared" si="1"/>
        <v>5</v>
      </c>
      <c r="F187"/>
      <c r="G187" s="76" t="s">
        <v>137</v>
      </c>
      <c r="H187" s="77"/>
      <c r="I187" s="75"/>
      <c r="J187" s="44" t="s">
        <v>144</v>
      </c>
      <c r="K187" s="44" t="s">
        <v>139</v>
      </c>
      <c r="L187" s="44" t="s">
        <v>140</v>
      </c>
      <c r="M187" s="44" t="s">
        <v>142</v>
      </c>
      <c r="N187" s="44" t="s">
        <v>142</v>
      </c>
      <c r="O187" s="44" t="s">
        <v>139</v>
      </c>
      <c r="P187" s="44" t="s">
        <v>144</v>
      </c>
      <c r="Q187" s="44" t="s">
        <v>143</v>
      </c>
      <c r="R187" s="44" t="s">
        <v>137</v>
      </c>
      <c r="S187" s="44" t="s">
        <v>139</v>
      </c>
      <c r="T187" s="44" t="s">
        <v>141</v>
      </c>
      <c r="U187" s="44" t="s">
        <v>137</v>
      </c>
      <c r="V187" s="44" t="s">
        <v>143</v>
      </c>
      <c r="W187" s="44" t="s">
        <v>135</v>
      </c>
      <c r="X187" s="44" t="s">
        <v>143</v>
      </c>
      <c r="Y187" s="44" t="s">
        <v>136</v>
      </c>
      <c r="Z187" s="44" t="s">
        <v>144</v>
      </c>
      <c r="AA187" s="44" t="s">
        <v>140</v>
      </c>
      <c r="AB187" s="44" t="s">
        <v>136</v>
      </c>
      <c r="AC187" s="44" t="s">
        <v>140</v>
      </c>
      <c r="AD187" s="44" t="s">
        <v>140</v>
      </c>
      <c r="AE187" s="44" t="s">
        <v>136</v>
      </c>
      <c r="AF187" s="44" t="s">
        <v>144</v>
      </c>
      <c r="AG187" s="44" t="s">
        <v>137</v>
      </c>
      <c r="AH187" s="44" t="s">
        <v>140</v>
      </c>
      <c r="AI187" s="44" t="s">
        <v>139</v>
      </c>
      <c r="AJ187" s="44" t="s">
        <v>142</v>
      </c>
      <c r="AK187" s="44" t="s">
        <v>137</v>
      </c>
      <c r="AL187" s="44" t="s">
        <v>143</v>
      </c>
      <c r="AM187" s="44" t="s">
        <v>141</v>
      </c>
      <c r="AN187" s="44" t="s">
        <v>138</v>
      </c>
      <c r="AO187" s="44" t="s">
        <v>135</v>
      </c>
      <c r="AP187" s="44" t="s">
        <v>135</v>
      </c>
      <c r="AQ187" s="44" t="s">
        <v>141</v>
      </c>
      <c r="AR187" s="44" t="s">
        <v>144</v>
      </c>
      <c r="AS187" s="44" t="s">
        <v>139</v>
      </c>
      <c r="AT187" s="44" t="s">
        <v>143</v>
      </c>
      <c r="AU187" s="44" t="s">
        <v>141</v>
      </c>
      <c r="AV187" s="44" t="s">
        <v>142</v>
      </c>
      <c r="AW187" s="44" t="s">
        <v>137</v>
      </c>
      <c r="AY187" s="4" t="str" cm="1">
        <f t="array" ref="AY187:CG187">_xlfn._xlws.FILTER(J187:AW187,J187:AW187&lt;&gt;G187)</f>
        <v>🐉</v>
      </c>
      <c r="AZ187" s="4" t="str">
        <v>🎃</v>
      </c>
      <c r="BA187" s="4" t="str">
        <v>👿</v>
      </c>
      <c r="BB187" s="4" t="str">
        <v>💀</v>
      </c>
      <c r="BC187" s="4" t="str">
        <v>💀</v>
      </c>
      <c r="BD187" s="4" t="str">
        <v>🎃</v>
      </c>
      <c r="BE187" s="4" t="str">
        <v>🐉</v>
      </c>
      <c r="BF187" s="4" t="str">
        <v>👻</v>
      </c>
      <c r="BG187" s="4" t="str">
        <v>🎃</v>
      </c>
      <c r="BH187" s="4" t="str">
        <v>👹</v>
      </c>
      <c r="BI187" s="4" t="str">
        <v>👻</v>
      </c>
      <c r="BJ187" s="4" t="str">
        <v>🐽</v>
      </c>
      <c r="BK187" s="4" t="str">
        <v>👻</v>
      </c>
      <c r="BL187" s="4" t="str">
        <v>🐍</v>
      </c>
      <c r="BM187" s="4" t="str">
        <v>🐉</v>
      </c>
      <c r="BN187" s="4" t="str">
        <v>👿</v>
      </c>
      <c r="BO187" s="4" t="str">
        <v>🐍</v>
      </c>
      <c r="BP187" s="4" t="str">
        <v>👿</v>
      </c>
      <c r="BQ187" s="4" t="str">
        <v>👿</v>
      </c>
      <c r="BR187" s="4" t="str">
        <v>🐍</v>
      </c>
      <c r="BS187" s="4" t="str">
        <v>🐉</v>
      </c>
      <c r="BT187" s="4" t="str">
        <v>👿</v>
      </c>
      <c r="BU187" s="4" t="str">
        <v>🎃</v>
      </c>
      <c r="BV187" s="4" t="str">
        <v>💀</v>
      </c>
      <c r="BW187" s="4" t="str">
        <v>👻</v>
      </c>
      <c r="BX187" s="4" t="str">
        <v>👹</v>
      </c>
      <c r="BY187" s="4" t="str">
        <v>🐙</v>
      </c>
      <c r="BZ187" s="4" t="str">
        <v>🐽</v>
      </c>
      <c r="CA187" s="4" t="str">
        <v>🐽</v>
      </c>
      <c r="CB187" s="4" t="str">
        <v>👹</v>
      </c>
      <c r="CC187" s="4" t="str">
        <v>🐉</v>
      </c>
      <c r="CD187" s="4" t="str">
        <v>🎃</v>
      </c>
      <c r="CE187" s="4" t="str">
        <v>👻</v>
      </c>
      <c r="CF187" s="4" t="str">
        <v>👹</v>
      </c>
      <c r="CG187" s="4" t="str">
        <v>💀</v>
      </c>
    </row>
    <row r="188" spans="2:88" ht="23.25" customHeight="1">
      <c r="B188" s="14">
        <v>80</v>
      </c>
      <c r="C188" s="14">
        <v>4</v>
      </c>
      <c r="D188" s="15">
        <v>7</v>
      </c>
      <c r="E188" s="46">
        <f t="shared" si="1"/>
        <v>3</v>
      </c>
      <c r="F188"/>
      <c r="G188" s="76" t="s">
        <v>142</v>
      </c>
      <c r="H188" s="77"/>
      <c r="I188" s="75"/>
      <c r="J188" s="44" t="s">
        <v>141</v>
      </c>
      <c r="K188" s="44" t="s">
        <v>140</v>
      </c>
      <c r="L188" s="44" t="s">
        <v>141</v>
      </c>
      <c r="M188" s="44" t="s">
        <v>144</v>
      </c>
      <c r="N188" s="44" t="s">
        <v>144</v>
      </c>
      <c r="O188" s="44" t="s">
        <v>139</v>
      </c>
      <c r="P188" s="44" t="s">
        <v>137</v>
      </c>
      <c r="Q188" s="44" t="s">
        <v>139</v>
      </c>
      <c r="R188" s="44" t="s">
        <v>144</v>
      </c>
      <c r="S188" s="44" t="s">
        <v>139</v>
      </c>
      <c r="T188" s="44" t="s">
        <v>144</v>
      </c>
      <c r="U188" s="44" t="s">
        <v>135</v>
      </c>
      <c r="V188" s="44" t="s">
        <v>142</v>
      </c>
      <c r="W188" s="44" t="s">
        <v>135</v>
      </c>
      <c r="X188" s="44" t="s">
        <v>138</v>
      </c>
      <c r="Y188" s="44" t="s">
        <v>143</v>
      </c>
      <c r="Z188" s="44" t="s">
        <v>140</v>
      </c>
      <c r="AA188" s="44" t="s">
        <v>137</v>
      </c>
      <c r="AB188" s="44" t="s">
        <v>142</v>
      </c>
      <c r="AC188" s="44" t="s">
        <v>138</v>
      </c>
      <c r="AD188" s="44" t="s">
        <v>139</v>
      </c>
      <c r="AE188" s="44" t="s">
        <v>144</v>
      </c>
      <c r="AF188" s="44" t="s">
        <v>141</v>
      </c>
      <c r="AG188" s="44" t="s">
        <v>144</v>
      </c>
      <c r="AH188" s="44" t="s">
        <v>139</v>
      </c>
      <c r="AI188" s="44" t="s">
        <v>141</v>
      </c>
      <c r="AJ188" s="44" t="s">
        <v>141</v>
      </c>
      <c r="AK188" s="44" t="s">
        <v>138</v>
      </c>
      <c r="AL188" s="44" t="s">
        <v>135</v>
      </c>
      <c r="AM188" s="44" t="s">
        <v>138</v>
      </c>
      <c r="AN188" s="44" t="s">
        <v>135</v>
      </c>
      <c r="AO188" s="44" t="s">
        <v>143</v>
      </c>
      <c r="AP188" s="44" t="s">
        <v>143</v>
      </c>
      <c r="AQ188" s="44" t="s">
        <v>142</v>
      </c>
      <c r="AR188" s="44" t="s">
        <v>143</v>
      </c>
      <c r="AS188" s="44" t="s">
        <v>139</v>
      </c>
      <c r="AT188" s="44" t="s">
        <v>140</v>
      </c>
      <c r="AU188" s="44" t="s">
        <v>144</v>
      </c>
      <c r="AV188" s="44" t="s">
        <v>138</v>
      </c>
      <c r="AW188" s="44" t="s">
        <v>141</v>
      </c>
      <c r="AY188" s="4" t="str" cm="1">
        <f t="array" ref="AY188:CI188">_xlfn._xlws.FILTER(J188:AW188,J188:AW188&lt;&gt;G188)</f>
        <v>👹</v>
      </c>
      <c r="AZ188" s="4" t="str">
        <v>👿</v>
      </c>
      <c r="BA188" s="4" t="str">
        <v>👹</v>
      </c>
      <c r="BB188" s="4" t="str">
        <v>🐉</v>
      </c>
      <c r="BC188" s="4" t="str">
        <v>🐉</v>
      </c>
      <c r="BD188" s="4" t="str">
        <v>🎃</v>
      </c>
      <c r="BE188" s="4" t="str">
        <v>👽</v>
      </c>
      <c r="BF188" s="4" t="str">
        <v>🎃</v>
      </c>
      <c r="BG188" s="4" t="str">
        <v>🐉</v>
      </c>
      <c r="BH188" s="4" t="str">
        <v>🎃</v>
      </c>
      <c r="BI188" s="4" t="str">
        <v>🐉</v>
      </c>
      <c r="BJ188" s="4" t="str">
        <v>🐽</v>
      </c>
      <c r="BK188" s="4" t="str">
        <v>🐽</v>
      </c>
      <c r="BL188" s="4" t="str">
        <v>🐙</v>
      </c>
      <c r="BM188" s="4" t="str">
        <v>👻</v>
      </c>
      <c r="BN188" s="4" t="str">
        <v>👿</v>
      </c>
      <c r="BO188" s="4" t="str">
        <v>👽</v>
      </c>
      <c r="BP188" s="4" t="str">
        <v>🐙</v>
      </c>
      <c r="BQ188" s="4" t="str">
        <v>🎃</v>
      </c>
      <c r="BR188" s="4" t="str">
        <v>🐉</v>
      </c>
      <c r="BS188" s="4" t="str">
        <v>👹</v>
      </c>
      <c r="BT188" s="4" t="str">
        <v>🐉</v>
      </c>
      <c r="BU188" s="4" t="str">
        <v>🎃</v>
      </c>
      <c r="BV188" s="4" t="str">
        <v>👹</v>
      </c>
      <c r="BW188" s="4" t="str">
        <v>👹</v>
      </c>
      <c r="BX188" s="4" t="str">
        <v>🐙</v>
      </c>
      <c r="BY188" s="4" t="str">
        <v>🐽</v>
      </c>
      <c r="BZ188" s="4" t="str">
        <v>🐙</v>
      </c>
      <c r="CA188" s="4" t="str">
        <v>🐽</v>
      </c>
      <c r="CB188" s="4" t="str">
        <v>👻</v>
      </c>
      <c r="CC188" s="4" t="str">
        <v>👻</v>
      </c>
      <c r="CD188" s="4" t="str">
        <v>👻</v>
      </c>
      <c r="CE188" s="4" t="str">
        <v>🎃</v>
      </c>
      <c r="CF188" s="4" t="str">
        <v>👿</v>
      </c>
      <c r="CG188" s="4" t="str">
        <v>🐉</v>
      </c>
      <c r="CH188" s="4" t="str">
        <v>🐙</v>
      </c>
      <c r="CI188" s="4" t="str">
        <v>👹</v>
      </c>
    </row>
    <row r="189" spans="2:88">
      <c r="F189"/>
    </row>
    <row r="190" spans="2:88" ht="15.75" thickBot="1">
      <c r="F190"/>
    </row>
    <row r="191" spans="2:88" ht="22.5" customHeight="1" thickBot="1">
      <c r="B191" s="82" t="s">
        <v>145</v>
      </c>
      <c r="C191" s="83" t="s">
        <v>91</v>
      </c>
      <c r="D191" s="4"/>
      <c r="E191" s="24"/>
      <c r="F191"/>
      <c r="G191" s="32"/>
    </row>
    <row r="192" spans="2:88" ht="15.75">
      <c r="B192" s="54"/>
      <c r="C192" s="4"/>
      <c r="D192" s="4"/>
      <c r="E192" s="24"/>
      <c r="F192"/>
      <c r="G192" s="32"/>
    </row>
    <row r="193" spans="2:80" ht="15.75">
      <c r="B193" s="55" t="s">
        <v>146</v>
      </c>
      <c r="C193" s="4"/>
      <c r="D193" s="4"/>
      <c r="E193" s="24"/>
      <c r="F193"/>
      <c r="G193" s="32"/>
    </row>
    <row r="194" spans="2:80" ht="15.75">
      <c r="B194" s="33" t="s">
        <v>147</v>
      </c>
      <c r="C194" s="4"/>
      <c r="D194" s="1"/>
      <c r="E194" s="22"/>
      <c r="F194"/>
    </row>
    <row r="195" spans="2:80" ht="15.75">
      <c r="B195" s="33" t="s">
        <v>148</v>
      </c>
      <c r="C195" s="4"/>
      <c r="D195" s="1"/>
      <c r="E195" s="22"/>
      <c r="F195"/>
    </row>
    <row r="196" spans="2:80" ht="15.75">
      <c r="B196" s="33" t="s">
        <v>149</v>
      </c>
      <c r="C196" s="4"/>
      <c r="D196" s="1"/>
      <c r="E196" s="22"/>
      <c r="F196"/>
    </row>
    <row r="197" spans="2:80" ht="15.75">
      <c r="B197" s="50" t="s">
        <v>150</v>
      </c>
      <c r="C197" s="4"/>
      <c r="D197" s="1"/>
      <c r="E197" s="22"/>
      <c r="F197"/>
    </row>
    <row r="198" spans="2:80" ht="15.75">
      <c r="B198" s="60" t="s">
        <v>151</v>
      </c>
      <c r="C198" s="4"/>
      <c r="D198" s="1"/>
      <c r="E198" s="22"/>
      <c r="F198"/>
    </row>
    <row r="199" spans="2:80" ht="15.75">
      <c r="B199" s="50"/>
      <c r="C199" s="4"/>
      <c r="D199" s="1"/>
      <c r="E199" s="22"/>
      <c r="F199"/>
    </row>
    <row r="200" spans="2:80" ht="15.75">
      <c r="B200" s="63" t="s">
        <v>152</v>
      </c>
      <c r="C200" s="4"/>
      <c r="D200" s="1"/>
      <c r="E200" s="22"/>
      <c r="F200"/>
      <c r="L200" s="47"/>
    </row>
    <row r="201" spans="2:80" ht="15.75">
      <c r="B201" s="63" t="s">
        <v>153</v>
      </c>
      <c r="C201" s="4"/>
      <c r="D201" s="1"/>
      <c r="E201" s="22"/>
      <c r="F201"/>
      <c r="L201" s="47"/>
    </row>
    <row r="202" spans="2:80" ht="15.75">
      <c r="B202" s="63"/>
      <c r="C202" s="4"/>
      <c r="D202" s="1"/>
      <c r="E202" s="22"/>
      <c r="F202"/>
    </row>
    <row r="203" spans="2:80" ht="15.75">
      <c r="B203" s="65" t="s">
        <v>31</v>
      </c>
      <c r="C203" s="4"/>
      <c r="D203" s="1"/>
      <c r="E203" s="22"/>
      <c r="F203"/>
    </row>
    <row r="204" spans="2:80" ht="15.75">
      <c r="B204" s="66" t="s">
        <v>154</v>
      </c>
      <c r="C204" s="4"/>
      <c r="D204" s="1"/>
      <c r="E204" s="22"/>
      <c r="F204"/>
    </row>
    <row r="205" spans="2:80" ht="15.75">
      <c r="B205" s="66" t="s">
        <v>155</v>
      </c>
      <c r="C205" s="4"/>
      <c r="D205" s="1"/>
      <c r="E205" s="22"/>
      <c r="F205"/>
    </row>
    <row r="206" spans="2:80" ht="15.75">
      <c r="B206" s="66" t="s">
        <v>156</v>
      </c>
      <c r="C206" s="4"/>
      <c r="D206" s="1"/>
      <c r="E206" s="22"/>
      <c r="F206"/>
    </row>
    <row r="207" spans="2:80" ht="16.5" thickBot="1">
      <c r="B207" s="54"/>
      <c r="C207" s="1"/>
      <c r="D207" s="1"/>
      <c r="E207" s="22"/>
      <c r="F207"/>
      <c r="G207" s="17"/>
    </row>
    <row r="208" spans="2:80" ht="22.5" customHeight="1" thickBot="1">
      <c r="B208" s="97" t="s">
        <v>9</v>
      </c>
      <c r="C208" s="97" t="s">
        <v>35</v>
      </c>
      <c r="D208" s="97" t="s">
        <v>11</v>
      </c>
      <c r="E208" s="97" t="s">
        <v>12</v>
      </c>
      <c r="F208"/>
      <c r="G208" s="99" t="s">
        <v>157</v>
      </c>
      <c r="H208" s="99"/>
      <c r="J208" s="103" t="s">
        <v>101</v>
      </c>
      <c r="K208" s="104"/>
      <c r="L208" s="104"/>
      <c r="M208" s="104"/>
      <c r="N208" s="104"/>
      <c r="O208" s="104"/>
      <c r="P208" s="104"/>
      <c r="Q208" s="104"/>
      <c r="R208" s="104"/>
      <c r="S208" s="104"/>
      <c r="T208" s="104"/>
      <c r="U208" s="104"/>
      <c r="V208" s="104"/>
      <c r="W208" s="104"/>
      <c r="X208" s="104"/>
      <c r="Y208" s="104"/>
      <c r="Z208" s="104"/>
      <c r="AA208" s="104"/>
      <c r="AB208" s="104"/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5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</row>
    <row r="209" spans="2:61" ht="15.75">
      <c r="B209" s="1"/>
      <c r="C209" s="1"/>
      <c r="D209" s="1"/>
      <c r="E209" s="22"/>
      <c r="F209"/>
      <c r="G209" s="32"/>
      <c r="H209" s="32"/>
      <c r="J209" s="32"/>
      <c r="AQ209" s="1"/>
      <c r="AR209" s="1"/>
    </row>
    <row r="210" spans="2:61" ht="23.25">
      <c r="B210" s="14" t="s">
        <v>158</v>
      </c>
      <c r="C210" s="14">
        <v>5</v>
      </c>
      <c r="D210" s="15">
        <v>0</v>
      </c>
      <c r="E210" s="18">
        <v>591117</v>
      </c>
      <c r="F210"/>
      <c r="G210" s="76" t="s">
        <v>143</v>
      </c>
      <c r="H210" s="77"/>
      <c r="I210"/>
      <c r="J210" s="57" t="s">
        <v>159</v>
      </c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8"/>
      <c r="AR210" s="58"/>
      <c r="AS210" s="58"/>
      <c r="AT210" s="59"/>
      <c r="AU210" s="1"/>
      <c r="AV210" s="1"/>
      <c r="AW210" s="1"/>
      <c r="AX210" s="1"/>
      <c r="AY210" s="1"/>
      <c r="AZ210" s="1"/>
      <c r="BA210" s="1"/>
      <c r="BB210" s="1"/>
      <c r="BC210" s="1"/>
    </row>
    <row r="211" spans="2:61" ht="15.75">
      <c r="B211" s="1"/>
      <c r="C211" s="1"/>
      <c r="D211" s="1"/>
      <c r="E211" s="22"/>
      <c r="F211"/>
      <c r="G211" s="45"/>
      <c r="H211" s="45"/>
      <c r="J211" s="45"/>
      <c r="AQ211" s="1"/>
      <c r="AR211" s="1"/>
    </row>
    <row r="212" spans="2:61" ht="23.25">
      <c r="B212" s="14">
        <v>81</v>
      </c>
      <c r="C212" s="14">
        <v>5</v>
      </c>
      <c r="D212" s="15">
        <v>8</v>
      </c>
      <c r="E212" s="18" cm="1">
        <f t="array" ref="E212">SUM(--SUBSTITUTE(_xlfn.TEXTSPLIT(J212,";"),G212,""))</f>
        <v>653838</v>
      </c>
      <c r="F212"/>
      <c r="G212" s="76" t="s">
        <v>144</v>
      </c>
      <c r="H212" s="77"/>
      <c r="I212"/>
      <c r="J212" s="57" t="s">
        <v>160</v>
      </c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8"/>
      <c r="AR212" s="58"/>
      <c r="AS212" s="58"/>
      <c r="AT212" s="59"/>
      <c r="AU212" s="1"/>
      <c r="AV212" s="1">
        <f>COUNTA(_xlfn.ANCHORARRAY(AW212))</f>
        <v>8</v>
      </c>
      <c r="AW212" s="1" t="str" cm="1">
        <f t="array" ref="AW212:BD212">_xlfn.REGEXEXTRACT(J212,"(;[^0123456789]+)",1)</f>
        <v>;🐉</v>
      </c>
      <c r="AX212" s="1" t="str">
        <v>;🐉</v>
      </c>
      <c r="AY212" s="1" t="str">
        <v>;🐉</v>
      </c>
      <c r="AZ212" s="1" t="str">
        <v>;🐉</v>
      </c>
      <c r="BA212" s="1" t="str">
        <v>;🐉</v>
      </c>
      <c r="BB212" s="1" t="str">
        <v>;🐉</v>
      </c>
      <c r="BC212" s="1" t="str">
        <v>;🐉</v>
      </c>
      <c r="BD212" s="4" t="str">
        <v>;🐉</v>
      </c>
    </row>
    <row r="213" spans="2:61" ht="23.25">
      <c r="B213" s="14">
        <v>82</v>
      </c>
      <c r="C213" s="14">
        <v>5</v>
      </c>
      <c r="D213" s="15">
        <v>8</v>
      </c>
      <c r="E213" s="18" cm="1">
        <f t="array" ref="E213">SUM(--SUBSTITUTE(_xlfn.TEXTSPLIT(J213,";"),G213,""))</f>
        <v>364831</v>
      </c>
      <c r="F213"/>
      <c r="G213" s="76" t="s">
        <v>135</v>
      </c>
      <c r="H213" s="77"/>
      <c r="J213" s="57" t="s">
        <v>161</v>
      </c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8"/>
      <c r="AR213" s="58"/>
      <c r="AS213" s="58"/>
      <c r="AT213" s="59"/>
      <c r="AU213" s="1"/>
      <c r="AV213" s="1">
        <f t="shared" ref="AV213:AV231" si="2">COUNTA(_xlfn.ANCHORARRAY(AW213))</f>
        <v>8</v>
      </c>
      <c r="AW213" s="1" t="str" cm="1">
        <f t="array" ref="AW213:BD213">_xlfn.REGEXEXTRACT(J213,"(;[^0123456789]+)",1)</f>
        <v>;🐽</v>
      </c>
      <c r="AX213" s="1" t="str">
        <v>;🐽</v>
      </c>
      <c r="AY213" s="1" t="str">
        <v>;🐽</v>
      </c>
      <c r="AZ213" s="1" t="str">
        <v>;🐽</v>
      </c>
      <c r="BA213" s="1" t="str">
        <v>;🐽</v>
      </c>
      <c r="BB213" s="1" t="str">
        <v>;🐽</v>
      </c>
      <c r="BC213" s="1" t="str">
        <v>;🐽</v>
      </c>
      <c r="BD213" s="4" t="str">
        <v>;🐽</v>
      </c>
    </row>
    <row r="214" spans="2:61" ht="23.25">
      <c r="B214" s="14">
        <v>83</v>
      </c>
      <c r="C214" s="14">
        <v>5</v>
      </c>
      <c r="D214" s="15">
        <v>8</v>
      </c>
      <c r="E214" s="18" cm="1">
        <f t="array" ref="E214">SUM(--SUBSTITUTE(_xlfn.TEXTSPLIT(J214,";"),G214,""))</f>
        <v>630486</v>
      </c>
      <c r="F214"/>
      <c r="G214" s="76" t="s">
        <v>136</v>
      </c>
      <c r="H214" s="77"/>
      <c r="J214" s="57" t="s">
        <v>162</v>
      </c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8"/>
      <c r="AR214" s="58"/>
      <c r="AS214" s="58"/>
      <c r="AT214" s="59"/>
      <c r="AU214" s="1"/>
      <c r="AV214" s="1">
        <f t="shared" si="2"/>
        <v>8</v>
      </c>
      <c r="AW214" s="1" t="str" cm="1">
        <f t="array" ref="AW214:BD214">_xlfn.REGEXEXTRACT(J214,"(;[^0123456789]+)",1)</f>
        <v>;🐍</v>
      </c>
      <c r="AX214" s="1" t="str">
        <v>;🐍</v>
      </c>
      <c r="AY214" s="1" t="str">
        <v>;🐍</v>
      </c>
      <c r="AZ214" s="1" t="str">
        <v>;🐍</v>
      </c>
      <c r="BA214" s="1" t="str">
        <v>;🐍</v>
      </c>
      <c r="BB214" s="1" t="str">
        <v>;🐍</v>
      </c>
      <c r="BC214" s="1" t="str">
        <v>;🐍</v>
      </c>
      <c r="BD214" s="4" t="str">
        <v>;🐍</v>
      </c>
    </row>
    <row r="215" spans="2:61" ht="23.25">
      <c r="B215" s="14">
        <v>84</v>
      </c>
      <c r="C215" s="14">
        <v>5</v>
      </c>
      <c r="D215" s="15">
        <v>8</v>
      </c>
      <c r="E215" s="18" cm="1">
        <f t="array" ref="E215">SUM(--SUBSTITUTE(_xlfn.TEXTSPLIT(J215,";"),G215,""))</f>
        <v>481614</v>
      </c>
      <c r="F215"/>
      <c r="G215" s="76" t="s">
        <v>138</v>
      </c>
      <c r="H215" s="77"/>
      <c r="J215" s="57" t="s">
        <v>163</v>
      </c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8"/>
      <c r="AR215" s="58"/>
      <c r="AS215" s="58"/>
      <c r="AT215" s="59"/>
      <c r="AU215" s="1"/>
      <c r="AV215" s="1">
        <f t="shared" si="2"/>
        <v>8</v>
      </c>
      <c r="AW215" s="1" t="str" cm="1">
        <f t="array" ref="AW215:BD215">_xlfn.REGEXEXTRACT(J215,"(;[^0123456789]+)",1)</f>
        <v>;🐙</v>
      </c>
      <c r="AX215" s="1" t="str">
        <v>;🐙</v>
      </c>
      <c r="AY215" s="1" t="str">
        <v>;🐙</v>
      </c>
      <c r="AZ215" s="1" t="str">
        <v>;🐙</v>
      </c>
      <c r="BA215" s="1" t="str">
        <v>;🐙</v>
      </c>
      <c r="BB215" s="1" t="str">
        <v>;🐙</v>
      </c>
      <c r="BC215" s="1" t="str">
        <v>;🐙</v>
      </c>
      <c r="BD215" s="4" t="str">
        <v>;🐙</v>
      </c>
    </row>
    <row r="216" spans="2:61" ht="23.25">
      <c r="B216" s="14">
        <v>85</v>
      </c>
      <c r="C216" s="14">
        <v>5</v>
      </c>
      <c r="D216" s="15">
        <v>8</v>
      </c>
      <c r="E216" s="18" cm="1">
        <f t="array" ref="E216">SUM(--SUBSTITUTE(_xlfn.TEXTSPLIT(J216,";"),G216,""))</f>
        <v>608229</v>
      </c>
      <c r="F216"/>
      <c r="G216" s="76" t="s">
        <v>139</v>
      </c>
      <c r="H216" s="77"/>
      <c r="J216" s="57" t="s">
        <v>164</v>
      </c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8"/>
      <c r="AR216" s="58"/>
      <c r="AS216" s="58"/>
      <c r="AT216" s="59"/>
      <c r="AU216" s="1"/>
      <c r="AV216" s="1">
        <f t="shared" si="2"/>
        <v>6</v>
      </c>
      <c r="AW216" s="1" t="str" cm="1">
        <f t="array" ref="AW216:BB216">_xlfn.REGEXEXTRACT(J216,"(;[^0123456789]+)",1)</f>
        <v>;🎃</v>
      </c>
      <c r="AX216" s="1" t="str">
        <v>;🎃</v>
      </c>
      <c r="AY216" s="1" t="str">
        <v>;🎃</v>
      </c>
      <c r="AZ216" s="1" t="str">
        <v>;🎃</v>
      </c>
      <c r="BA216" s="1" t="str">
        <v>;🎃</v>
      </c>
      <c r="BB216" s="1" t="str">
        <v>;🎃</v>
      </c>
      <c r="BC216" s="1"/>
    </row>
    <row r="217" spans="2:61" ht="23.25">
      <c r="B217" s="14">
        <v>86</v>
      </c>
      <c r="C217" s="14">
        <v>5</v>
      </c>
      <c r="D217" s="15">
        <v>8</v>
      </c>
      <c r="E217" s="18" cm="1">
        <f t="array" ref="E217">SUM(--SUBSTITUTE(_xlfn.TEXTSPLIT(J217,";"),G217,""))</f>
        <v>786322</v>
      </c>
      <c r="F217"/>
      <c r="G217" s="76" t="s">
        <v>141</v>
      </c>
      <c r="H217" s="77"/>
      <c r="J217" s="57" t="s">
        <v>165</v>
      </c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8"/>
      <c r="AR217" s="58"/>
      <c r="AS217" s="58"/>
      <c r="AT217" s="59"/>
      <c r="AU217" s="1"/>
      <c r="AV217" s="1">
        <f t="shared" si="2"/>
        <v>7</v>
      </c>
      <c r="AW217" s="1" t="str" cm="1">
        <f t="array" ref="AW217:BC217">_xlfn.REGEXEXTRACT(J217,"(;[^0123456789]+)",1)</f>
        <v>;👹</v>
      </c>
      <c r="AX217" s="1" t="str">
        <v>;👹</v>
      </c>
      <c r="AY217" s="1" t="str">
        <v>;👹</v>
      </c>
      <c r="AZ217" s="1" t="str">
        <v>;👹</v>
      </c>
      <c r="BA217" s="1" t="str">
        <v>;👹</v>
      </c>
      <c r="BB217" s="1" t="str">
        <v>;👹</v>
      </c>
      <c r="BC217" s="1" t="str">
        <v>;👹</v>
      </c>
    </row>
    <row r="218" spans="2:61" ht="23.25">
      <c r="B218" s="14">
        <v>87</v>
      </c>
      <c r="C218" s="14">
        <v>5</v>
      </c>
      <c r="D218" s="15">
        <v>8</v>
      </c>
      <c r="E218" s="18" cm="1">
        <f t="array" ref="E218">SUM(--SUBSTITUTE(_xlfn.TEXTSPLIT(J218,";"),G218,""))</f>
        <v>619661</v>
      </c>
      <c r="F218"/>
      <c r="G218" s="76" t="s">
        <v>137</v>
      </c>
      <c r="H218" s="77"/>
      <c r="J218" s="57" t="s">
        <v>166</v>
      </c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8"/>
      <c r="AR218" s="58"/>
      <c r="AS218" s="58"/>
      <c r="AT218" s="59"/>
      <c r="AU218" s="1"/>
      <c r="AV218" s="1">
        <f t="shared" si="2"/>
        <v>5</v>
      </c>
      <c r="AW218" s="1" t="str" cm="1">
        <f t="array" ref="AW218:BA218">_xlfn.REGEXEXTRACT(J218,"(;[^0123456789]+)",1)</f>
        <v>;👽</v>
      </c>
      <c r="AX218" s="1" t="str">
        <v>;👽</v>
      </c>
      <c r="AY218" s="1" t="str">
        <v>;👽</v>
      </c>
      <c r="AZ218" s="1" t="str">
        <v>;👽</v>
      </c>
      <c r="BA218" s="1" t="str">
        <v>;👽</v>
      </c>
      <c r="BB218" s="1"/>
      <c r="BC218" s="1"/>
    </row>
    <row r="219" spans="2:61" ht="23.25">
      <c r="B219" s="14">
        <v>88</v>
      </c>
      <c r="C219" s="14">
        <v>5</v>
      </c>
      <c r="D219" s="15">
        <v>8</v>
      </c>
      <c r="E219" s="18" cm="1">
        <f t="array" ref="E219">SUM(--SUBSTITUTE(_xlfn.TEXTSPLIT(J219,";"),G219,""))</f>
        <v>481664</v>
      </c>
      <c r="F219"/>
      <c r="G219" s="76" t="s">
        <v>140</v>
      </c>
      <c r="H219" s="77"/>
      <c r="J219" s="57" t="s">
        <v>167</v>
      </c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  <c r="AG219" s="58"/>
      <c r="AH219" s="58"/>
      <c r="AI219" s="58"/>
      <c r="AJ219" s="58"/>
      <c r="AK219" s="58"/>
      <c r="AL219" s="58"/>
      <c r="AM219" s="58"/>
      <c r="AN219" s="58"/>
      <c r="AO219" s="58"/>
      <c r="AP219" s="58"/>
      <c r="AQ219" s="58"/>
      <c r="AR219" s="58"/>
      <c r="AS219" s="58"/>
      <c r="AT219" s="59"/>
      <c r="AU219" s="1"/>
      <c r="AV219" s="1">
        <f t="shared" si="2"/>
        <v>6</v>
      </c>
      <c r="AW219" s="1" t="str" cm="1">
        <f t="array" ref="AW219:BB219">_xlfn.REGEXEXTRACT(J219,"(;[^0123456789]+)",1)</f>
        <v>;👿</v>
      </c>
      <c r="AX219" s="1" t="str">
        <v>;👿</v>
      </c>
      <c r="AY219" s="1" t="str">
        <v>;👿</v>
      </c>
      <c r="AZ219" s="1" t="str">
        <v>;👿</v>
      </c>
      <c r="BA219" s="1" t="str">
        <v>;👿</v>
      </c>
      <c r="BB219" s="1" t="str">
        <v>;👿</v>
      </c>
      <c r="BC219" s="1"/>
    </row>
    <row r="220" spans="2:61" ht="23.25">
      <c r="B220" s="14">
        <v>89</v>
      </c>
      <c r="C220" s="14">
        <v>5</v>
      </c>
      <c r="D220" s="15">
        <v>8</v>
      </c>
      <c r="E220" s="18" cm="1">
        <f t="array" ref="E220">SUM(--SUBSTITUTE(_xlfn.TEXTSPLIT(J220,";"),G220,""))</f>
        <v>609960</v>
      </c>
      <c r="F220"/>
      <c r="G220" s="76" t="s">
        <v>142</v>
      </c>
      <c r="H220" s="77"/>
      <c r="J220" s="57" t="s">
        <v>168</v>
      </c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  <c r="AG220" s="58"/>
      <c r="AH220" s="58"/>
      <c r="AI220" s="58"/>
      <c r="AJ220" s="58"/>
      <c r="AK220" s="58"/>
      <c r="AL220" s="58"/>
      <c r="AM220" s="58"/>
      <c r="AN220" s="58"/>
      <c r="AO220" s="58"/>
      <c r="AP220" s="58"/>
      <c r="AQ220" s="58"/>
      <c r="AR220" s="58"/>
      <c r="AS220" s="58"/>
      <c r="AT220" s="59"/>
      <c r="AU220" s="1"/>
      <c r="AV220" s="1">
        <f t="shared" si="2"/>
        <v>7</v>
      </c>
      <c r="AW220" s="1" t="str" cm="1">
        <f t="array" ref="AW220:BC220">_xlfn.REGEXEXTRACT(J220,"(;[^0123456789]+)",1)</f>
        <v>;💀</v>
      </c>
      <c r="AX220" s="1" t="str">
        <v>;💀</v>
      </c>
      <c r="AY220" s="1" t="str">
        <v>;💀</v>
      </c>
      <c r="AZ220" s="1" t="str">
        <v>;💀</v>
      </c>
      <c r="BA220" s="1" t="str">
        <v>;💀</v>
      </c>
      <c r="BB220" s="1" t="str">
        <v>;💀</v>
      </c>
      <c r="BC220" s="1" t="str">
        <v>;💀</v>
      </c>
    </row>
    <row r="221" spans="2:61" ht="23.25">
      <c r="B221" s="14">
        <v>90</v>
      </c>
      <c r="C221" s="14">
        <v>5</v>
      </c>
      <c r="D221" s="15">
        <v>8</v>
      </c>
      <c r="E221" s="18" cm="1">
        <f t="array" ref="E221">SUM(--SUBSTITUTE(_xlfn.TEXTSPLIT(J221,";"),G221,""))</f>
        <v>876979</v>
      </c>
      <c r="F221"/>
      <c r="G221" s="76" t="s">
        <v>144</v>
      </c>
      <c r="H221" s="77"/>
      <c r="J221" s="57" t="s">
        <v>169</v>
      </c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  <c r="AG221" s="58"/>
      <c r="AH221" s="58"/>
      <c r="AI221" s="58"/>
      <c r="AJ221" s="58"/>
      <c r="AK221" s="58"/>
      <c r="AL221" s="58"/>
      <c r="AM221" s="58"/>
      <c r="AN221" s="58"/>
      <c r="AO221" s="58"/>
      <c r="AP221" s="58"/>
      <c r="AQ221" s="58"/>
      <c r="AR221" s="58"/>
      <c r="AS221" s="58"/>
      <c r="AT221" s="59"/>
      <c r="AU221" s="1"/>
      <c r="AV221" s="1">
        <f>COUNTA(_xlfn.ANCHORARRAY(AW221))</f>
        <v>13</v>
      </c>
      <c r="AW221" s="1" t="str" cm="1">
        <f t="array" ref="AW221:BI221">_xlfn.REGEXEXTRACT(J221,"(;[^0123456789]+)",1)</f>
        <v>;🐉</v>
      </c>
      <c r="AX221" s="1" t="str">
        <v>;🐉</v>
      </c>
      <c r="AY221" s="1" t="str">
        <v>;🐉</v>
      </c>
      <c r="AZ221" s="1" t="str">
        <v>;🐉</v>
      </c>
      <c r="BA221" s="1" t="str">
        <v>;🐉</v>
      </c>
      <c r="BB221" s="1" t="str">
        <v>;🐉</v>
      </c>
      <c r="BC221" s="1" t="str">
        <v>;🐉</v>
      </c>
      <c r="BD221" s="4" t="str">
        <v>;🐉</v>
      </c>
      <c r="BE221" s="4" t="str">
        <v>;🐉</v>
      </c>
      <c r="BF221" s="4" t="str">
        <v>;🐉</v>
      </c>
      <c r="BG221" s="4" t="str">
        <v>;🐉</v>
      </c>
      <c r="BH221" s="4" t="str">
        <v>;🐉</v>
      </c>
      <c r="BI221" s="4" t="str">
        <v>;🐉</v>
      </c>
    </row>
    <row r="222" spans="2:61" ht="23.25">
      <c r="B222" s="14">
        <v>91</v>
      </c>
      <c r="C222" s="14">
        <v>5</v>
      </c>
      <c r="D222" s="15">
        <v>8</v>
      </c>
      <c r="E222" s="18" cm="1">
        <f t="array" ref="E222">SUM(--SUBSTITUTE(_xlfn.TEXTSPLIT(J222,";"),G222,""))</f>
        <v>868323</v>
      </c>
      <c r="F222"/>
      <c r="G222" s="76" t="s">
        <v>138</v>
      </c>
      <c r="H222" s="77"/>
      <c r="J222" s="57" t="s">
        <v>170</v>
      </c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  <c r="AG222" s="58"/>
      <c r="AH222" s="58"/>
      <c r="AI222" s="58"/>
      <c r="AJ222" s="58"/>
      <c r="AK222" s="58"/>
      <c r="AL222" s="58"/>
      <c r="AM222" s="58"/>
      <c r="AN222" s="58"/>
      <c r="AO222" s="58"/>
      <c r="AP222" s="58"/>
      <c r="AQ222" s="58"/>
      <c r="AR222" s="58"/>
      <c r="AS222" s="58"/>
      <c r="AT222" s="59"/>
      <c r="AU222" s="1"/>
      <c r="AV222" s="1">
        <f t="shared" si="2"/>
        <v>8</v>
      </c>
      <c r="AW222" s="1" t="str" cm="1">
        <f t="array" ref="AW222:BD222">_xlfn.REGEXEXTRACT(J222,"(;[^0123456789]+)",1)</f>
        <v>;🐙</v>
      </c>
      <c r="AX222" s="1" t="str">
        <v>;🐙</v>
      </c>
      <c r="AY222" s="1" t="str">
        <v>;🐙</v>
      </c>
      <c r="AZ222" s="1" t="str">
        <v>;🐙</v>
      </c>
      <c r="BA222" s="1" t="str">
        <v>;🐙</v>
      </c>
      <c r="BB222" s="1" t="str">
        <v>;🐙</v>
      </c>
      <c r="BC222" s="1" t="str">
        <v>;🐙</v>
      </c>
      <c r="BD222" s="4" t="str">
        <v>;🐙</v>
      </c>
    </row>
    <row r="223" spans="2:61" ht="23.25">
      <c r="B223" s="14">
        <v>92</v>
      </c>
      <c r="C223" s="14">
        <v>5</v>
      </c>
      <c r="D223" s="15">
        <v>8</v>
      </c>
      <c r="E223" s="18" cm="1">
        <f t="array" ref="E223">SUM(--SUBSTITUTE(_xlfn.TEXTSPLIT(J223,";"),G223,""))</f>
        <v>629251</v>
      </c>
      <c r="F223"/>
      <c r="G223" s="76" t="s">
        <v>141</v>
      </c>
      <c r="H223" s="77"/>
      <c r="J223" s="57" t="s">
        <v>171</v>
      </c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  <c r="AG223" s="58"/>
      <c r="AH223" s="58"/>
      <c r="AI223" s="58"/>
      <c r="AJ223" s="58"/>
      <c r="AK223" s="58"/>
      <c r="AL223" s="58"/>
      <c r="AM223" s="58"/>
      <c r="AN223" s="58"/>
      <c r="AO223" s="58"/>
      <c r="AP223" s="58"/>
      <c r="AQ223" s="58"/>
      <c r="AR223" s="58"/>
      <c r="AS223" s="58"/>
      <c r="AT223" s="59"/>
      <c r="AU223" s="1"/>
      <c r="AV223" s="1">
        <f t="shared" si="2"/>
        <v>6</v>
      </c>
      <c r="AW223" s="1" t="str" cm="1">
        <f t="array" ref="AW223:BB223">_xlfn.REGEXEXTRACT(J223,"(;[^0123456789]+)",1)</f>
        <v>;👹</v>
      </c>
      <c r="AX223" s="1" t="str">
        <v>;👹</v>
      </c>
      <c r="AY223" s="1" t="str">
        <v>;👹</v>
      </c>
      <c r="AZ223" s="1" t="str">
        <v>;👹</v>
      </c>
      <c r="BA223" s="1" t="str">
        <v>;👹</v>
      </c>
      <c r="BB223" s="1" t="str">
        <v>;👹</v>
      </c>
      <c r="BC223" s="1"/>
    </row>
    <row r="224" spans="2:61" ht="23.25">
      <c r="B224" s="14">
        <v>93</v>
      </c>
      <c r="C224" s="14">
        <v>5</v>
      </c>
      <c r="D224" s="15">
        <v>8</v>
      </c>
      <c r="E224" s="18" cm="1">
        <f t="array" ref="E224">SUM(--SUBSTITUTE(_xlfn.TEXTSPLIT(J224,";"),G224,""))</f>
        <v>538901</v>
      </c>
      <c r="F224"/>
      <c r="G224" s="76" t="s">
        <v>137</v>
      </c>
      <c r="H224" s="77"/>
      <c r="J224" s="57" t="s">
        <v>172</v>
      </c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  <c r="AG224" s="58"/>
      <c r="AH224" s="58"/>
      <c r="AI224" s="58"/>
      <c r="AJ224" s="58"/>
      <c r="AK224" s="58"/>
      <c r="AL224" s="58"/>
      <c r="AM224" s="58"/>
      <c r="AN224" s="58"/>
      <c r="AO224" s="58"/>
      <c r="AP224" s="58"/>
      <c r="AQ224" s="58"/>
      <c r="AR224" s="58"/>
      <c r="AS224" s="58"/>
      <c r="AT224" s="59"/>
      <c r="AU224" s="1"/>
      <c r="AV224" s="1">
        <f t="shared" si="2"/>
        <v>7</v>
      </c>
      <c r="AW224" s="1" t="str" cm="1">
        <f t="array" ref="AW224:BC224">_xlfn.REGEXEXTRACT(J224,"(;[^0123456789]+)",1)</f>
        <v>;👽</v>
      </c>
      <c r="AX224" s="1" t="str">
        <v>;👽</v>
      </c>
      <c r="AY224" s="1" t="str">
        <v>;👽</v>
      </c>
      <c r="AZ224" s="1" t="str">
        <v>;👽</v>
      </c>
      <c r="BA224" s="1" t="str">
        <v>;👽</v>
      </c>
      <c r="BB224" s="1" t="str">
        <v>;👽</v>
      </c>
      <c r="BC224" s="1" t="str">
        <v>;👽</v>
      </c>
    </row>
    <row r="225" spans="2:59" ht="23.25">
      <c r="B225" s="14">
        <v>94</v>
      </c>
      <c r="C225" s="14">
        <v>5</v>
      </c>
      <c r="D225" s="15">
        <v>8</v>
      </c>
      <c r="E225" s="18" cm="1">
        <f t="array" ref="E225">SUM(--SUBSTITUTE(_xlfn.TEXTSPLIT(J225,";"),G225,""))</f>
        <v>565108</v>
      </c>
      <c r="F225"/>
      <c r="G225" s="76" t="s">
        <v>142</v>
      </c>
      <c r="H225" s="77"/>
      <c r="J225" s="57" t="s">
        <v>173</v>
      </c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  <c r="AG225" s="58"/>
      <c r="AH225" s="58"/>
      <c r="AI225" s="58"/>
      <c r="AJ225" s="58"/>
      <c r="AK225" s="58"/>
      <c r="AL225" s="58"/>
      <c r="AM225" s="58"/>
      <c r="AN225" s="58"/>
      <c r="AO225" s="58"/>
      <c r="AP225" s="58"/>
      <c r="AQ225" s="58"/>
      <c r="AR225" s="58"/>
      <c r="AS225" s="58"/>
      <c r="AT225" s="59"/>
      <c r="AU225" s="1"/>
      <c r="AV225" s="1">
        <f t="shared" si="2"/>
        <v>8</v>
      </c>
      <c r="AW225" s="1" t="str" cm="1">
        <f t="array" ref="AW225:BD225">_xlfn.REGEXEXTRACT(J225,"(;[^0123456789]+)",1)</f>
        <v>;💀</v>
      </c>
      <c r="AX225" s="1" t="str">
        <v>;💀</v>
      </c>
      <c r="AY225" s="1" t="str">
        <v>;💀</v>
      </c>
      <c r="AZ225" s="1" t="str">
        <v>;💀</v>
      </c>
      <c r="BA225" s="1" t="str">
        <v>;💀</v>
      </c>
      <c r="BB225" s="1" t="str">
        <v>;💀</v>
      </c>
      <c r="BC225" s="1" t="str">
        <v>;💀</v>
      </c>
      <c r="BD225" s="4" t="str">
        <v>;💀</v>
      </c>
    </row>
    <row r="226" spans="2:59" ht="23.25">
      <c r="B226" s="14">
        <v>95</v>
      </c>
      <c r="C226" s="14">
        <v>5</v>
      </c>
      <c r="D226" s="15">
        <v>8</v>
      </c>
      <c r="E226" s="18" cm="1">
        <f t="array" ref="E226">SUM(--SUBSTITUTE(_xlfn.TEXTSPLIT(J226,";"),G226,""))</f>
        <v>700882</v>
      </c>
      <c r="F226"/>
      <c r="G226" s="76" t="s">
        <v>139</v>
      </c>
      <c r="H226" s="77"/>
      <c r="J226" s="57" t="s">
        <v>174</v>
      </c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  <c r="AG226" s="58"/>
      <c r="AH226" s="58"/>
      <c r="AI226" s="58"/>
      <c r="AJ226" s="58"/>
      <c r="AK226" s="58"/>
      <c r="AL226" s="58"/>
      <c r="AM226" s="58"/>
      <c r="AN226" s="58"/>
      <c r="AO226" s="58"/>
      <c r="AP226" s="58"/>
      <c r="AQ226" s="58"/>
      <c r="AR226" s="58"/>
      <c r="AS226" s="58"/>
      <c r="AT226" s="59"/>
      <c r="AU226" s="1"/>
      <c r="AV226" s="1">
        <f t="shared" si="2"/>
        <v>5</v>
      </c>
      <c r="AW226" s="1" t="str" cm="1">
        <f t="array" ref="AW226:BA226">_xlfn.REGEXEXTRACT(J226,"(;[^0123456789]+)",1)</f>
        <v>;🎃</v>
      </c>
      <c r="AX226" s="1" t="str">
        <v>;🎃</v>
      </c>
      <c r="AY226" s="1" t="str">
        <v>;🎃</v>
      </c>
      <c r="AZ226" s="1" t="str">
        <v>;🎃</v>
      </c>
      <c r="BA226" s="1" t="str">
        <v>;🎃</v>
      </c>
      <c r="BB226" s="1"/>
      <c r="BC226" s="1"/>
    </row>
    <row r="227" spans="2:59" ht="23.25">
      <c r="B227" s="14">
        <v>96</v>
      </c>
      <c r="C227" s="14">
        <v>5</v>
      </c>
      <c r="D227" s="15">
        <v>8</v>
      </c>
      <c r="E227" s="18" cm="1">
        <f t="array" ref="E227">SUM(--SUBSTITUTE(_xlfn.TEXTSPLIT(J227,";"),G227,""))</f>
        <v>430880</v>
      </c>
      <c r="F227"/>
      <c r="G227" s="76" t="s">
        <v>136</v>
      </c>
      <c r="H227" s="77"/>
      <c r="J227" s="57" t="s">
        <v>175</v>
      </c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  <c r="AG227" s="58"/>
      <c r="AH227" s="58"/>
      <c r="AI227" s="58"/>
      <c r="AJ227" s="58"/>
      <c r="AK227" s="58"/>
      <c r="AL227" s="58"/>
      <c r="AM227" s="58"/>
      <c r="AN227" s="58"/>
      <c r="AO227" s="58"/>
      <c r="AP227" s="58"/>
      <c r="AQ227" s="58"/>
      <c r="AR227" s="58"/>
      <c r="AS227" s="58"/>
      <c r="AT227" s="59"/>
      <c r="AU227" s="1"/>
      <c r="AV227" s="1">
        <f t="shared" si="2"/>
        <v>6</v>
      </c>
      <c r="AW227" s="1" t="str" cm="1">
        <f t="array" ref="AW227:BB227">_xlfn.REGEXEXTRACT(J227,"(;[^0123456789]+)",1)</f>
        <v>;🐍</v>
      </c>
      <c r="AX227" s="1" t="str">
        <v>;🐍</v>
      </c>
      <c r="AY227" s="1" t="str">
        <v>;🐍</v>
      </c>
      <c r="AZ227" s="1" t="str">
        <v>;🐍</v>
      </c>
      <c r="BA227" s="1" t="str">
        <v>;🐍</v>
      </c>
      <c r="BB227" s="1" t="str">
        <v>;🐍</v>
      </c>
      <c r="BC227" s="1"/>
    </row>
    <row r="228" spans="2:59" ht="23.25">
      <c r="B228" s="14">
        <v>97</v>
      </c>
      <c r="C228" s="14">
        <v>5</v>
      </c>
      <c r="D228" s="15">
        <v>8</v>
      </c>
      <c r="E228" s="18" cm="1">
        <f t="array" ref="E228">SUM(--SUBSTITUTE(_xlfn.TEXTSPLIT(J228,";"),G228,""))</f>
        <v>306128</v>
      </c>
      <c r="F228"/>
      <c r="G228" s="76" t="s">
        <v>135</v>
      </c>
      <c r="H228" s="77"/>
      <c r="J228" s="57" t="s">
        <v>176</v>
      </c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  <c r="AG228" s="58"/>
      <c r="AH228" s="58"/>
      <c r="AI228" s="58"/>
      <c r="AJ228" s="58"/>
      <c r="AK228" s="58"/>
      <c r="AL228" s="58"/>
      <c r="AM228" s="58"/>
      <c r="AN228" s="58"/>
      <c r="AO228" s="58"/>
      <c r="AP228" s="58"/>
      <c r="AQ228" s="58"/>
      <c r="AR228" s="58"/>
      <c r="AS228" s="58"/>
      <c r="AT228" s="59"/>
      <c r="AU228" s="1"/>
      <c r="AV228" s="1">
        <f t="shared" si="2"/>
        <v>11</v>
      </c>
      <c r="AW228" s="1" t="str" cm="1">
        <f t="array" ref="AW228:BG228">_xlfn.REGEXEXTRACT(J228,"(;[^0123456789]+)",1)</f>
        <v>;🐽</v>
      </c>
      <c r="AX228" s="1" t="str">
        <v>;🐽</v>
      </c>
      <c r="AY228" s="1" t="str">
        <v>;🐽</v>
      </c>
      <c r="AZ228" s="1" t="str">
        <v>;🐽</v>
      </c>
      <c r="BA228" s="1" t="str">
        <v>;🐽</v>
      </c>
      <c r="BB228" s="1" t="str">
        <v>;🐽</v>
      </c>
      <c r="BC228" s="1" t="str">
        <v>;🐽</v>
      </c>
      <c r="BD228" s="4" t="str">
        <v>;🐽</v>
      </c>
      <c r="BE228" s="4" t="str">
        <v>;🐽</v>
      </c>
      <c r="BF228" s="4" t="str">
        <v>;🐽</v>
      </c>
      <c r="BG228" s="4" t="str">
        <v>;🐽</v>
      </c>
    </row>
    <row r="229" spans="2:59" ht="23.25">
      <c r="B229" s="14">
        <v>98</v>
      </c>
      <c r="C229" s="14">
        <v>5</v>
      </c>
      <c r="D229" s="15">
        <v>8</v>
      </c>
      <c r="E229" s="18" cm="1">
        <f t="array" ref="E229">SUM(--SUBSTITUTE(_xlfn.TEXTSPLIT(J229,";"),G229,""))</f>
        <v>574747</v>
      </c>
      <c r="F229"/>
      <c r="G229" s="76" t="s">
        <v>143</v>
      </c>
      <c r="H229" s="77"/>
      <c r="J229" s="57" t="s">
        <v>177</v>
      </c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  <c r="AG229" s="58"/>
      <c r="AH229" s="58"/>
      <c r="AI229" s="58"/>
      <c r="AJ229" s="58"/>
      <c r="AK229" s="58"/>
      <c r="AL229" s="58"/>
      <c r="AM229" s="58"/>
      <c r="AN229" s="58"/>
      <c r="AO229" s="58"/>
      <c r="AP229" s="58"/>
      <c r="AQ229" s="58"/>
      <c r="AR229" s="58"/>
      <c r="AS229" s="58"/>
      <c r="AT229" s="59"/>
      <c r="AU229" s="1"/>
      <c r="AV229" s="1">
        <f t="shared" si="2"/>
        <v>6</v>
      </c>
      <c r="AW229" s="1" t="str" cm="1">
        <f t="array" ref="AW229:BB229">_xlfn.REGEXEXTRACT(J229,"(;[^0123456789]+)",1)</f>
        <v>;👻</v>
      </c>
      <c r="AX229" s="1" t="str">
        <v>;👻</v>
      </c>
      <c r="AY229" s="1" t="str">
        <v>;👻</v>
      </c>
      <c r="AZ229" s="1" t="str">
        <v>;👻</v>
      </c>
      <c r="BA229" s="1" t="str">
        <v>;👻</v>
      </c>
      <c r="BB229" s="1" t="str">
        <v>;👻</v>
      </c>
      <c r="BC229" s="1"/>
    </row>
    <row r="230" spans="2:59" ht="23.25">
      <c r="B230" s="14">
        <v>99</v>
      </c>
      <c r="C230" s="14">
        <v>5</v>
      </c>
      <c r="D230" s="15">
        <v>8</v>
      </c>
      <c r="E230" s="18" cm="1">
        <f t="array" ref="E230">SUM(--SUBSTITUTE(_xlfn.TEXTSPLIT(J230,";"),G230,""))</f>
        <v>428201</v>
      </c>
      <c r="F230"/>
      <c r="G230" s="76" t="s">
        <v>140</v>
      </c>
      <c r="H230" s="77"/>
      <c r="J230" s="57" t="s">
        <v>178</v>
      </c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  <c r="AG230" s="58"/>
      <c r="AH230" s="58"/>
      <c r="AI230" s="58"/>
      <c r="AJ230" s="58"/>
      <c r="AK230" s="58"/>
      <c r="AL230" s="58"/>
      <c r="AM230" s="58"/>
      <c r="AN230" s="58"/>
      <c r="AO230" s="58"/>
      <c r="AP230" s="58"/>
      <c r="AQ230" s="58"/>
      <c r="AR230" s="58"/>
      <c r="AS230" s="58"/>
      <c r="AT230" s="59"/>
      <c r="AU230" s="1"/>
      <c r="AV230" s="1">
        <f t="shared" si="2"/>
        <v>11</v>
      </c>
      <c r="AW230" s="1" t="str" cm="1">
        <f t="array" ref="AW230:BG230">_xlfn.REGEXEXTRACT(J230,"(;[^0123456789]+)",1)</f>
        <v>;👿</v>
      </c>
      <c r="AX230" s="1" t="str">
        <v>;👿</v>
      </c>
      <c r="AY230" s="1" t="str">
        <v>;👿</v>
      </c>
      <c r="AZ230" s="1" t="str">
        <v>;👿</v>
      </c>
      <c r="BA230" s="1" t="str">
        <v>;👿</v>
      </c>
      <c r="BB230" s="1" t="str">
        <v>;👿</v>
      </c>
      <c r="BC230" s="1" t="str">
        <v>;👿</v>
      </c>
      <c r="BD230" s="4" t="str">
        <v>;👿</v>
      </c>
      <c r="BE230" s="4" t="str">
        <v>;👿</v>
      </c>
      <c r="BF230" s="4" t="str">
        <v>;👿</v>
      </c>
      <c r="BG230" s="4" t="str">
        <v>;👿</v>
      </c>
    </row>
    <row r="231" spans="2:59" ht="23.25">
      <c r="B231" s="14">
        <v>100</v>
      </c>
      <c r="C231" s="14">
        <v>5</v>
      </c>
      <c r="D231" s="15">
        <v>8</v>
      </c>
      <c r="E231" s="18" cm="1">
        <f t="array" ref="E231">SUM(--SUBSTITUTE(_xlfn.TEXTSPLIT(J231,";"),G231,""))</f>
        <v>628206</v>
      </c>
      <c r="F231"/>
      <c r="G231" s="76" t="s">
        <v>135</v>
      </c>
      <c r="H231" s="77"/>
      <c r="J231" s="57" t="s">
        <v>179</v>
      </c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  <c r="AG231" s="58"/>
      <c r="AH231" s="58"/>
      <c r="AI231" s="58"/>
      <c r="AJ231" s="58"/>
      <c r="AK231" s="58"/>
      <c r="AL231" s="58"/>
      <c r="AM231" s="58"/>
      <c r="AN231" s="58"/>
      <c r="AO231" s="58"/>
      <c r="AP231" s="58"/>
      <c r="AQ231" s="58"/>
      <c r="AR231" s="58"/>
      <c r="AS231" s="58"/>
      <c r="AT231" s="59"/>
      <c r="AU231" s="1"/>
      <c r="AV231" s="1">
        <f t="shared" si="2"/>
        <v>8</v>
      </c>
      <c r="AW231" s="1" t="str" cm="1">
        <f t="array" ref="AW231:BD231">_xlfn.REGEXEXTRACT(J231,"(;[^0123456789]+)",1)</f>
        <v>;🐽</v>
      </c>
      <c r="AX231" s="1" t="str">
        <v>;🐽</v>
      </c>
      <c r="AY231" s="1" t="str">
        <v>;🐽</v>
      </c>
      <c r="AZ231" s="1" t="str">
        <v>;🐽</v>
      </c>
      <c r="BA231" s="1" t="str">
        <v>;🐽</v>
      </c>
      <c r="BB231" s="1" t="str">
        <v>;🐽</v>
      </c>
      <c r="BC231" s="1" t="str">
        <v>;🐽</v>
      </c>
      <c r="BD231" s="4" t="str">
        <v>;🐽</v>
      </c>
    </row>
    <row r="232" spans="2:59">
      <c r="F232"/>
    </row>
    <row r="233" spans="2:59" ht="15.75" thickBot="1">
      <c r="F233"/>
    </row>
    <row r="234" spans="2:59" ht="22.5" customHeight="1" thickBot="1">
      <c r="B234" s="82" t="s">
        <v>180</v>
      </c>
      <c r="C234" s="83" t="s">
        <v>91</v>
      </c>
      <c r="D234" s="4"/>
      <c r="E234" s="24"/>
      <c r="F234"/>
      <c r="G234" s="32"/>
      <c r="H234" s="19"/>
    </row>
    <row r="235" spans="2:59" ht="15.75">
      <c r="B235" s="16"/>
      <c r="C235" s="4"/>
      <c r="D235" s="4"/>
      <c r="E235" s="24"/>
      <c r="F235"/>
      <c r="G235" s="32"/>
      <c r="H235" s="19"/>
    </row>
    <row r="236" spans="2:59" ht="15.75">
      <c r="B236" s="63" t="s">
        <v>181</v>
      </c>
      <c r="C236" s="4"/>
      <c r="D236" s="1"/>
      <c r="E236" s="22"/>
      <c r="F236"/>
      <c r="H236" s="19"/>
      <c r="L236" s="106" t="s">
        <v>182</v>
      </c>
      <c r="M236" s="106" t="s">
        <v>183</v>
      </c>
    </row>
    <row r="237" spans="2:59" ht="15.75">
      <c r="B237" s="63" t="s">
        <v>184</v>
      </c>
      <c r="C237" s="4"/>
      <c r="D237" s="4"/>
      <c r="E237" s="24"/>
      <c r="F237"/>
      <c r="G237" s="31"/>
      <c r="H237" s="19"/>
      <c r="L237" s="132" t="s">
        <v>139</v>
      </c>
      <c r="M237" s="133">
        <v>0</v>
      </c>
    </row>
    <row r="238" spans="2:59" ht="15.75">
      <c r="B238" s="63" t="s">
        <v>185</v>
      </c>
      <c r="C238" s="4"/>
      <c r="D238" s="4"/>
      <c r="E238" s="24"/>
      <c r="F238"/>
      <c r="G238" s="31"/>
      <c r="H238" s="19"/>
      <c r="L238" s="134" t="s">
        <v>144</v>
      </c>
      <c r="M238" s="135">
        <v>1</v>
      </c>
    </row>
    <row r="239" spans="2:59" ht="15.75">
      <c r="B239" s="62" t="s">
        <v>150</v>
      </c>
      <c r="C239" s="4"/>
      <c r="D239" s="4"/>
      <c r="E239" s="24"/>
      <c r="F239"/>
      <c r="G239" s="31"/>
      <c r="H239" s="19"/>
      <c r="L239" s="134" t="s">
        <v>136</v>
      </c>
      <c r="M239" s="135">
        <v>2</v>
      </c>
    </row>
    <row r="240" spans="2:59" ht="15.75">
      <c r="B240" s="85" t="s">
        <v>186</v>
      </c>
      <c r="C240" s="4"/>
      <c r="D240" s="4"/>
      <c r="E240" s="24"/>
      <c r="F240"/>
      <c r="G240" s="31"/>
      <c r="H240" s="19"/>
      <c r="L240" s="134" t="s">
        <v>138</v>
      </c>
      <c r="M240" s="135">
        <v>3</v>
      </c>
    </row>
    <row r="241" spans="1:76" ht="15.75">
      <c r="C241" s="4"/>
      <c r="D241" s="4"/>
      <c r="E241" s="24"/>
      <c r="F241"/>
      <c r="G241" s="31"/>
      <c r="H241" s="19"/>
      <c r="L241" s="134" t="s">
        <v>135</v>
      </c>
      <c r="M241" s="135">
        <v>4</v>
      </c>
    </row>
    <row r="242" spans="1:76" ht="15.75">
      <c r="B242" s="63" t="s">
        <v>187</v>
      </c>
      <c r="C242" s="4"/>
      <c r="D242" s="4"/>
      <c r="E242" s="24"/>
      <c r="F242"/>
      <c r="G242" s="31"/>
      <c r="H242" s="19"/>
      <c r="L242" s="134" t="s">
        <v>141</v>
      </c>
      <c r="M242" s="135">
        <v>5</v>
      </c>
      <c r="P242" s="47"/>
    </row>
    <row r="243" spans="1:76" ht="15.75">
      <c r="B243" s="63" t="s">
        <v>188</v>
      </c>
      <c r="C243" s="4"/>
      <c r="D243" s="4"/>
      <c r="E243" s="24"/>
      <c r="F243"/>
      <c r="G243" s="31"/>
      <c r="H243" s="19"/>
      <c r="L243" s="134" t="s">
        <v>143</v>
      </c>
      <c r="M243" s="135">
        <v>6</v>
      </c>
      <c r="P243" s="47"/>
    </row>
    <row r="244" spans="1:76" ht="15.75">
      <c r="B244" s="63"/>
      <c r="C244" s="4"/>
      <c r="D244" s="4"/>
      <c r="E244" s="24"/>
      <c r="F244"/>
      <c r="G244" s="31"/>
      <c r="H244" s="19"/>
      <c r="L244" s="134" t="s">
        <v>137</v>
      </c>
      <c r="M244" s="135">
        <v>7</v>
      </c>
      <c r="P244" s="47"/>
    </row>
    <row r="245" spans="1:76" ht="15.75">
      <c r="B245" s="65" t="s">
        <v>31</v>
      </c>
      <c r="C245" s="4"/>
      <c r="D245" s="4"/>
      <c r="E245" s="24"/>
      <c r="F245"/>
      <c r="G245" s="31"/>
      <c r="H245" s="19"/>
      <c r="L245" s="134" t="s">
        <v>140</v>
      </c>
      <c r="M245" s="135">
        <v>8</v>
      </c>
    </row>
    <row r="246" spans="1:76" ht="15.75">
      <c r="B246" s="66" t="s">
        <v>189</v>
      </c>
      <c r="C246" s="4"/>
      <c r="D246" s="4"/>
      <c r="E246" s="24"/>
      <c r="F246"/>
      <c r="G246" s="31"/>
      <c r="H246" s="19"/>
      <c r="L246" s="136" t="s">
        <v>142</v>
      </c>
      <c r="M246" s="137">
        <v>9</v>
      </c>
    </row>
    <row r="247" spans="1:76" ht="15.75">
      <c r="B247" s="66" t="s">
        <v>190</v>
      </c>
      <c r="C247" s="4"/>
      <c r="D247" s="4"/>
      <c r="E247" s="24"/>
      <c r="F247"/>
      <c r="G247" s="31"/>
      <c r="H247" s="19"/>
      <c r="I247" s="19"/>
      <c r="J247" s="19"/>
      <c r="K247" s="19"/>
    </row>
    <row r="248" spans="1:76" ht="15.75">
      <c r="B248" s="66" t="s">
        <v>191</v>
      </c>
      <c r="C248" s="4"/>
      <c r="D248" s="4"/>
      <c r="E248" s="24"/>
      <c r="F248"/>
      <c r="G248" s="31"/>
      <c r="H248" s="19"/>
      <c r="I248" s="19"/>
      <c r="J248" s="19"/>
      <c r="K248" s="19"/>
    </row>
    <row r="249" spans="1:76" ht="15.75" thickBot="1">
      <c r="C249" s="1"/>
      <c r="D249" s="1"/>
      <c r="E249" s="22"/>
      <c r="F249"/>
      <c r="H249" s="19"/>
      <c r="I249" s="19"/>
      <c r="J249" s="19"/>
      <c r="K249" s="19"/>
    </row>
    <row r="250" spans="1:76" ht="22.5" customHeight="1" thickBot="1">
      <c r="B250" s="16"/>
      <c r="C250" s="1"/>
      <c r="D250" s="1"/>
      <c r="E250" s="22"/>
      <c r="F250"/>
      <c r="G250" s="101" t="s">
        <v>192</v>
      </c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  <c r="X250" s="102"/>
      <c r="Y250" s="102"/>
      <c r="Z250" s="102"/>
      <c r="AA250" s="102"/>
      <c r="AB250" s="102"/>
      <c r="AC250" s="102"/>
      <c r="AD250" s="102"/>
      <c r="AE250" s="102"/>
      <c r="AF250" s="102"/>
      <c r="AG250" s="102"/>
      <c r="AH250" s="102"/>
      <c r="AI250" s="102"/>
      <c r="AJ250" s="102"/>
      <c r="AK250" s="102"/>
      <c r="AL250" s="102"/>
      <c r="AM250" s="102"/>
      <c r="AN250" s="102"/>
      <c r="AO250" s="102"/>
      <c r="AP250" s="102"/>
      <c r="AQ250" s="102"/>
      <c r="AR250" s="102"/>
      <c r="AS250" s="102"/>
      <c r="AT250" s="96"/>
    </row>
    <row r="251" spans="1:76" s="19" customFormat="1" ht="22.5" customHeight="1" thickBot="1">
      <c r="A251" s="1"/>
      <c r="B251" s="97" t="s">
        <v>9</v>
      </c>
      <c r="C251" s="97" t="s">
        <v>35</v>
      </c>
      <c r="D251" s="97" t="s">
        <v>11</v>
      </c>
      <c r="E251" s="97" t="s">
        <v>12</v>
      </c>
      <c r="F251"/>
      <c r="G251" s="99">
        <v>1</v>
      </c>
      <c r="H251" s="99">
        <v>2</v>
      </c>
      <c r="I251" s="99">
        <v>3</v>
      </c>
      <c r="J251" s="99">
        <v>4</v>
      </c>
      <c r="K251" s="99">
        <v>5</v>
      </c>
      <c r="L251" s="99">
        <v>6</v>
      </c>
      <c r="M251" s="99">
        <v>7</v>
      </c>
      <c r="N251" s="99">
        <v>8</v>
      </c>
      <c r="O251" s="99">
        <v>9</v>
      </c>
      <c r="P251" s="99">
        <v>10</v>
      </c>
      <c r="Q251" s="99">
        <v>11</v>
      </c>
      <c r="R251" s="99">
        <v>12</v>
      </c>
      <c r="S251" s="99">
        <v>13</v>
      </c>
      <c r="T251" s="99">
        <v>14</v>
      </c>
      <c r="U251" s="99">
        <v>15</v>
      </c>
      <c r="V251" s="99">
        <v>16</v>
      </c>
      <c r="W251" s="99">
        <v>17</v>
      </c>
      <c r="X251" s="99">
        <v>18</v>
      </c>
      <c r="Y251" s="99">
        <v>19</v>
      </c>
      <c r="Z251" s="99">
        <v>20</v>
      </c>
      <c r="AA251" s="99">
        <v>21</v>
      </c>
      <c r="AB251" s="99">
        <v>22</v>
      </c>
      <c r="AC251" s="99">
        <v>23</v>
      </c>
      <c r="AD251" s="99">
        <v>24</v>
      </c>
      <c r="AE251" s="99">
        <v>25</v>
      </c>
      <c r="AF251" s="99">
        <v>26</v>
      </c>
      <c r="AG251" s="99">
        <v>27</v>
      </c>
      <c r="AH251" s="99">
        <v>28</v>
      </c>
      <c r="AI251" s="99">
        <v>29</v>
      </c>
      <c r="AJ251" s="99">
        <v>30</v>
      </c>
      <c r="AK251" s="99">
        <v>31</v>
      </c>
      <c r="AL251" s="99">
        <v>32</v>
      </c>
      <c r="AM251" s="99">
        <v>33</v>
      </c>
      <c r="AN251" s="99">
        <v>34</v>
      </c>
      <c r="AO251" s="99">
        <v>35</v>
      </c>
      <c r="AP251" s="99">
        <v>36</v>
      </c>
      <c r="AQ251" s="99">
        <v>37</v>
      </c>
      <c r="AR251" s="99">
        <v>38</v>
      </c>
      <c r="AS251" s="99">
        <v>39</v>
      </c>
      <c r="AT251" s="99">
        <v>40</v>
      </c>
    </row>
    <row r="252" spans="1:76" ht="15.75">
      <c r="B252" s="1"/>
      <c r="C252" s="1"/>
      <c r="D252" s="1"/>
      <c r="E252" s="22"/>
      <c r="F252"/>
      <c r="G252" s="32"/>
      <c r="H252" s="19"/>
      <c r="I252" s="19"/>
      <c r="J252" s="19"/>
      <c r="K252" s="19"/>
    </row>
    <row r="253" spans="1:76" ht="23.25">
      <c r="B253" s="14" t="s">
        <v>193</v>
      </c>
      <c r="C253" s="14">
        <v>6</v>
      </c>
      <c r="D253" s="15">
        <v>0</v>
      </c>
      <c r="E253" s="46">
        <v>185</v>
      </c>
      <c r="F253"/>
      <c r="G253" s="44" t="s">
        <v>135</v>
      </c>
      <c r="H253" s="44" t="s">
        <v>136</v>
      </c>
      <c r="I253" s="44" t="s">
        <v>135</v>
      </c>
      <c r="J253" s="44" t="s">
        <v>137</v>
      </c>
      <c r="K253" s="44" t="s">
        <v>138</v>
      </c>
      <c r="L253" s="44" t="s">
        <v>139</v>
      </c>
      <c r="M253" s="44" t="s">
        <v>135</v>
      </c>
      <c r="N253" s="44" t="s">
        <v>140</v>
      </c>
      <c r="O253" s="44" t="s">
        <v>141</v>
      </c>
      <c r="P253" s="44" t="s">
        <v>142</v>
      </c>
      <c r="Q253" s="44" t="s">
        <v>143</v>
      </c>
      <c r="R253" s="44" t="s">
        <v>136</v>
      </c>
      <c r="S253" s="44" t="s">
        <v>141</v>
      </c>
      <c r="T253" s="44" t="s">
        <v>138</v>
      </c>
      <c r="U253" s="44" t="s">
        <v>138</v>
      </c>
      <c r="V253" s="44" t="s">
        <v>142</v>
      </c>
      <c r="W253" s="44" t="s">
        <v>138</v>
      </c>
      <c r="X253" s="44" t="s">
        <v>140</v>
      </c>
      <c r="Y253" s="44" t="s">
        <v>140</v>
      </c>
      <c r="Z253" s="44" t="s">
        <v>141</v>
      </c>
      <c r="AA253" s="44" t="s">
        <v>135</v>
      </c>
      <c r="AB253" s="44" t="s">
        <v>142</v>
      </c>
      <c r="AC253" s="44" t="s">
        <v>136</v>
      </c>
      <c r="AD253" s="44" t="s">
        <v>141</v>
      </c>
      <c r="AE253" s="44" t="s">
        <v>139</v>
      </c>
      <c r="AF253" s="44" t="s">
        <v>135</v>
      </c>
      <c r="AG253" s="44" t="s">
        <v>135</v>
      </c>
      <c r="AH253" s="44" t="s">
        <v>143</v>
      </c>
      <c r="AI253" s="44" t="s">
        <v>142</v>
      </c>
      <c r="AJ253" s="44" t="s">
        <v>142</v>
      </c>
      <c r="AK253" s="44" t="s">
        <v>144</v>
      </c>
      <c r="AL253" s="44" t="s">
        <v>136</v>
      </c>
      <c r="AM253" s="44" t="s">
        <v>144</v>
      </c>
      <c r="AN253" s="44" t="s">
        <v>143</v>
      </c>
      <c r="AO253" s="44" t="s">
        <v>143</v>
      </c>
      <c r="AP253" s="44" t="s">
        <v>136</v>
      </c>
      <c r="AQ253" s="44" t="s">
        <v>139</v>
      </c>
      <c r="AR253" s="44" t="s">
        <v>144</v>
      </c>
      <c r="AS253" s="44" t="s">
        <v>142</v>
      </c>
      <c r="AT253" s="44" t="s">
        <v>137</v>
      </c>
      <c r="AU253" s="1"/>
      <c r="AV253" s="1"/>
      <c r="AW253" s="1"/>
      <c r="AX253" s="1"/>
      <c r="AY253" s="1"/>
      <c r="AZ253" s="1"/>
      <c r="BA253" s="1"/>
      <c r="BB253" s="78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</row>
    <row r="254" spans="1:76" ht="15.75">
      <c r="B254" s="1"/>
      <c r="C254" s="1"/>
      <c r="D254" s="1"/>
      <c r="E254" s="22"/>
      <c r="F254"/>
      <c r="G254" s="45"/>
      <c r="H254" s="19"/>
      <c r="I254" s="19"/>
      <c r="J254" s="19"/>
      <c r="K254" s="19"/>
    </row>
    <row r="255" spans="1:76" ht="23.25">
      <c r="B255" s="14">
        <v>101</v>
      </c>
      <c r="C255" s="14">
        <v>6</v>
      </c>
      <c r="D255" s="15">
        <v>8</v>
      </c>
      <c r="E255" s="46" cm="1">
        <f t="array" ref="E255">SUM(_xlfn.XLOOKUP(G255:AT255,$L$237:$L$246,$M$237:$M$246,,0,1))</f>
        <v>144</v>
      </c>
      <c r="F255"/>
      <c r="G255" s="44" t="s">
        <v>137</v>
      </c>
      <c r="H255" s="44" t="s">
        <v>142</v>
      </c>
      <c r="I255" s="44" t="s">
        <v>144</v>
      </c>
      <c r="J255" s="44" t="s">
        <v>139</v>
      </c>
      <c r="K255" s="44" t="s">
        <v>142</v>
      </c>
      <c r="L255" s="44" t="s">
        <v>139</v>
      </c>
      <c r="M255" s="44" t="s">
        <v>143</v>
      </c>
      <c r="N255" s="44" t="s">
        <v>139</v>
      </c>
      <c r="O255" s="44" t="s">
        <v>139</v>
      </c>
      <c r="P255" s="44" t="s">
        <v>139</v>
      </c>
      <c r="Q255" s="44" t="s">
        <v>137</v>
      </c>
      <c r="R255" s="44" t="s">
        <v>144</v>
      </c>
      <c r="S255" s="44" t="s">
        <v>143</v>
      </c>
      <c r="T255" s="44" t="s">
        <v>135</v>
      </c>
      <c r="U255" s="44" t="s">
        <v>140</v>
      </c>
      <c r="V255" s="44" t="s">
        <v>136</v>
      </c>
      <c r="W255" s="44" t="s">
        <v>136</v>
      </c>
      <c r="X255" s="44" t="s">
        <v>141</v>
      </c>
      <c r="Y255" s="44" t="s">
        <v>138</v>
      </c>
      <c r="Z255" s="44" t="s">
        <v>137</v>
      </c>
      <c r="AA255" s="44" t="s">
        <v>144</v>
      </c>
      <c r="AB255" s="44" t="s">
        <v>136</v>
      </c>
      <c r="AC255" s="44" t="s">
        <v>138</v>
      </c>
      <c r="AD255" s="44" t="s">
        <v>138</v>
      </c>
      <c r="AE255" s="44" t="s">
        <v>142</v>
      </c>
      <c r="AF255" s="44" t="s">
        <v>136</v>
      </c>
      <c r="AG255" s="44" t="s">
        <v>136</v>
      </c>
      <c r="AH255" s="44" t="s">
        <v>139</v>
      </c>
      <c r="AI255" s="44" t="s">
        <v>136</v>
      </c>
      <c r="AJ255" s="44" t="s">
        <v>144</v>
      </c>
      <c r="AK255" s="44" t="s">
        <v>137</v>
      </c>
      <c r="AL255" s="44" t="s">
        <v>137</v>
      </c>
      <c r="AM255" s="44" t="s">
        <v>140</v>
      </c>
      <c r="AN255" s="44" t="s">
        <v>138</v>
      </c>
      <c r="AO255" s="44" t="s">
        <v>138</v>
      </c>
      <c r="AP255" s="44" t="s">
        <v>138</v>
      </c>
      <c r="AQ255" s="44" t="s">
        <v>135</v>
      </c>
      <c r="AR255" s="44" t="s">
        <v>141</v>
      </c>
      <c r="AS255" s="44" t="s">
        <v>139</v>
      </c>
      <c r="AT255" s="44" t="s">
        <v>136</v>
      </c>
      <c r="AU255" s="1"/>
      <c r="AV255" s="1"/>
      <c r="AW255" s="1"/>
      <c r="AX255" s="1"/>
      <c r="AY255" s="1"/>
      <c r="AZ255" s="1"/>
      <c r="BA255" s="1"/>
      <c r="BB255" s="78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</row>
    <row r="256" spans="1:76" ht="23.25">
      <c r="B256" s="14">
        <v>102</v>
      </c>
      <c r="C256" s="14">
        <v>6</v>
      </c>
      <c r="D256" s="15">
        <v>8</v>
      </c>
      <c r="E256" s="46" cm="1">
        <f t="array" ref="E256">SUM(_xlfn.XLOOKUP(G256:AT256,$L$237:$L$246,$M$237:$M$246,,0,1))</f>
        <v>168</v>
      </c>
      <c r="F256"/>
      <c r="G256" s="44" t="s">
        <v>136</v>
      </c>
      <c r="H256" s="44" t="s">
        <v>144</v>
      </c>
      <c r="I256" s="44" t="s">
        <v>136</v>
      </c>
      <c r="J256" s="44" t="s">
        <v>142</v>
      </c>
      <c r="K256" s="44" t="s">
        <v>139</v>
      </c>
      <c r="L256" s="44" t="s">
        <v>140</v>
      </c>
      <c r="M256" s="44" t="s">
        <v>137</v>
      </c>
      <c r="N256" s="44" t="s">
        <v>137</v>
      </c>
      <c r="O256" s="44" t="s">
        <v>139</v>
      </c>
      <c r="P256" s="44" t="s">
        <v>139</v>
      </c>
      <c r="Q256" s="44" t="s">
        <v>141</v>
      </c>
      <c r="R256" s="44" t="s">
        <v>136</v>
      </c>
      <c r="S256" s="44" t="s">
        <v>136</v>
      </c>
      <c r="T256" s="44" t="s">
        <v>139</v>
      </c>
      <c r="U256" s="44" t="s">
        <v>136</v>
      </c>
      <c r="V256" s="44" t="s">
        <v>137</v>
      </c>
      <c r="W256" s="44" t="s">
        <v>140</v>
      </c>
      <c r="X256" s="44" t="s">
        <v>141</v>
      </c>
      <c r="Y256" s="44" t="s">
        <v>140</v>
      </c>
      <c r="Z256" s="44" t="s">
        <v>141</v>
      </c>
      <c r="AA256" s="44" t="s">
        <v>143</v>
      </c>
      <c r="AB256" s="44" t="s">
        <v>140</v>
      </c>
      <c r="AC256" s="44" t="s">
        <v>140</v>
      </c>
      <c r="AD256" s="44" t="s">
        <v>138</v>
      </c>
      <c r="AE256" s="44" t="s">
        <v>143</v>
      </c>
      <c r="AF256" s="44" t="s">
        <v>138</v>
      </c>
      <c r="AG256" s="44" t="s">
        <v>136</v>
      </c>
      <c r="AH256" s="44" t="s">
        <v>135</v>
      </c>
      <c r="AI256" s="44" t="s">
        <v>138</v>
      </c>
      <c r="AJ256" s="44" t="s">
        <v>137</v>
      </c>
      <c r="AK256" s="44" t="s">
        <v>140</v>
      </c>
      <c r="AL256" s="44" t="s">
        <v>144</v>
      </c>
      <c r="AM256" s="44" t="s">
        <v>139</v>
      </c>
      <c r="AN256" s="44" t="s">
        <v>140</v>
      </c>
      <c r="AO256" s="44" t="s">
        <v>144</v>
      </c>
      <c r="AP256" s="44" t="s">
        <v>141</v>
      </c>
      <c r="AQ256" s="44" t="s">
        <v>136</v>
      </c>
      <c r="AR256" s="44" t="s">
        <v>136</v>
      </c>
      <c r="AS256" s="44" t="s">
        <v>140</v>
      </c>
      <c r="AT256" s="44" t="s">
        <v>138</v>
      </c>
      <c r="AU256" s="1"/>
      <c r="AV256" s="1"/>
      <c r="AW256" s="1"/>
      <c r="AX256" s="1"/>
      <c r="AY256" s="1"/>
      <c r="AZ256" s="1"/>
      <c r="BA256" s="1"/>
      <c r="BB256" s="78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</row>
    <row r="257" spans="2:76" ht="23.25">
      <c r="B257" s="14">
        <v>103</v>
      </c>
      <c r="C257" s="14">
        <v>6</v>
      </c>
      <c r="D257" s="15">
        <v>8</v>
      </c>
      <c r="E257" s="46" cm="1">
        <f t="array" ref="E257">SUM(_xlfn.XLOOKUP(G257:AT257,$L$237:$L$246,$M$237:$M$246,,0,1))</f>
        <v>182</v>
      </c>
      <c r="F257"/>
      <c r="G257" s="44" t="s">
        <v>141</v>
      </c>
      <c r="H257" s="44" t="s">
        <v>139</v>
      </c>
      <c r="I257" s="44" t="s">
        <v>141</v>
      </c>
      <c r="J257" s="44" t="s">
        <v>138</v>
      </c>
      <c r="K257" s="44" t="s">
        <v>139</v>
      </c>
      <c r="L257" s="44" t="s">
        <v>138</v>
      </c>
      <c r="M257" s="44" t="s">
        <v>136</v>
      </c>
      <c r="N257" s="44" t="s">
        <v>143</v>
      </c>
      <c r="O257" s="44" t="s">
        <v>141</v>
      </c>
      <c r="P257" s="44" t="s">
        <v>136</v>
      </c>
      <c r="Q257" s="44" t="s">
        <v>138</v>
      </c>
      <c r="R257" s="44" t="s">
        <v>144</v>
      </c>
      <c r="S257" s="44" t="s">
        <v>142</v>
      </c>
      <c r="T257" s="44" t="s">
        <v>137</v>
      </c>
      <c r="U257" s="44" t="s">
        <v>143</v>
      </c>
      <c r="V257" s="44" t="s">
        <v>137</v>
      </c>
      <c r="W257" s="44" t="s">
        <v>141</v>
      </c>
      <c r="X257" s="44" t="s">
        <v>144</v>
      </c>
      <c r="Y257" s="44" t="s">
        <v>138</v>
      </c>
      <c r="Z257" s="44" t="s">
        <v>137</v>
      </c>
      <c r="AA257" s="44" t="s">
        <v>144</v>
      </c>
      <c r="AB257" s="44" t="s">
        <v>142</v>
      </c>
      <c r="AC257" s="44" t="s">
        <v>137</v>
      </c>
      <c r="AD257" s="44" t="s">
        <v>137</v>
      </c>
      <c r="AE257" s="44" t="s">
        <v>138</v>
      </c>
      <c r="AF257" s="44" t="s">
        <v>136</v>
      </c>
      <c r="AG257" s="44" t="s">
        <v>135</v>
      </c>
      <c r="AH257" s="44" t="s">
        <v>143</v>
      </c>
      <c r="AI257" s="44" t="s">
        <v>136</v>
      </c>
      <c r="AJ257" s="44" t="s">
        <v>140</v>
      </c>
      <c r="AK257" s="44" t="s">
        <v>139</v>
      </c>
      <c r="AL257" s="44" t="s">
        <v>138</v>
      </c>
      <c r="AM257" s="44" t="s">
        <v>142</v>
      </c>
      <c r="AN257" s="44" t="s">
        <v>141</v>
      </c>
      <c r="AO257" s="44" t="s">
        <v>140</v>
      </c>
      <c r="AP257" s="44" t="s">
        <v>138</v>
      </c>
      <c r="AQ257" s="44" t="s">
        <v>142</v>
      </c>
      <c r="AR257" s="44" t="s">
        <v>137</v>
      </c>
      <c r="AS257" s="44" t="s">
        <v>141</v>
      </c>
      <c r="AT257" s="44" t="s">
        <v>135</v>
      </c>
      <c r="AU257" s="1"/>
      <c r="AV257" s="1"/>
      <c r="AW257" s="1"/>
      <c r="AX257" s="1"/>
      <c r="AY257" s="1"/>
      <c r="AZ257" s="1"/>
      <c r="BA257" s="1"/>
      <c r="BB257" s="78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</row>
    <row r="258" spans="2:76" ht="23.25">
      <c r="B258" s="14">
        <v>104</v>
      </c>
      <c r="C258" s="14">
        <v>6</v>
      </c>
      <c r="D258" s="15">
        <v>8</v>
      </c>
      <c r="E258" s="46" cm="1">
        <f t="array" ref="E258">SUM(_xlfn.XLOOKUP(G258:AT258,$L$237:$L$246,$M$237:$M$246,,0,1))</f>
        <v>198</v>
      </c>
      <c r="F258"/>
      <c r="G258" s="44" t="s">
        <v>140</v>
      </c>
      <c r="H258" s="44" t="s">
        <v>144</v>
      </c>
      <c r="I258" s="44" t="s">
        <v>143</v>
      </c>
      <c r="J258" s="44" t="s">
        <v>142</v>
      </c>
      <c r="K258" s="44" t="s">
        <v>137</v>
      </c>
      <c r="L258" s="44" t="s">
        <v>139</v>
      </c>
      <c r="M258" s="44" t="s">
        <v>138</v>
      </c>
      <c r="N258" s="44" t="s">
        <v>142</v>
      </c>
      <c r="O258" s="44" t="s">
        <v>140</v>
      </c>
      <c r="P258" s="44" t="s">
        <v>135</v>
      </c>
      <c r="Q258" s="44" t="s">
        <v>135</v>
      </c>
      <c r="R258" s="44" t="s">
        <v>137</v>
      </c>
      <c r="S258" s="44" t="s">
        <v>142</v>
      </c>
      <c r="T258" s="44" t="s">
        <v>137</v>
      </c>
      <c r="U258" s="44" t="s">
        <v>135</v>
      </c>
      <c r="V258" s="44" t="s">
        <v>139</v>
      </c>
      <c r="W258" s="44" t="s">
        <v>137</v>
      </c>
      <c r="X258" s="44" t="s">
        <v>143</v>
      </c>
      <c r="Y258" s="44" t="s">
        <v>142</v>
      </c>
      <c r="Z258" s="44" t="s">
        <v>135</v>
      </c>
      <c r="AA258" s="44" t="s">
        <v>142</v>
      </c>
      <c r="AB258" s="44" t="s">
        <v>135</v>
      </c>
      <c r="AC258" s="44" t="s">
        <v>144</v>
      </c>
      <c r="AD258" s="44" t="s">
        <v>136</v>
      </c>
      <c r="AE258" s="44" t="s">
        <v>137</v>
      </c>
      <c r="AF258" s="44" t="s">
        <v>140</v>
      </c>
      <c r="AG258" s="44" t="s">
        <v>144</v>
      </c>
      <c r="AH258" s="44" t="s">
        <v>143</v>
      </c>
      <c r="AI258" s="44" t="s">
        <v>143</v>
      </c>
      <c r="AJ258" s="44" t="s">
        <v>137</v>
      </c>
      <c r="AK258" s="44" t="s">
        <v>136</v>
      </c>
      <c r="AL258" s="44" t="s">
        <v>136</v>
      </c>
      <c r="AM258" s="44" t="s">
        <v>139</v>
      </c>
      <c r="AN258" s="44" t="s">
        <v>137</v>
      </c>
      <c r="AO258" s="44" t="s">
        <v>141</v>
      </c>
      <c r="AP258" s="44" t="s">
        <v>138</v>
      </c>
      <c r="AQ258" s="44" t="s">
        <v>137</v>
      </c>
      <c r="AR258" s="44" t="s">
        <v>138</v>
      </c>
      <c r="AS258" s="44" t="s">
        <v>135</v>
      </c>
      <c r="AT258" s="44" t="s">
        <v>136</v>
      </c>
      <c r="AU258" s="1"/>
      <c r="AV258" s="1"/>
      <c r="AW258" s="1"/>
      <c r="AX258" s="1"/>
      <c r="AY258" s="1"/>
      <c r="AZ258" s="1"/>
      <c r="BA258" s="1"/>
      <c r="BB258" s="78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</row>
    <row r="259" spans="2:76" ht="23.25">
      <c r="B259" s="14">
        <v>105</v>
      </c>
      <c r="C259" s="14">
        <v>6</v>
      </c>
      <c r="D259" s="15">
        <v>8</v>
      </c>
      <c r="E259" s="46" cm="1">
        <f t="array" ref="E259">SUM(_xlfn.XLOOKUP(G259:AT259,$L$237:$L$246,$M$237:$M$246,,0,1))</f>
        <v>193</v>
      </c>
      <c r="F259"/>
      <c r="G259" s="44" t="s">
        <v>139</v>
      </c>
      <c r="H259" s="44" t="s">
        <v>143</v>
      </c>
      <c r="I259" s="44" t="s">
        <v>143</v>
      </c>
      <c r="J259" s="44" t="s">
        <v>139</v>
      </c>
      <c r="K259" s="44" t="s">
        <v>143</v>
      </c>
      <c r="L259" s="44" t="s">
        <v>144</v>
      </c>
      <c r="M259" s="44" t="s">
        <v>143</v>
      </c>
      <c r="N259" s="44" t="s">
        <v>136</v>
      </c>
      <c r="O259" s="44" t="s">
        <v>135</v>
      </c>
      <c r="P259" s="44" t="s">
        <v>136</v>
      </c>
      <c r="Q259" s="44" t="s">
        <v>141</v>
      </c>
      <c r="R259" s="44" t="s">
        <v>144</v>
      </c>
      <c r="S259" s="44" t="s">
        <v>140</v>
      </c>
      <c r="T259" s="44" t="s">
        <v>137</v>
      </c>
      <c r="U259" s="44" t="s">
        <v>139</v>
      </c>
      <c r="V259" s="44" t="s">
        <v>143</v>
      </c>
      <c r="W259" s="44" t="s">
        <v>138</v>
      </c>
      <c r="X259" s="44" t="s">
        <v>141</v>
      </c>
      <c r="Y259" s="44" t="s">
        <v>141</v>
      </c>
      <c r="Z259" s="44" t="s">
        <v>141</v>
      </c>
      <c r="AA259" s="44" t="s">
        <v>140</v>
      </c>
      <c r="AB259" s="44" t="s">
        <v>137</v>
      </c>
      <c r="AC259" s="44" t="s">
        <v>142</v>
      </c>
      <c r="AD259" s="44" t="s">
        <v>137</v>
      </c>
      <c r="AE259" s="44" t="s">
        <v>139</v>
      </c>
      <c r="AF259" s="44" t="s">
        <v>137</v>
      </c>
      <c r="AG259" s="44" t="s">
        <v>141</v>
      </c>
      <c r="AH259" s="44" t="s">
        <v>142</v>
      </c>
      <c r="AI259" s="44" t="s">
        <v>141</v>
      </c>
      <c r="AJ259" s="44" t="s">
        <v>141</v>
      </c>
      <c r="AK259" s="44" t="s">
        <v>141</v>
      </c>
      <c r="AL259" s="44" t="s">
        <v>137</v>
      </c>
      <c r="AM259" s="44" t="s">
        <v>135</v>
      </c>
      <c r="AN259" s="44" t="s">
        <v>137</v>
      </c>
      <c r="AO259" s="44" t="s">
        <v>135</v>
      </c>
      <c r="AP259" s="44" t="s">
        <v>140</v>
      </c>
      <c r="AQ259" s="44" t="s">
        <v>135</v>
      </c>
      <c r="AR259" s="44" t="s">
        <v>144</v>
      </c>
      <c r="AS259" s="44" t="s">
        <v>141</v>
      </c>
      <c r="AT259" s="44" t="s">
        <v>140</v>
      </c>
      <c r="AU259" s="1"/>
      <c r="AV259" s="1"/>
      <c r="AW259" s="1"/>
      <c r="AX259" s="1"/>
      <c r="AY259" s="1"/>
      <c r="AZ259" s="1"/>
      <c r="BA259" s="1"/>
      <c r="BB259" s="78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</row>
    <row r="260" spans="2:76" ht="23.25">
      <c r="B260" s="14">
        <v>106</v>
      </c>
      <c r="C260" s="14">
        <v>6</v>
      </c>
      <c r="D260" s="15">
        <v>8</v>
      </c>
      <c r="E260" s="46" cm="1">
        <f t="array" ref="E260">SUM(_xlfn.XLOOKUP(G260:AT260,$L$237:$L$246,$M$237:$M$246,,0,1))</f>
        <v>212</v>
      </c>
      <c r="F260"/>
      <c r="G260" s="44" t="s">
        <v>143</v>
      </c>
      <c r="H260" s="44" t="s">
        <v>137</v>
      </c>
      <c r="I260" s="44" t="s">
        <v>142</v>
      </c>
      <c r="J260" s="44" t="s">
        <v>136</v>
      </c>
      <c r="K260" s="44" t="s">
        <v>135</v>
      </c>
      <c r="L260" s="44" t="s">
        <v>138</v>
      </c>
      <c r="M260" s="44" t="s">
        <v>143</v>
      </c>
      <c r="N260" s="44" t="s">
        <v>136</v>
      </c>
      <c r="O260" s="44" t="s">
        <v>135</v>
      </c>
      <c r="P260" s="44" t="s">
        <v>138</v>
      </c>
      <c r="Q260" s="44" t="s">
        <v>142</v>
      </c>
      <c r="R260" s="44" t="s">
        <v>142</v>
      </c>
      <c r="S260" s="44" t="s">
        <v>142</v>
      </c>
      <c r="T260" s="44" t="s">
        <v>140</v>
      </c>
      <c r="U260" s="44" t="s">
        <v>135</v>
      </c>
      <c r="V260" s="44" t="s">
        <v>144</v>
      </c>
      <c r="W260" s="44" t="s">
        <v>137</v>
      </c>
      <c r="X260" s="44" t="s">
        <v>139</v>
      </c>
      <c r="Y260" s="44" t="s">
        <v>142</v>
      </c>
      <c r="Z260" s="44" t="s">
        <v>139</v>
      </c>
      <c r="AA260" s="44" t="s">
        <v>141</v>
      </c>
      <c r="AB260" s="44" t="s">
        <v>136</v>
      </c>
      <c r="AC260" s="44" t="s">
        <v>141</v>
      </c>
      <c r="AD260" s="44" t="s">
        <v>140</v>
      </c>
      <c r="AE260" s="44" t="s">
        <v>143</v>
      </c>
      <c r="AF260" s="44" t="s">
        <v>140</v>
      </c>
      <c r="AG260" s="44" t="s">
        <v>143</v>
      </c>
      <c r="AH260" s="44" t="s">
        <v>143</v>
      </c>
      <c r="AI260" s="44" t="s">
        <v>135</v>
      </c>
      <c r="AJ260" s="44" t="s">
        <v>140</v>
      </c>
      <c r="AK260" s="44" t="s">
        <v>137</v>
      </c>
      <c r="AL260" s="44" t="s">
        <v>141</v>
      </c>
      <c r="AM260" s="44" t="s">
        <v>143</v>
      </c>
      <c r="AN260" s="44" t="s">
        <v>135</v>
      </c>
      <c r="AO260" s="44" t="s">
        <v>136</v>
      </c>
      <c r="AP260" s="44" t="s">
        <v>143</v>
      </c>
      <c r="AQ260" s="44" t="s">
        <v>142</v>
      </c>
      <c r="AR260" s="44" t="s">
        <v>142</v>
      </c>
      <c r="AS260" s="44" t="s">
        <v>135</v>
      </c>
      <c r="AT260" s="44" t="s">
        <v>139</v>
      </c>
      <c r="AU260" s="1"/>
      <c r="AV260" s="1"/>
      <c r="AW260" s="1"/>
      <c r="AX260" s="1"/>
      <c r="AY260" s="1"/>
      <c r="AZ260" s="1"/>
      <c r="BA260" s="1"/>
      <c r="BB260" s="78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</row>
    <row r="261" spans="2:76" ht="23.25">
      <c r="B261" s="14">
        <v>107</v>
      </c>
      <c r="C261" s="14">
        <v>6</v>
      </c>
      <c r="D261" s="15">
        <v>8</v>
      </c>
      <c r="E261" s="46" cm="1">
        <f t="array" ref="E261">SUM(_xlfn.XLOOKUP(G261:AT261,$L$237:$L$246,$M$237:$M$246,,0,1))</f>
        <v>179</v>
      </c>
      <c r="F261"/>
      <c r="G261" s="44" t="s">
        <v>139</v>
      </c>
      <c r="H261" s="44" t="s">
        <v>135</v>
      </c>
      <c r="I261" s="44" t="s">
        <v>138</v>
      </c>
      <c r="J261" s="44" t="s">
        <v>136</v>
      </c>
      <c r="K261" s="44" t="s">
        <v>143</v>
      </c>
      <c r="L261" s="44" t="s">
        <v>140</v>
      </c>
      <c r="M261" s="44" t="s">
        <v>140</v>
      </c>
      <c r="N261" s="44" t="s">
        <v>140</v>
      </c>
      <c r="O261" s="44" t="s">
        <v>139</v>
      </c>
      <c r="P261" s="44" t="s">
        <v>135</v>
      </c>
      <c r="Q261" s="44" t="s">
        <v>138</v>
      </c>
      <c r="R261" s="44" t="s">
        <v>139</v>
      </c>
      <c r="S261" s="44" t="s">
        <v>137</v>
      </c>
      <c r="T261" s="44" t="s">
        <v>144</v>
      </c>
      <c r="U261" s="44" t="s">
        <v>143</v>
      </c>
      <c r="V261" s="44" t="s">
        <v>137</v>
      </c>
      <c r="W261" s="44" t="s">
        <v>140</v>
      </c>
      <c r="X261" s="44" t="s">
        <v>142</v>
      </c>
      <c r="Y261" s="44" t="s">
        <v>142</v>
      </c>
      <c r="Z261" s="44" t="s">
        <v>142</v>
      </c>
      <c r="AA261" s="44" t="s">
        <v>141</v>
      </c>
      <c r="AB261" s="44" t="s">
        <v>136</v>
      </c>
      <c r="AC261" s="44" t="s">
        <v>138</v>
      </c>
      <c r="AD261" s="44" t="s">
        <v>139</v>
      </c>
      <c r="AE261" s="44" t="s">
        <v>139</v>
      </c>
      <c r="AF261" s="44" t="s">
        <v>144</v>
      </c>
      <c r="AG261" s="44" t="s">
        <v>143</v>
      </c>
      <c r="AH261" s="44" t="s">
        <v>135</v>
      </c>
      <c r="AI261" s="44" t="s">
        <v>136</v>
      </c>
      <c r="AJ261" s="44" t="s">
        <v>143</v>
      </c>
      <c r="AK261" s="44" t="s">
        <v>138</v>
      </c>
      <c r="AL261" s="44" t="s">
        <v>141</v>
      </c>
      <c r="AM261" s="44" t="s">
        <v>138</v>
      </c>
      <c r="AN261" s="44" t="s">
        <v>135</v>
      </c>
      <c r="AO261" s="44" t="s">
        <v>140</v>
      </c>
      <c r="AP261" s="44" t="s">
        <v>135</v>
      </c>
      <c r="AQ261" s="44" t="s">
        <v>137</v>
      </c>
      <c r="AR261" s="44" t="s">
        <v>135</v>
      </c>
      <c r="AS261" s="44" t="s">
        <v>140</v>
      </c>
      <c r="AT261" s="44" t="s">
        <v>136</v>
      </c>
      <c r="AU261" s="1"/>
      <c r="AV261" s="1"/>
      <c r="AW261" s="1"/>
      <c r="AX261" s="1"/>
      <c r="AY261" s="1"/>
      <c r="AZ261" s="1"/>
      <c r="BA261" s="1"/>
      <c r="BB261" s="78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</row>
    <row r="262" spans="2:76" ht="23.25">
      <c r="B262" s="14">
        <v>108</v>
      </c>
      <c r="C262" s="14">
        <v>6</v>
      </c>
      <c r="D262" s="15">
        <v>8</v>
      </c>
      <c r="E262" s="46" cm="1">
        <f t="array" ref="E262">SUM(_xlfn.XLOOKUP(G262:AT262,$L$237:$L$246,$M$237:$M$246,,0,1))</f>
        <v>199</v>
      </c>
      <c r="F262"/>
      <c r="G262" s="44" t="s">
        <v>141</v>
      </c>
      <c r="H262" s="44" t="s">
        <v>142</v>
      </c>
      <c r="I262" s="44" t="s">
        <v>138</v>
      </c>
      <c r="J262" s="44" t="s">
        <v>143</v>
      </c>
      <c r="K262" s="44" t="s">
        <v>143</v>
      </c>
      <c r="L262" s="44" t="s">
        <v>142</v>
      </c>
      <c r="M262" s="44" t="s">
        <v>137</v>
      </c>
      <c r="N262" s="44" t="s">
        <v>141</v>
      </c>
      <c r="O262" s="44" t="s">
        <v>144</v>
      </c>
      <c r="P262" s="44" t="s">
        <v>137</v>
      </c>
      <c r="Q262" s="44" t="s">
        <v>142</v>
      </c>
      <c r="R262" s="44" t="s">
        <v>135</v>
      </c>
      <c r="S262" s="44" t="s">
        <v>143</v>
      </c>
      <c r="T262" s="44" t="s">
        <v>142</v>
      </c>
      <c r="U262" s="44" t="s">
        <v>139</v>
      </c>
      <c r="V262" s="44" t="s">
        <v>142</v>
      </c>
      <c r="W262" s="44" t="s">
        <v>137</v>
      </c>
      <c r="X262" s="44" t="s">
        <v>139</v>
      </c>
      <c r="Y262" s="44" t="s">
        <v>141</v>
      </c>
      <c r="Z262" s="44" t="s">
        <v>141</v>
      </c>
      <c r="AA262" s="44" t="s">
        <v>135</v>
      </c>
      <c r="AB262" s="44" t="s">
        <v>141</v>
      </c>
      <c r="AC262" s="44" t="s">
        <v>140</v>
      </c>
      <c r="AD262" s="44" t="s">
        <v>143</v>
      </c>
      <c r="AE262" s="44" t="s">
        <v>143</v>
      </c>
      <c r="AF262" s="44" t="s">
        <v>144</v>
      </c>
      <c r="AG262" s="44" t="s">
        <v>138</v>
      </c>
      <c r="AH262" s="44" t="s">
        <v>140</v>
      </c>
      <c r="AI262" s="44" t="s">
        <v>136</v>
      </c>
      <c r="AJ262" s="44" t="s">
        <v>136</v>
      </c>
      <c r="AK262" s="44" t="s">
        <v>138</v>
      </c>
      <c r="AL262" s="44" t="s">
        <v>144</v>
      </c>
      <c r="AM262" s="44" t="s">
        <v>141</v>
      </c>
      <c r="AN262" s="44" t="s">
        <v>141</v>
      </c>
      <c r="AO262" s="44" t="s">
        <v>143</v>
      </c>
      <c r="AP262" s="44" t="s">
        <v>137</v>
      </c>
      <c r="AQ262" s="44" t="s">
        <v>135</v>
      </c>
      <c r="AR262" s="44" t="s">
        <v>136</v>
      </c>
      <c r="AS262" s="44" t="s">
        <v>139</v>
      </c>
      <c r="AT262" s="44" t="s">
        <v>142</v>
      </c>
      <c r="AU262" s="1"/>
      <c r="AV262" s="1"/>
      <c r="AW262" s="1"/>
      <c r="AX262" s="1"/>
      <c r="AY262" s="1"/>
      <c r="AZ262" s="1"/>
      <c r="BA262" s="1"/>
      <c r="BB262" s="78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</row>
    <row r="263" spans="2:76" ht="23.25">
      <c r="B263" s="14">
        <v>109</v>
      </c>
      <c r="C263" s="14">
        <v>6</v>
      </c>
      <c r="D263" s="15">
        <v>8</v>
      </c>
      <c r="E263" s="46" cm="1">
        <f t="array" ref="E263">SUM(_xlfn.XLOOKUP(G263:AT263,$L$237:$L$246,$M$237:$M$246,,0,1))</f>
        <v>166</v>
      </c>
      <c r="F263"/>
      <c r="G263" s="44" t="s">
        <v>137</v>
      </c>
      <c r="H263" s="44" t="s">
        <v>138</v>
      </c>
      <c r="I263" s="44" t="s">
        <v>135</v>
      </c>
      <c r="J263" s="44" t="s">
        <v>138</v>
      </c>
      <c r="K263" s="44" t="s">
        <v>138</v>
      </c>
      <c r="L263" s="44" t="s">
        <v>144</v>
      </c>
      <c r="M263" s="44" t="s">
        <v>135</v>
      </c>
      <c r="N263" s="44" t="s">
        <v>137</v>
      </c>
      <c r="O263" s="44" t="s">
        <v>141</v>
      </c>
      <c r="P263" s="44" t="s">
        <v>139</v>
      </c>
      <c r="Q263" s="44" t="s">
        <v>139</v>
      </c>
      <c r="R263" s="44" t="s">
        <v>138</v>
      </c>
      <c r="S263" s="44" t="s">
        <v>135</v>
      </c>
      <c r="T263" s="44" t="s">
        <v>143</v>
      </c>
      <c r="U263" s="44" t="s">
        <v>136</v>
      </c>
      <c r="V263" s="44" t="s">
        <v>143</v>
      </c>
      <c r="W263" s="44" t="s">
        <v>144</v>
      </c>
      <c r="X263" s="44" t="s">
        <v>144</v>
      </c>
      <c r="Y263" s="44" t="s">
        <v>143</v>
      </c>
      <c r="Z263" s="44" t="s">
        <v>140</v>
      </c>
      <c r="AA263" s="44" t="s">
        <v>141</v>
      </c>
      <c r="AB263" s="44" t="s">
        <v>143</v>
      </c>
      <c r="AC263" s="44" t="s">
        <v>141</v>
      </c>
      <c r="AD263" s="44" t="s">
        <v>136</v>
      </c>
      <c r="AE263" s="44" t="s">
        <v>135</v>
      </c>
      <c r="AF263" s="44" t="s">
        <v>135</v>
      </c>
      <c r="AG263" s="44" t="s">
        <v>142</v>
      </c>
      <c r="AH263" s="44" t="s">
        <v>135</v>
      </c>
      <c r="AI263" s="44" t="s">
        <v>136</v>
      </c>
      <c r="AJ263" s="44" t="s">
        <v>144</v>
      </c>
      <c r="AK263" s="44" t="s">
        <v>142</v>
      </c>
      <c r="AL263" s="44" t="s">
        <v>143</v>
      </c>
      <c r="AM263" s="44" t="s">
        <v>143</v>
      </c>
      <c r="AN263" s="44" t="s">
        <v>136</v>
      </c>
      <c r="AO263" s="44" t="s">
        <v>141</v>
      </c>
      <c r="AP263" s="44" t="s">
        <v>143</v>
      </c>
      <c r="AQ263" s="44" t="s">
        <v>140</v>
      </c>
      <c r="AR263" s="44" t="s">
        <v>135</v>
      </c>
      <c r="AS263" s="44" t="s">
        <v>139</v>
      </c>
      <c r="AT263" s="44" t="s">
        <v>135</v>
      </c>
      <c r="AU263" s="1"/>
      <c r="AV263" s="1"/>
      <c r="AW263" s="1"/>
      <c r="AX263" s="1"/>
      <c r="AY263" s="1"/>
      <c r="AZ263" s="1"/>
      <c r="BA263" s="1"/>
      <c r="BB263" s="78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</row>
    <row r="264" spans="2:76" ht="23.25">
      <c r="B264" s="14">
        <v>110</v>
      </c>
      <c r="C264" s="14">
        <v>6</v>
      </c>
      <c r="D264" s="15">
        <v>8</v>
      </c>
      <c r="E264" s="46" cm="1">
        <f t="array" ref="E264">SUM(_xlfn.XLOOKUP(G264:AT264,$L$237:$L$246,$M$237:$M$246,,0,1))</f>
        <v>157</v>
      </c>
      <c r="F264"/>
      <c r="G264" s="44" t="s">
        <v>140</v>
      </c>
      <c r="H264" s="44" t="s">
        <v>136</v>
      </c>
      <c r="I264" s="44" t="s">
        <v>140</v>
      </c>
      <c r="J264" s="44" t="s">
        <v>136</v>
      </c>
      <c r="K264" s="44" t="s">
        <v>138</v>
      </c>
      <c r="L264" s="44" t="s">
        <v>137</v>
      </c>
      <c r="M264" s="44" t="s">
        <v>143</v>
      </c>
      <c r="N264" s="44" t="s">
        <v>143</v>
      </c>
      <c r="O264" s="44" t="s">
        <v>138</v>
      </c>
      <c r="P264" s="44" t="s">
        <v>138</v>
      </c>
      <c r="Q264" s="44" t="s">
        <v>138</v>
      </c>
      <c r="R264" s="44" t="s">
        <v>142</v>
      </c>
      <c r="S264" s="44" t="s">
        <v>141</v>
      </c>
      <c r="T264" s="44" t="s">
        <v>138</v>
      </c>
      <c r="U264" s="44" t="s">
        <v>135</v>
      </c>
      <c r="V264" s="44" t="s">
        <v>138</v>
      </c>
      <c r="W264" s="44" t="s">
        <v>139</v>
      </c>
      <c r="X264" s="44" t="s">
        <v>135</v>
      </c>
      <c r="Y264" s="44" t="s">
        <v>139</v>
      </c>
      <c r="Z264" s="44" t="s">
        <v>143</v>
      </c>
      <c r="AA264" s="44" t="s">
        <v>139</v>
      </c>
      <c r="AB264" s="44" t="s">
        <v>139</v>
      </c>
      <c r="AC264" s="44" t="s">
        <v>138</v>
      </c>
      <c r="AD264" s="44" t="s">
        <v>143</v>
      </c>
      <c r="AE264" s="44" t="s">
        <v>139</v>
      </c>
      <c r="AF264" s="44" t="s">
        <v>141</v>
      </c>
      <c r="AG264" s="44" t="s">
        <v>135</v>
      </c>
      <c r="AH264" s="44" t="s">
        <v>143</v>
      </c>
      <c r="AI264" s="44" t="s">
        <v>139</v>
      </c>
      <c r="AJ264" s="44" t="s">
        <v>136</v>
      </c>
      <c r="AK264" s="44" t="s">
        <v>141</v>
      </c>
      <c r="AL264" s="44" t="s">
        <v>143</v>
      </c>
      <c r="AM264" s="44" t="s">
        <v>142</v>
      </c>
      <c r="AN264" s="44" t="s">
        <v>144</v>
      </c>
      <c r="AO264" s="44" t="s">
        <v>135</v>
      </c>
      <c r="AP264" s="44" t="s">
        <v>144</v>
      </c>
      <c r="AQ264" s="44" t="s">
        <v>143</v>
      </c>
      <c r="AR264" s="44" t="s">
        <v>135</v>
      </c>
      <c r="AS264" s="44" t="s">
        <v>138</v>
      </c>
      <c r="AT264" s="44" t="s">
        <v>137</v>
      </c>
      <c r="AU264" s="1"/>
      <c r="AV264" s="1"/>
      <c r="AW264" s="1"/>
      <c r="AX264" s="1"/>
      <c r="AY264" s="1"/>
      <c r="AZ264" s="1"/>
      <c r="BA264" s="1"/>
      <c r="BB264" s="78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</row>
    <row r="265" spans="2:76" ht="23.25">
      <c r="B265" s="14">
        <v>111</v>
      </c>
      <c r="C265" s="14">
        <v>6</v>
      </c>
      <c r="D265" s="15">
        <v>8</v>
      </c>
      <c r="E265" s="46" cm="1">
        <f t="array" ref="E265">SUM(_xlfn.XLOOKUP(G265:AT265,$L$237:$L$246,$M$237:$M$246,,0,1))</f>
        <v>169</v>
      </c>
      <c r="F265"/>
      <c r="G265" s="44" t="s">
        <v>139</v>
      </c>
      <c r="H265" s="44" t="s">
        <v>143</v>
      </c>
      <c r="I265" s="44" t="s">
        <v>138</v>
      </c>
      <c r="J265" s="44" t="s">
        <v>140</v>
      </c>
      <c r="K265" s="44" t="s">
        <v>137</v>
      </c>
      <c r="L265" s="44" t="s">
        <v>136</v>
      </c>
      <c r="M265" s="44" t="s">
        <v>142</v>
      </c>
      <c r="N265" s="44" t="s">
        <v>138</v>
      </c>
      <c r="O265" s="44" t="s">
        <v>135</v>
      </c>
      <c r="P265" s="44" t="s">
        <v>138</v>
      </c>
      <c r="Q265" s="44" t="s">
        <v>141</v>
      </c>
      <c r="R265" s="44" t="s">
        <v>136</v>
      </c>
      <c r="S265" s="44" t="s">
        <v>143</v>
      </c>
      <c r="T265" s="44" t="s">
        <v>135</v>
      </c>
      <c r="U265" s="44" t="s">
        <v>142</v>
      </c>
      <c r="V265" s="44" t="s">
        <v>135</v>
      </c>
      <c r="W265" s="44" t="s">
        <v>141</v>
      </c>
      <c r="X265" s="44" t="s">
        <v>143</v>
      </c>
      <c r="Y265" s="44" t="s">
        <v>143</v>
      </c>
      <c r="Z265" s="44" t="s">
        <v>138</v>
      </c>
      <c r="AA265" s="44" t="s">
        <v>141</v>
      </c>
      <c r="AB265" s="44" t="s">
        <v>138</v>
      </c>
      <c r="AC265" s="44" t="s">
        <v>139</v>
      </c>
      <c r="AD265" s="44" t="s">
        <v>139</v>
      </c>
      <c r="AE265" s="44" t="s">
        <v>139</v>
      </c>
      <c r="AF265" s="44" t="s">
        <v>139</v>
      </c>
      <c r="AG265" s="44" t="s">
        <v>141</v>
      </c>
      <c r="AH265" s="44" t="s">
        <v>135</v>
      </c>
      <c r="AI265" s="44" t="s">
        <v>140</v>
      </c>
      <c r="AJ265" s="44" t="s">
        <v>135</v>
      </c>
      <c r="AK265" s="44" t="s">
        <v>137</v>
      </c>
      <c r="AL265" s="44" t="s">
        <v>137</v>
      </c>
      <c r="AM265" s="44" t="s">
        <v>136</v>
      </c>
      <c r="AN265" s="44" t="s">
        <v>144</v>
      </c>
      <c r="AO265" s="44" t="s">
        <v>137</v>
      </c>
      <c r="AP265" s="44" t="s">
        <v>139</v>
      </c>
      <c r="AQ265" s="44" t="s">
        <v>143</v>
      </c>
      <c r="AR265" s="44" t="s">
        <v>135</v>
      </c>
      <c r="AS265" s="44" t="s">
        <v>138</v>
      </c>
      <c r="AT265" s="44" t="s">
        <v>140</v>
      </c>
      <c r="AU265" s="1"/>
      <c r="AV265" s="1"/>
      <c r="AW265" s="1"/>
      <c r="AX265" s="1"/>
      <c r="AY265" s="1"/>
      <c r="AZ265" s="1"/>
      <c r="BA265" s="1"/>
      <c r="BB265" s="78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</row>
    <row r="266" spans="2:76" ht="23.25">
      <c r="B266" s="14">
        <v>112</v>
      </c>
      <c r="C266" s="14">
        <v>6</v>
      </c>
      <c r="D266" s="15">
        <v>8</v>
      </c>
      <c r="E266" s="46" cm="1">
        <f t="array" ref="E266">SUM(_xlfn.XLOOKUP(G266:AT266,$L$237:$L$246,$M$237:$M$246,,0,1))</f>
        <v>169</v>
      </c>
      <c r="F266"/>
      <c r="G266" s="44" t="s">
        <v>140</v>
      </c>
      <c r="H266" s="44" t="s">
        <v>143</v>
      </c>
      <c r="I266" s="44" t="s">
        <v>138</v>
      </c>
      <c r="J266" s="44" t="s">
        <v>143</v>
      </c>
      <c r="K266" s="44" t="s">
        <v>143</v>
      </c>
      <c r="L266" s="44" t="s">
        <v>137</v>
      </c>
      <c r="M266" s="44" t="s">
        <v>139</v>
      </c>
      <c r="N266" s="44" t="s">
        <v>140</v>
      </c>
      <c r="O266" s="44" t="s">
        <v>135</v>
      </c>
      <c r="P266" s="44" t="s">
        <v>138</v>
      </c>
      <c r="Q266" s="44" t="s">
        <v>144</v>
      </c>
      <c r="R266" s="44" t="s">
        <v>144</v>
      </c>
      <c r="S266" s="44" t="s">
        <v>136</v>
      </c>
      <c r="T266" s="44" t="s">
        <v>139</v>
      </c>
      <c r="U266" s="44" t="s">
        <v>143</v>
      </c>
      <c r="V266" s="44" t="s">
        <v>139</v>
      </c>
      <c r="W266" s="44" t="s">
        <v>143</v>
      </c>
      <c r="X266" s="44" t="s">
        <v>137</v>
      </c>
      <c r="Y266" s="44" t="s">
        <v>137</v>
      </c>
      <c r="Z266" s="44" t="s">
        <v>142</v>
      </c>
      <c r="AA266" s="44" t="s">
        <v>139</v>
      </c>
      <c r="AB266" s="44" t="s">
        <v>136</v>
      </c>
      <c r="AC266" s="44" t="s">
        <v>142</v>
      </c>
      <c r="AD266" s="44" t="s">
        <v>141</v>
      </c>
      <c r="AE266" s="44" t="s">
        <v>142</v>
      </c>
      <c r="AF266" s="44" t="s">
        <v>141</v>
      </c>
      <c r="AG266" s="44" t="s">
        <v>137</v>
      </c>
      <c r="AH266" s="44" t="s">
        <v>142</v>
      </c>
      <c r="AI266" s="44" t="s">
        <v>138</v>
      </c>
      <c r="AJ266" s="44" t="s">
        <v>141</v>
      </c>
      <c r="AK266" s="44" t="s">
        <v>139</v>
      </c>
      <c r="AL266" s="44" t="s">
        <v>143</v>
      </c>
      <c r="AM266" s="44" t="s">
        <v>140</v>
      </c>
      <c r="AN266" s="44" t="s">
        <v>139</v>
      </c>
      <c r="AO266" s="44" t="s">
        <v>136</v>
      </c>
      <c r="AP266" s="44" t="s">
        <v>139</v>
      </c>
      <c r="AQ266" s="44" t="s">
        <v>139</v>
      </c>
      <c r="AR266" s="44" t="s">
        <v>139</v>
      </c>
      <c r="AS266" s="44" t="s">
        <v>137</v>
      </c>
      <c r="AT266" s="44" t="s">
        <v>136</v>
      </c>
      <c r="AU266" s="1"/>
      <c r="AV266" s="1"/>
      <c r="AW266" s="1"/>
      <c r="AX266" s="1"/>
      <c r="AY266" s="1"/>
      <c r="AZ266" s="1"/>
      <c r="BA266" s="1"/>
      <c r="BB266" s="78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</row>
    <row r="267" spans="2:76" ht="23.25">
      <c r="B267" s="14">
        <v>113</v>
      </c>
      <c r="C267" s="14">
        <v>6</v>
      </c>
      <c r="D267" s="15">
        <v>8</v>
      </c>
      <c r="E267" s="46" cm="1">
        <f t="array" ref="E267">SUM(_xlfn.XLOOKUP(G267:AT267,$L$237:$L$246,$M$237:$M$246,,0,1))</f>
        <v>138</v>
      </c>
      <c r="F267"/>
      <c r="G267" s="44" t="s">
        <v>142</v>
      </c>
      <c r="H267" s="44" t="s">
        <v>135</v>
      </c>
      <c r="I267" s="44" t="s">
        <v>136</v>
      </c>
      <c r="J267" s="44" t="s">
        <v>138</v>
      </c>
      <c r="K267" s="44" t="s">
        <v>137</v>
      </c>
      <c r="L267" s="44" t="s">
        <v>139</v>
      </c>
      <c r="M267" s="44" t="s">
        <v>135</v>
      </c>
      <c r="N267" s="44" t="s">
        <v>136</v>
      </c>
      <c r="O267" s="44" t="s">
        <v>144</v>
      </c>
      <c r="P267" s="44" t="s">
        <v>136</v>
      </c>
      <c r="Q267" s="44" t="s">
        <v>144</v>
      </c>
      <c r="R267" s="44" t="s">
        <v>139</v>
      </c>
      <c r="S267" s="44" t="s">
        <v>139</v>
      </c>
      <c r="T267" s="44" t="s">
        <v>136</v>
      </c>
      <c r="U267" s="44" t="s">
        <v>143</v>
      </c>
      <c r="V267" s="44" t="s">
        <v>144</v>
      </c>
      <c r="W267" s="44" t="s">
        <v>139</v>
      </c>
      <c r="X267" s="44" t="s">
        <v>139</v>
      </c>
      <c r="Y267" s="44" t="s">
        <v>137</v>
      </c>
      <c r="Z267" s="44" t="s">
        <v>136</v>
      </c>
      <c r="AA267" s="44" t="s">
        <v>141</v>
      </c>
      <c r="AB267" s="44" t="s">
        <v>139</v>
      </c>
      <c r="AC267" s="44" t="s">
        <v>144</v>
      </c>
      <c r="AD267" s="44" t="s">
        <v>136</v>
      </c>
      <c r="AE267" s="44" t="s">
        <v>140</v>
      </c>
      <c r="AF267" s="44" t="s">
        <v>143</v>
      </c>
      <c r="AG267" s="44" t="s">
        <v>143</v>
      </c>
      <c r="AH267" s="44" t="s">
        <v>136</v>
      </c>
      <c r="AI267" s="44" t="s">
        <v>141</v>
      </c>
      <c r="AJ267" s="44" t="s">
        <v>136</v>
      </c>
      <c r="AK267" s="44" t="s">
        <v>144</v>
      </c>
      <c r="AL267" s="44" t="s">
        <v>144</v>
      </c>
      <c r="AM267" s="44" t="s">
        <v>136</v>
      </c>
      <c r="AN267" s="44" t="s">
        <v>141</v>
      </c>
      <c r="AO267" s="44" t="s">
        <v>137</v>
      </c>
      <c r="AP267" s="44" t="s">
        <v>135</v>
      </c>
      <c r="AQ267" s="44" t="s">
        <v>142</v>
      </c>
      <c r="AR267" s="44" t="s">
        <v>141</v>
      </c>
      <c r="AS267" s="44" t="s">
        <v>141</v>
      </c>
      <c r="AT267" s="44" t="s">
        <v>142</v>
      </c>
      <c r="AU267" s="1"/>
      <c r="AV267" s="1"/>
      <c r="AW267" s="1"/>
      <c r="AX267" s="1"/>
      <c r="AY267" s="1"/>
      <c r="AZ267" s="1"/>
      <c r="BA267" s="1"/>
      <c r="BB267" s="78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</row>
    <row r="268" spans="2:76" ht="23.25">
      <c r="B268" s="14">
        <v>114</v>
      </c>
      <c r="C268" s="14">
        <v>6</v>
      </c>
      <c r="D268" s="15">
        <v>8</v>
      </c>
      <c r="E268" s="46" cm="1">
        <f t="array" ref="E268">SUM(_xlfn.XLOOKUP(G268:AT268,$L$237:$L$246,$M$237:$M$246,,0,1))</f>
        <v>179</v>
      </c>
      <c r="F268"/>
      <c r="G268" s="44" t="s">
        <v>137</v>
      </c>
      <c r="H268" s="44" t="s">
        <v>142</v>
      </c>
      <c r="I268" s="44" t="s">
        <v>139</v>
      </c>
      <c r="J268" s="44" t="s">
        <v>137</v>
      </c>
      <c r="K268" s="44" t="s">
        <v>142</v>
      </c>
      <c r="L268" s="44" t="s">
        <v>142</v>
      </c>
      <c r="M268" s="44" t="s">
        <v>136</v>
      </c>
      <c r="N268" s="44" t="s">
        <v>136</v>
      </c>
      <c r="O268" s="44" t="s">
        <v>141</v>
      </c>
      <c r="P268" s="44" t="s">
        <v>143</v>
      </c>
      <c r="Q268" s="44" t="s">
        <v>137</v>
      </c>
      <c r="R268" s="44" t="s">
        <v>142</v>
      </c>
      <c r="S268" s="44" t="s">
        <v>139</v>
      </c>
      <c r="T268" s="44" t="s">
        <v>138</v>
      </c>
      <c r="U268" s="44" t="s">
        <v>141</v>
      </c>
      <c r="V268" s="44" t="s">
        <v>138</v>
      </c>
      <c r="W268" s="44" t="s">
        <v>140</v>
      </c>
      <c r="X268" s="44" t="s">
        <v>144</v>
      </c>
      <c r="Y268" s="44" t="s">
        <v>144</v>
      </c>
      <c r="Z268" s="44" t="s">
        <v>137</v>
      </c>
      <c r="AA268" s="44" t="s">
        <v>141</v>
      </c>
      <c r="AB268" s="44" t="s">
        <v>137</v>
      </c>
      <c r="AC268" s="44" t="s">
        <v>138</v>
      </c>
      <c r="AD268" s="44" t="s">
        <v>141</v>
      </c>
      <c r="AE268" s="44" t="s">
        <v>144</v>
      </c>
      <c r="AF268" s="44" t="s">
        <v>144</v>
      </c>
      <c r="AG268" s="44" t="s">
        <v>137</v>
      </c>
      <c r="AH268" s="44" t="s">
        <v>144</v>
      </c>
      <c r="AI268" s="44" t="s">
        <v>136</v>
      </c>
      <c r="AJ268" s="44" t="s">
        <v>137</v>
      </c>
      <c r="AK268" s="44" t="s">
        <v>140</v>
      </c>
      <c r="AL268" s="44" t="s">
        <v>137</v>
      </c>
      <c r="AM268" s="44" t="s">
        <v>137</v>
      </c>
      <c r="AN268" s="44" t="s">
        <v>135</v>
      </c>
      <c r="AO268" s="44" t="s">
        <v>139</v>
      </c>
      <c r="AP268" s="44" t="s">
        <v>135</v>
      </c>
      <c r="AQ268" s="44" t="s">
        <v>138</v>
      </c>
      <c r="AR268" s="44" t="s">
        <v>144</v>
      </c>
      <c r="AS268" s="44" t="s">
        <v>143</v>
      </c>
      <c r="AT268" s="44" t="s">
        <v>139</v>
      </c>
      <c r="AU268" s="1"/>
      <c r="AV268" s="1"/>
      <c r="AW268" s="1"/>
      <c r="AX268" s="1"/>
      <c r="AY268" s="1"/>
      <c r="AZ268" s="1"/>
      <c r="BA268" s="1"/>
      <c r="BB268" s="78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</row>
    <row r="269" spans="2:76" ht="23.25">
      <c r="B269" s="14">
        <v>115</v>
      </c>
      <c r="C269" s="14">
        <v>6</v>
      </c>
      <c r="D269" s="15">
        <v>8</v>
      </c>
      <c r="E269" s="46" cm="1">
        <f t="array" ref="E269">SUM(_xlfn.XLOOKUP(G269:AT269,$L$237:$L$246,$M$237:$M$246,,0,1))</f>
        <v>205</v>
      </c>
      <c r="F269"/>
      <c r="G269" s="44" t="s">
        <v>140</v>
      </c>
      <c r="H269" s="44" t="s">
        <v>143</v>
      </c>
      <c r="I269" s="44" t="s">
        <v>141</v>
      </c>
      <c r="J269" s="44" t="s">
        <v>143</v>
      </c>
      <c r="K269" s="44" t="s">
        <v>143</v>
      </c>
      <c r="L269" s="44" t="s">
        <v>135</v>
      </c>
      <c r="M269" s="44" t="s">
        <v>136</v>
      </c>
      <c r="N269" s="44" t="s">
        <v>140</v>
      </c>
      <c r="O269" s="44" t="s">
        <v>143</v>
      </c>
      <c r="P269" s="44" t="s">
        <v>136</v>
      </c>
      <c r="Q269" s="44" t="s">
        <v>140</v>
      </c>
      <c r="R269" s="44" t="s">
        <v>135</v>
      </c>
      <c r="S269" s="44" t="s">
        <v>140</v>
      </c>
      <c r="T269" s="44" t="s">
        <v>140</v>
      </c>
      <c r="U269" s="44" t="s">
        <v>136</v>
      </c>
      <c r="V269" s="44" t="s">
        <v>138</v>
      </c>
      <c r="W269" s="44" t="s">
        <v>142</v>
      </c>
      <c r="X269" s="44" t="s">
        <v>140</v>
      </c>
      <c r="Y269" s="44" t="s">
        <v>139</v>
      </c>
      <c r="Z269" s="44" t="s">
        <v>142</v>
      </c>
      <c r="AA269" s="44" t="s">
        <v>140</v>
      </c>
      <c r="AB269" s="44" t="s">
        <v>137</v>
      </c>
      <c r="AC269" s="44" t="s">
        <v>138</v>
      </c>
      <c r="AD269" s="44" t="s">
        <v>141</v>
      </c>
      <c r="AE269" s="44" t="s">
        <v>138</v>
      </c>
      <c r="AF269" s="44" t="s">
        <v>138</v>
      </c>
      <c r="AG269" s="44" t="s">
        <v>140</v>
      </c>
      <c r="AH269" s="44" t="s">
        <v>139</v>
      </c>
      <c r="AI269" s="44" t="s">
        <v>142</v>
      </c>
      <c r="AJ269" s="44" t="s">
        <v>139</v>
      </c>
      <c r="AK269" s="44" t="s">
        <v>138</v>
      </c>
      <c r="AL269" s="44" t="s">
        <v>143</v>
      </c>
      <c r="AM269" s="44" t="s">
        <v>141</v>
      </c>
      <c r="AN269" s="44" t="s">
        <v>135</v>
      </c>
      <c r="AO269" s="44" t="s">
        <v>142</v>
      </c>
      <c r="AP269" s="44" t="s">
        <v>138</v>
      </c>
      <c r="AQ269" s="44" t="s">
        <v>140</v>
      </c>
      <c r="AR269" s="44" t="s">
        <v>135</v>
      </c>
      <c r="AS269" s="44" t="s">
        <v>135</v>
      </c>
      <c r="AT269" s="44" t="s">
        <v>144</v>
      </c>
      <c r="AU269" s="1"/>
      <c r="AV269" s="1"/>
      <c r="AW269" s="1"/>
      <c r="AX269" s="1"/>
      <c r="AY269" s="1"/>
      <c r="AZ269" s="1"/>
      <c r="BA269" s="1"/>
      <c r="BB269" s="78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</row>
    <row r="270" spans="2:76" ht="23.25">
      <c r="B270" s="14">
        <v>116</v>
      </c>
      <c r="C270" s="14">
        <v>6</v>
      </c>
      <c r="D270" s="15">
        <v>8</v>
      </c>
      <c r="E270" s="46" cm="1">
        <f t="array" ref="E270">SUM(_xlfn.XLOOKUP(G270:AT270,$L$237:$L$246,$M$237:$M$246,,0,1))</f>
        <v>164</v>
      </c>
      <c r="F270"/>
      <c r="G270" s="44" t="s">
        <v>143</v>
      </c>
      <c r="H270" s="44" t="s">
        <v>141</v>
      </c>
      <c r="I270" s="44" t="s">
        <v>135</v>
      </c>
      <c r="J270" s="44" t="s">
        <v>144</v>
      </c>
      <c r="K270" s="44" t="s">
        <v>141</v>
      </c>
      <c r="L270" s="44" t="s">
        <v>139</v>
      </c>
      <c r="M270" s="44" t="s">
        <v>136</v>
      </c>
      <c r="N270" s="44" t="s">
        <v>135</v>
      </c>
      <c r="O270" s="44" t="s">
        <v>137</v>
      </c>
      <c r="P270" s="44" t="s">
        <v>143</v>
      </c>
      <c r="Q270" s="44" t="s">
        <v>144</v>
      </c>
      <c r="R270" s="44" t="s">
        <v>143</v>
      </c>
      <c r="S270" s="44" t="s">
        <v>135</v>
      </c>
      <c r="T270" s="44" t="s">
        <v>139</v>
      </c>
      <c r="U270" s="44" t="s">
        <v>136</v>
      </c>
      <c r="V270" s="44" t="s">
        <v>139</v>
      </c>
      <c r="W270" s="44" t="s">
        <v>138</v>
      </c>
      <c r="X270" s="44" t="s">
        <v>139</v>
      </c>
      <c r="Y270" s="44" t="s">
        <v>143</v>
      </c>
      <c r="Z270" s="44" t="s">
        <v>141</v>
      </c>
      <c r="AA270" s="44" t="s">
        <v>137</v>
      </c>
      <c r="AB270" s="44" t="s">
        <v>142</v>
      </c>
      <c r="AC270" s="44" t="s">
        <v>143</v>
      </c>
      <c r="AD270" s="44" t="s">
        <v>141</v>
      </c>
      <c r="AE270" s="44" t="s">
        <v>142</v>
      </c>
      <c r="AF270" s="44" t="s">
        <v>138</v>
      </c>
      <c r="AG270" s="44" t="s">
        <v>139</v>
      </c>
      <c r="AH270" s="44" t="s">
        <v>135</v>
      </c>
      <c r="AI270" s="44" t="s">
        <v>142</v>
      </c>
      <c r="AJ270" s="44" t="s">
        <v>135</v>
      </c>
      <c r="AK270" s="44" t="s">
        <v>136</v>
      </c>
      <c r="AL270" s="44" t="s">
        <v>138</v>
      </c>
      <c r="AM270" s="44" t="s">
        <v>137</v>
      </c>
      <c r="AN270" s="44" t="s">
        <v>135</v>
      </c>
      <c r="AO270" s="44" t="s">
        <v>143</v>
      </c>
      <c r="AP270" s="44" t="s">
        <v>138</v>
      </c>
      <c r="AQ270" s="44" t="s">
        <v>138</v>
      </c>
      <c r="AR270" s="44" t="s">
        <v>143</v>
      </c>
      <c r="AS270" s="44" t="s">
        <v>136</v>
      </c>
      <c r="AT270" s="44" t="s">
        <v>141</v>
      </c>
      <c r="AU270" s="1"/>
      <c r="AV270" s="1"/>
      <c r="AW270" s="1"/>
      <c r="AX270" s="1"/>
      <c r="AY270" s="1"/>
      <c r="AZ270" s="1"/>
      <c r="BA270" s="1"/>
      <c r="BB270" s="78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</row>
    <row r="271" spans="2:76" ht="23.25">
      <c r="B271" s="14">
        <v>117</v>
      </c>
      <c r="C271" s="14">
        <v>6</v>
      </c>
      <c r="D271" s="15">
        <v>8</v>
      </c>
      <c r="E271" s="46" cm="1">
        <f t="array" ref="E271">SUM(_xlfn.XLOOKUP(G271:AT271,$L$237:$L$246,$M$237:$M$246,,0,1))</f>
        <v>166</v>
      </c>
      <c r="F271"/>
      <c r="G271" s="44" t="s">
        <v>140</v>
      </c>
      <c r="H271" s="44" t="s">
        <v>136</v>
      </c>
      <c r="I271" s="44" t="s">
        <v>141</v>
      </c>
      <c r="J271" s="44" t="s">
        <v>138</v>
      </c>
      <c r="K271" s="44" t="s">
        <v>143</v>
      </c>
      <c r="L271" s="44" t="s">
        <v>141</v>
      </c>
      <c r="M271" s="44" t="s">
        <v>140</v>
      </c>
      <c r="N271" s="44" t="s">
        <v>143</v>
      </c>
      <c r="O271" s="44" t="s">
        <v>144</v>
      </c>
      <c r="P271" s="44" t="s">
        <v>136</v>
      </c>
      <c r="Q271" s="44" t="s">
        <v>143</v>
      </c>
      <c r="R271" s="44" t="s">
        <v>144</v>
      </c>
      <c r="S271" s="44" t="s">
        <v>142</v>
      </c>
      <c r="T271" s="44" t="s">
        <v>142</v>
      </c>
      <c r="U271" s="44" t="s">
        <v>143</v>
      </c>
      <c r="V271" s="44" t="s">
        <v>135</v>
      </c>
      <c r="W271" s="44" t="s">
        <v>135</v>
      </c>
      <c r="X271" s="44" t="s">
        <v>139</v>
      </c>
      <c r="Y271" s="44" t="s">
        <v>140</v>
      </c>
      <c r="Z271" s="44" t="s">
        <v>144</v>
      </c>
      <c r="AA271" s="44" t="s">
        <v>143</v>
      </c>
      <c r="AB271" s="44" t="s">
        <v>138</v>
      </c>
      <c r="AC271" s="44" t="s">
        <v>135</v>
      </c>
      <c r="AD271" s="44" t="s">
        <v>144</v>
      </c>
      <c r="AE271" s="44" t="s">
        <v>138</v>
      </c>
      <c r="AF271" s="44" t="s">
        <v>143</v>
      </c>
      <c r="AG271" s="44" t="s">
        <v>139</v>
      </c>
      <c r="AH271" s="44" t="s">
        <v>135</v>
      </c>
      <c r="AI271" s="44" t="s">
        <v>144</v>
      </c>
      <c r="AJ271" s="44" t="s">
        <v>135</v>
      </c>
      <c r="AK271" s="44" t="s">
        <v>138</v>
      </c>
      <c r="AL271" s="44" t="s">
        <v>144</v>
      </c>
      <c r="AM271" s="44" t="s">
        <v>139</v>
      </c>
      <c r="AN271" s="44" t="s">
        <v>137</v>
      </c>
      <c r="AO271" s="44" t="s">
        <v>141</v>
      </c>
      <c r="AP271" s="44" t="s">
        <v>144</v>
      </c>
      <c r="AQ271" s="44" t="s">
        <v>137</v>
      </c>
      <c r="AR271" s="44" t="s">
        <v>144</v>
      </c>
      <c r="AS271" s="44" t="s">
        <v>142</v>
      </c>
      <c r="AT271" s="44" t="s">
        <v>143</v>
      </c>
      <c r="AU271" s="1"/>
      <c r="AV271" s="1"/>
      <c r="AW271" s="1"/>
      <c r="AX271" s="1"/>
      <c r="AY271" s="1"/>
      <c r="AZ271" s="1"/>
      <c r="BA271" s="1"/>
      <c r="BB271" s="78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</row>
    <row r="272" spans="2:76" ht="23.25">
      <c r="B272" s="14">
        <v>118</v>
      </c>
      <c r="C272" s="14">
        <v>6</v>
      </c>
      <c r="D272" s="15">
        <v>8</v>
      </c>
      <c r="E272" s="46" cm="1">
        <f t="array" ref="E272">SUM(_xlfn.XLOOKUP(G272:AT272,$L$237:$L$246,$M$237:$M$246,,0,1))</f>
        <v>193</v>
      </c>
      <c r="F272"/>
      <c r="G272" s="44" t="s">
        <v>136</v>
      </c>
      <c r="H272" s="44" t="s">
        <v>141</v>
      </c>
      <c r="I272" s="44" t="s">
        <v>138</v>
      </c>
      <c r="J272" s="44" t="s">
        <v>135</v>
      </c>
      <c r="K272" s="44" t="s">
        <v>140</v>
      </c>
      <c r="L272" s="44" t="s">
        <v>143</v>
      </c>
      <c r="M272" s="44" t="s">
        <v>139</v>
      </c>
      <c r="N272" s="44" t="s">
        <v>144</v>
      </c>
      <c r="O272" s="44" t="s">
        <v>137</v>
      </c>
      <c r="P272" s="44" t="s">
        <v>141</v>
      </c>
      <c r="Q272" s="44" t="s">
        <v>144</v>
      </c>
      <c r="R272" s="44" t="s">
        <v>140</v>
      </c>
      <c r="S272" s="44" t="s">
        <v>140</v>
      </c>
      <c r="T272" s="44" t="s">
        <v>142</v>
      </c>
      <c r="U272" s="44" t="s">
        <v>135</v>
      </c>
      <c r="V272" s="44" t="s">
        <v>137</v>
      </c>
      <c r="W272" s="44" t="s">
        <v>140</v>
      </c>
      <c r="X272" s="44" t="s">
        <v>138</v>
      </c>
      <c r="Y272" s="44" t="s">
        <v>144</v>
      </c>
      <c r="Z272" s="44" t="s">
        <v>137</v>
      </c>
      <c r="AA272" s="44" t="s">
        <v>135</v>
      </c>
      <c r="AB272" s="44" t="s">
        <v>137</v>
      </c>
      <c r="AC272" s="44" t="s">
        <v>139</v>
      </c>
      <c r="AD272" s="44" t="s">
        <v>139</v>
      </c>
      <c r="AE272" s="44" t="s">
        <v>143</v>
      </c>
      <c r="AF272" s="44" t="s">
        <v>137</v>
      </c>
      <c r="AG272" s="44" t="s">
        <v>138</v>
      </c>
      <c r="AH272" s="44" t="s">
        <v>143</v>
      </c>
      <c r="AI272" s="44" t="s">
        <v>141</v>
      </c>
      <c r="AJ272" s="44" t="s">
        <v>137</v>
      </c>
      <c r="AK272" s="44" t="s">
        <v>142</v>
      </c>
      <c r="AL272" s="44" t="s">
        <v>144</v>
      </c>
      <c r="AM272" s="44" t="s">
        <v>135</v>
      </c>
      <c r="AN272" s="44" t="s">
        <v>143</v>
      </c>
      <c r="AO272" s="44" t="s">
        <v>144</v>
      </c>
      <c r="AP272" s="44" t="s">
        <v>144</v>
      </c>
      <c r="AQ272" s="44" t="s">
        <v>142</v>
      </c>
      <c r="AR272" s="44" t="s">
        <v>135</v>
      </c>
      <c r="AS272" s="44" t="s">
        <v>142</v>
      </c>
      <c r="AT272" s="44" t="s">
        <v>137</v>
      </c>
      <c r="AU272" s="1"/>
      <c r="AV272" s="1"/>
      <c r="AW272" s="1"/>
      <c r="AX272" s="1"/>
      <c r="AY272" s="1"/>
      <c r="AZ272" s="1"/>
      <c r="BA272" s="1"/>
      <c r="BB272" s="78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</row>
    <row r="273" spans="2:76" ht="23.25">
      <c r="B273" s="14">
        <v>119</v>
      </c>
      <c r="C273" s="14">
        <v>6</v>
      </c>
      <c r="D273" s="15">
        <v>8</v>
      </c>
      <c r="E273" s="46" cm="1">
        <f t="array" ref="E273">SUM(_xlfn.XLOOKUP(G273:AT273,$L$237:$L$246,$M$237:$M$246,,0,1))</f>
        <v>187</v>
      </c>
      <c r="F273"/>
      <c r="G273" s="44" t="s">
        <v>144</v>
      </c>
      <c r="H273" s="44" t="s">
        <v>139</v>
      </c>
      <c r="I273" s="44" t="s">
        <v>140</v>
      </c>
      <c r="J273" s="44" t="s">
        <v>142</v>
      </c>
      <c r="K273" s="44" t="s">
        <v>142</v>
      </c>
      <c r="L273" s="44" t="s">
        <v>139</v>
      </c>
      <c r="M273" s="44" t="s">
        <v>144</v>
      </c>
      <c r="N273" s="44" t="s">
        <v>143</v>
      </c>
      <c r="O273" s="44" t="s">
        <v>137</v>
      </c>
      <c r="P273" s="44" t="s">
        <v>139</v>
      </c>
      <c r="Q273" s="44" t="s">
        <v>141</v>
      </c>
      <c r="R273" s="44" t="s">
        <v>137</v>
      </c>
      <c r="S273" s="44" t="s">
        <v>143</v>
      </c>
      <c r="T273" s="44" t="s">
        <v>135</v>
      </c>
      <c r="U273" s="44" t="s">
        <v>143</v>
      </c>
      <c r="V273" s="44" t="s">
        <v>136</v>
      </c>
      <c r="W273" s="44" t="s">
        <v>144</v>
      </c>
      <c r="X273" s="44" t="s">
        <v>140</v>
      </c>
      <c r="Y273" s="44" t="s">
        <v>136</v>
      </c>
      <c r="Z273" s="44" t="s">
        <v>140</v>
      </c>
      <c r="AA273" s="44" t="s">
        <v>140</v>
      </c>
      <c r="AB273" s="44" t="s">
        <v>136</v>
      </c>
      <c r="AC273" s="44" t="s">
        <v>144</v>
      </c>
      <c r="AD273" s="44" t="s">
        <v>137</v>
      </c>
      <c r="AE273" s="44" t="s">
        <v>140</v>
      </c>
      <c r="AF273" s="44" t="s">
        <v>139</v>
      </c>
      <c r="AG273" s="44" t="s">
        <v>142</v>
      </c>
      <c r="AH273" s="44" t="s">
        <v>137</v>
      </c>
      <c r="AI273" s="44" t="s">
        <v>143</v>
      </c>
      <c r="AJ273" s="44" t="s">
        <v>141</v>
      </c>
      <c r="AK273" s="44" t="s">
        <v>138</v>
      </c>
      <c r="AL273" s="44" t="s">
        <v>135</v>
      </c>
      <c r="AM273" s="44" t="s">
        <v>135</v>
      </c>
      <c r="AN273" s="44" t="s">
        <v>141</v>
      </c>
      <c r="AO273" s="44" t="s">
        <v>144</v>
      </c>
      <c r="AP273" s="44" t="s">
        <v>139</v>
      </c>
      <c r="AQ273" s="44" t="s">
        <v>143</v>
      </c>
      <c r="AR273" s="44" t="s">
        <v>141</v>
      </c>
      <c r="AS273" s="44" t="s">
        <v>142</v>
      </c>
      <c r="AT273" s="44" t="s">
        <v>137</v>
      </c>
      <c r="AU273" s="1"/>
      <c r="AV273" s="1"/>
      <c r="AW273" s="1"/>
      <c r="AX273" s="1"/>
      <c r="AY273" s="1"/>
      <c r="AZ273" s="1"/>
      <c r="BA273" s="1"/>
      <c r="BB273" s="78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</row>
    <row r="274" spans="2:76" ht="23.25">
      <c r="B274" s="14">
        <v>120</v>
      </c>
      <c r="C274" s="14">
        <v>6</v>
      </c>
      <c r="D274" s="15">
        <v>8</v>
      </c>
      <c r="E274" s="46" cm="1">
        <f t="array" ref="E274">SUM(_xlfn.XLOOKUP(G274:AT274,$L$237:$L$246,$M$237:$M$246,,0,1))</f>
        <v>157</v>
      </c>
      <c r="F274"/>
      <c r="G274" s="44" t="s">
        <v>141</v>
      </c>
      <c r="H274" s="44" t="s">
        <v>140</v>
      </c>
      <c r="I274" s="44" t="s">
        <v>141</v>
      </c>
      <c r="J274" s="44" t="s">
        <v>144</v>
      </c>
      <c r="K274" s="44" t="s">
        <v>144</v>
      </c>
      <c r="L274" s="44" t="s">
        <v>139</v>
      </c>
      <c r="M274" s="44" t="s">
        <v>137</v>
      </c>
      <c r="N274" s="44" t="s">
        <v>139</v>
      </c>
      <c r="O274" s="44" t="s">
        <v>144</v>
      </c>
      <c r="P274" s="44" t="s">
        <v>139</v>
      </c>
      <c r="Q274" s="44" t="s">
        <v>144</v>
      </c>
      <c r="R274" s="44" t="s">
        <v>135</v>
      </c>
      <c r="S274" s="44" t="s">
        <v>142</v>
      </c>
      <c r="T274" s="44" t="s">
        <v>135</v>
      </c>
      <c r="U274" s="44" t="s">
        <v>138</v>
      </c>
      <c r="V274" s="44" t="s">
        <v>143</v>
      </c>
      <c r="W274" s="44" t="s">
        <v>140</v>
      </c>
      <c r="X274" s="44" t="s">
        <v>137</v>
      </c>
      <c r="Y274" s="44" t="s">
        <v>142</v>
      </c>
      <c r="Z274" s="44" t="s">
        <v>138</v>
      </c>
      <c r="AA274" s="44" t="s">
        <v>139</v>
      </c>
      <c r="AB274" s="44" t="s">
        <v>144</v>
      </c>
      <c r="AC274" s="44" t="s">
        <v>141</v>
      </c>
      <c r="AD274" s="44" t="s">
        <v>144</v>
      </c>
      <c r="AE274" s="44" t="s">
        <v>139</v>
      </c>
      <c r="AF274" s="44" t="s">
        <v>141</v>
      </c>
      <c r="AG274" s="44" t="s">
        <v>141</v>
      </c>
      <c r="AH274" s="44" t="s">
        <v>138</v>
      </c>
      <c r="AI274" s="44" t="s">
        <v>135</v>
      </c>
      <c r="AJ274" s="44" t="s">
        <v>138</v>
      </c>
      <c r="AK274" s="44" t="s">
        <v>135</v>
      </c>
      <c r="AL274" s="44" t="s">
        <v>143</v>
      </c>
      <c r="AM274" s="44" t="s">
        <v>143</v>
      </c>
      <c r="AN274" s="44" t="s">
        <v>142</v>
      </c>
      <c r="AO274" s="44" t="s">
        <v>143</v>
      </c>
      <c r="AP274" s="44" t="s">
        <v>139</v>
      </c>
      <c r="AQ274" s="44" t="s">
        <v>140</v>
      </c>
      <c r="AR274" s="44" t="s">
        <v>144</v>
      </c>
      <c r="AS274" s="44" t="s">
        <v>138</v>
      </c>
      <c r="AT274" s="44" t="s">
        <v>141</v>
      </c>
      <c r="AU274" s="1"/>
      <c r="AV274" s="1"/>
      <c r="AW274" s="1"/>
      <c r="AX274" s="1"/>
      <c r="AY274" s="1"/>
      <c r="AZ274" s="1"/>
      <c r="BA274" s="1"/>
      <c r="BB274" s="78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</row>
    <row r="275" spans="2:76">
      <c r="F275"/>
    </row>
    <row r="276" spans="2:76" ht="15.75" thickBot="1">
      <c r="F276"/>
    </row>
    <row r="277" spans="2:76" ht="22.5" customHeight="1" thickBot="1">
      <c r="B277" s="82" t="s">
        <v>194</v>
      </c>
      <c r="C277" s="83" t="s">
        <v>195</v>
      </c>
      <c r="D277" s="47"/>
      <c r="E277" s="24"/>
      <c r="F277"/>
      <c r="G277" s="32"/>
      <c r="H277" s="19"/>
    </row>
    <row r="278" spans="2:76" ht="15.75">
      <c r="B278" s="16"/>
      <c r="C278" s="4"/>
      <c r="D278" s="4"/>
      <c r="E278" s="24"/>
      <c r="F278"/>
      <c r="G278" s="32"/>
      <c r="H278" s="19"/>
    </row>
    <row r="279" spans="2:76" ht="15.75">
      <c r="B279" s="33" t="s">
        <v>196</v>
      </c>
      <c r="C279" s="4"/>
      <c r="D279" s="1"/>
      <c r="E279" s="22"/>
      <c r="F279"/>
      <c r="H279" s="19"/>
      <c r="L279" s="106" t="s">
        <v>182</v>
      </c>
      <c r="M279" s="106" t="s">
        <v>183</v>
      </c>
    </row>
    <row r="280" spans="2:76" ht="15.75">
      <c r="B280" s="33" t="s">
        <v>197</v>
      </c>
      <c r="C280" s="4"/>
      <c r="D280" s="4"/>
      <c r="E280" s="24"/>
      <c r="F280"/>
      <c r="G280" s="31"/>
      <c r="H280" s="19"/>
      <c r="J280" s="1" t="s">
        <v>139</v>
      </c>
      <c r="L280" s="132" t="s">
        <v>139</v>
      </c>
      <c r="M280" s="133">
        <v>0</v>
      </c>
    </row>
    <row r="281" spans="2:76" ht="15.75">
      <c r="B281" s="33" t="s">
        <v>198</v>
      </c>
      <c r="C281" s="4"/>
      <c r="D281" s="4"/>
      <c r="E281" s="24"/>
      <c r="F281"/>
      <c r="G281" s="31"/>
      <c r="H281" s="19"/>
      <c r="J281" s="1" t="s">
        <v>144</v>
      </c>
      <c r="L281" s="134" t="s">
        <v>144</v>
      </c>
      <c r="M281" s="135">
        <v>1</v>
      </c>
    </row>
    <row r="282" spans="2:76" ht="15.75">
      <c r="B282" s="33"/>
      <c r="C282" s="4"/>
      <c r="D282" s="4"/>
      <c r="E282" s="24"/>
      <c r="F282"/>
      <c r="G282" s="31"/>
      <c r="H282" s="19"/>
      <c r="J282" s="1" t="s">
        <v>136</v>
      </c>
      <c r="L282" s="134" t="s">
        <v>136</v>
      </c>
      <c r="M282" s="135">
        <v>2</v>
      </c>
    </row>
    <row r="283" spans="2:76" ht="15.75">
      <c r="B283" s="50" t="s">
        <v>199</v>
      </c>
      <c r="C283" s="4"/>
      <c r="D283" s="4"/>
      <c r="E283" s="24"/>
      <c r="F283"/>
      <c r="G283" s="31"/>
      <c r="H283" s="19"/>
      <c r="J283" s="1" t="s">
        <v>138</v>
      </c>
      <c r="L283" s="134" t="s">
        <v>138</v>
      </c>
      <c r="M283" s="135">
        <v>3</v>
      </c>
    </row>
    <row r="284" spans="2:76" ht="15.75">
      <c r="B284" s="60" t="s">
        <v>200</v>
      </c>
      <c r="C284" s="4"/>
      <c r="D284" s="4"/>
      <c r="E284" s="24"/>
      <c r="F284"/>
      <c r="G284" s="31"/>
      <c r="H284" s="19"/>
      <c r="J284" s="1" t="s">
        <v>135</v>
      </c>
      <c r="L284" s="134" t="s">
        <v>135</v>
      </c>
      <c r="M284" s="135">
        <v>4</v>
      </c>
    </row>
    <row r="285" spans="2:76" ht="15.75">
      <c r="B285" s="50"/>
      <c r="C285" s="4"/>
      <c r="D285" s="4"/>
      <c r="E285" s="24"/>
      <c r="F285"/>
      <c r="G285" s="31"/>
      <c r="H285" s="19"/>
      <c r="J285" s="1" t="s">
        <v>141</v>
      </c>
      <c r="L285" s="134" t="s">
        <v>141</v>
      </c>
      <c r="M285" s="135">
        <v>5</v>
      </c>
    </row>
    <row r="286" spans="2:76" ht="15.75">
      <c r="B286" s="63" t="s">
        <v>201</v>
      </c>
      <c r="C286" s="4"/>
      <c r="D286" s="4"/>
      <c r="E286" s="24"/>
      <c r="F286"/>
      <c r="G286" s="31"/>
      <c r="H286" s="19"/>
      <c r="J286" s="1" t="s">
        <v>143</v>
      </c>
      <c r="L286" s="134" t="s">
        <v>143</v>
      </c>
      <c r="M286" s="135">
        <v>6</v>
      </c>
      <c r="P286" s="47"/>
    </row>
    <row r="287" spans="2:76" ht="15.75">
      <c r="B287" s="63" t="s">
        <v>202</v>
      </c>
      <c r="C287" s="4"/>
      <c r="D287" s="4"/>
      <c r="E287" s="24"/>
      <c r="F287"/>
      <c r="G287" s="31"/>
      <c r="H287" s="19"/>
      <c r="J287" s="1" t="s">
        <v>137</v>
      </c>
      <c r="L287" s="134" t="s">
        <v>137</v>
      </c>
      <c r="M287" s="135">
        <v>7</v>
      </c>
      <c r="P287" s="47"/>
    </row>
    <row r="288" spans="2:76" ht="15.75">
      <c r="B288" s="63"/>
      <c r="C288" s="4"/>
      <c r="D288" s="4"/>
      <c r="E288" s="24"/>
      <c r="F288"/>
      <c r="G288" s="31"/>
      <c r="H288" s="19"/>
      <c r="J288" s="1" t="s">
        <v>140</v>
      </c>
      <c r="L288" s="134" t="s">
        <v>140</v>
      </c>
      <c r="M288" s="135">
        <v>8</v>
      </c>
    </row>
    <row r="289" spans="1:76" ht="15.75">
      <c r="B289" s="65" t="s">
        <v>31</v>
      </c>
      <c r="C289" s="4"/>
      <c r="D289" s="4"/>
      <c r="E289" s="24"/>
      <c r="F289"/>
      <c r="G289" s="31"/>
      <c r="H289" s="19"/>
      <c r="J289" s="1" t="s">
        <v>142</v>
      </c>
      <c r="K289" s="19"/>
      <c r="L289" s="136" t="s">
        <v>142</v>
      </c>
      <c r="M289" s="137">
        <v>9</v>
      </c>
    </row>
    <row r="290" spans="1:76" ht="15.75">
      <c r="B290" s="66" t="s">
        <v>203</v>
      </c>
      <c r="C290" s="4"/>
      <c r="D290" s="4"/>
      <c r="E290" s="24"/>
      <c r="F290"/>
      <c r="G290" s="31"/>
      <c r="H290" s="19"/>
      <c r="I290" s="19"/>
      <c r="J290" s="19"/>
      <c r="K290" s="19"/>
    </row>
    <row r="291" spans="1:76" ht="15.75">
      <c r="B291" s="66" t="s">
        <v>204</v>
      </c>
      <c r="C291" s="4"/>
      <c r="D291" s="4"/>
      <c r="E291" s="24"/>
      <c r="F291"/>
      <c r="G291" s="31"/>
      <c r="H291" s="19"/>
      <c r="I291" s="19"/>
      <c r="J291" s="19"/>
      <c r="K291" s="19"/>
    </row>
    <row r="292" spans="1:76" ht="15.75">
      <c r="B292" s="66" t="s">
        <v>205</v>
      </c>
      <c r="C292" s="1"/>
      <c r="D292" s="1"/>
      <c r="E292" s="22"/>
      <c r="F292"/>
      <c r="H292" s="19"/>
      <c r="I292" s="19"/>
      <c r="J292" s="19"/>
      <c r="K292" s="19"/>
    </row>
    <row r="293" spans="1:76" ht="15.75" thickBot="1">
      <c r="B293" s="16"/>
      <c r="C293" s="1"/>
      <c r="D293" s="1"/>
      <c r="E293" s="22"/>
      <c r="F293"/>
      <c r="G293" s="17"/>
      <c r="H293" s="19"/>
      <c r="I293" s="19"/>
      <c r="J293" s="19"/>
      <c r="K293" s="19"/>
    </row>
    <row r="294" spans="1:76" s="19" customFormat="1" ht="22.5" customHeight="1" thickBot="1">
      <c r="A294" s="1"/>
      <c r="B294" s="97" t="s">
        <v>9</v>
      </c>
      <c r="C294" s="97" t="s">
        <v>35</v>
      </c>
      <c r="D294" s="97" t="s">
        <v>11</v>
      </c>
      <c r="E294" s="97" t="s">
        <v>12</v>
      </c>
      <c r="F294"/>
      <c r="G294" s="100" t="s">
        <v>206</v>
      </c>
      <c r="H294" s="100"/>
    </row>
    <row r="295" spans="1:76" ht="15.75">
      <c r="B295" s="1"/>
      <c r="C295" s="1"/>
      <c r="D295" s="1"/>
      <c r="E295" s="22"/>
      <c r="F295"/>
      <c r="G295" s="32"/>
      <c r="H295" s="19"/>
      <c r="I295" s="19"/>
      <c r="J295" s="19"/>
      <c r="K295" s="19"/>
    </row>
    <row r="296" spans="1:76" ht="23.25">
      <c r="B296" s="14" t="s">
        <v>207</v>
      </c>
      <c r="C296" s="14">
        <v>7</v>
      </c>
      <c r="D296" s="15">
        <v>0</v>
      </c>
      <c r="E296" s="18">
        <v>84</v>
      </c>
      <c r="F296"/>
      <c r="G296" s="84" t="s">
        <v>208</v>
      </c>
      <c r="H296" s="59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78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</row>
    <row r="297" spans="1:76" ht="15.75">
      <c r="B297" s="1"/>
      <c r="C297" s="1"/>
      <c r="D297" s="1"/>
      <c r="E297" s="22"/>
      <c r="F297"/>
      <c r="G297" s="45"/>
      <c r="H297" s="19"/>
      <c r="I297" s="19"/>
      <c r="J297" s="19"/>
      <c r="K297" s="19"/>
    </row>
    <row r="298" spans="1:76" ht="23.25">
      <c r="B298" s="14">
        <v>121</v>
      </c>
      <c r="C298" s="14">
        <v>7</v>
      </c>
      <c r="D298" s="15">
        <v>10</v>
      </c>
      <c r="E298" s="18" cm="1">
        <f t="array" ref="E298">--_xlfn.CONCAT(_xlfn.XLOOKUP(MID(G298,_xlfn.SEQUENCE(LEN(G298) / 2,1,1,2),2),$L$280:$L$289,$M$280:$M$289,,0,1))</f>
        <v>115</v>
      </c>
      <c r="F298"/>
      <c r="G298" s="84" t="s">
        <v>209</v>
      </c>
      <c r="H298" s="59"/>
      <c r="J298" s="1" cm="1">
        <f t="array" ref="J298">--_xlfn.CONCAT(_xlfn.XLOOKUP(MID(G298,_xlfn.SEQUENCE(LEN(G298) / 2,1,1,2),2),$L$280:$L$289,$M$280:$M$289,,0,1))</f>
        <v>115</v>
      </c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78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</row>
    <row r="299" spans="1:76" ht="23.25">
      <c r="B299" s="14">
        <v>122</v>
      </c>
      <c r="C299" s="14">
        <v>7</v>
      </c>
      <c r="D299" s="15">
        <v>10</v>
      </c>
      <c r="E299" s="18" cm="1">
        <f t="array" ref="E299">--_xlfn.CONCAT(_xlfn.XLOOKUP(MID(G299,_xlfn.SEQUENCE(LEN(G299) / 2,1,1,2),2),$L$280:$L$289,$M$280:$M$289,,0,1))</f>
        <v>860</v>
      </c>
      <c r="F299"/>
      <c r="G299" s="84" t="s">
        <v>210</v>
      </c>
      <c r="H299" s="59"/>
      <c r="J299" s="1" cm="1">
        <f t="array" ref="J299">--_xlfn.CONCAT(_xlfn.XLOOKUP(MID(G299,_xlfn.SEQUENCE(LEN(G299) / 2,1,1,2),2),$L$280:$L$289,$M$280:$M$289,,0,1))</f>
        <v>860</v>
      </c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78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</row>
    <row r="300" spans="1:76" ht="23.25">
      <c r="B300" s="14">
        <v>123</v>
      </c>
      <c r="C300" s="14">
        <v>7</v>
      </c>
      <c r="D300" s="15">
        <v>10</v>
      </c>
      <c r="E300" s="18" cm="1">
        <f t="array" ref="E300">--_xlfn.CONCAT(_xlfn.XLOOKUP(MID(G300,_xlfn.SEQUENCE(LEN(G300) / 2,1,1,2),2),$L$280:$L$289,$M$280:$M$289,,0,1))</f>
        <v>2809</v>
      </c>
      <c r="F300"/>
      <c r="G300" s="84" t="s">
        <v>211</v>
      </c>
      <c r="H300" s="59"/>
      <c r="J300" s="1" cm="1">
        <f t="array" ref="J300">--_xlfn.CONCAT(_xlfn.XLOOKUP(MID(G300,_xlfn.SEQUENCE(LEN(G300) / 2,1,1,2),2),$L$280:$L$289,$M$280:$M$289,,0,1))</f>
        <v>2809</v>
      </c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78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</row>
    <row r="301" spans="1:76" ht="23.25">
      <c r="B301" s="14">
        <v>124</v>
      </c>
      <c r="C301" s="14">
        <v>7</v>
      </c>
      <c r="D301" s="15">
        <v>10</v>
      </c>
      <c r="E301" s="18" cm="1">
        <f t="array" ref="E301">--_xlfn.CONCAT(_xlfn.XLOOKUP(MID(G301,_xlfn.SEQUENCE(LEN(G301) / 2,1,1,2),2),$L$280:$L$289,$M$280:$M$289,,0,1))</f>
        <v>6832</v>
      </c>
      <c r="F301"/>
      <c r="G301" s="84" t="s">
        <v>212</v>
      </c>
      <c r="H301" s="59"/>
      <c r="J301" s="1" cm="1">
        <f t="array" ref="J301">--_xlfn.CONCAT(_xlfn.XLOOKUP(MID(G301,_xlfn.SEQUENCE(LEN(G301) / 2,1,1,2),2),$L$280:$L$289,$M$280:$M$289,,0,1))</f>
        <v>6832</v>
      </c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78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</row>
    <row r="302" spans="1:76" ht="23.25">
      <c r="B302" s="14">
        <v>125</v>
      </c>
      <c r="C302" s="14">
        <v>7</v>
      </c>
      <c r="D302" s="15">
        <v>10</v>
      </c>
      <c r="E302" s="18" cm="1">
        <f t="array" ref="E302">--_xlfn.CONCAT(_xlfn.XLOOKUP(MID(G302,_xlfn.SEQUENCE(LEN(G302) / 2,1,1,2),2),$L$280:$L$289,$M$280:$M$289,,0,1))</f>
        <v>1761</v>
      </c>
      <c r="F302"/>
      <c r="G302" s="84" t="s">
        <v>213</v>
      </c>
      <c r="H302" s="59"/>
      <c r="J302" s="1" cm="1">
        <f t="array" ref="J302">--_xlfn.CONCAT(_xlfn.XLOOKUP(MID(G302,_xlfn.SEQUENCE(LEN(G302) / 2,1,1,2),2),$L$280:$L$289,$M$280:$M$289,,0,1))</f>
        <v>1761</v>
      </c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78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</row>
    <row r="303" spans="1:76" ht="23.25">
      <c r="B303" s="14">
        <v>126</v>
      </c>
      <c r="C303" s="14">
        <v>7</v>
      </c>
      <c r="D303" s="15">
        <v>10</v>
      </c>
      <c r="E303" s="18" cm="1">
        <f t="array" ref="E303">--_xlfn.CONCAT(_xlfn.XLOOKUP(MID(G303,_xlfn.SEQUENCE(LEN(G303) / 2,1,1,2),2),$L$280:$L$289,$M$280:$M$289,,0,1))</f>
        <v>4691</v>
      </c>
      <c r="F303"/>
      <c r="G303" s="84" t="s">
        <v>214</v>
      </c>
      <c r="H303" s="59"/>
      <c r="J303" s="1" cm="1">
        <f t="array" ref="J303">--_xlfn.CONCAT(_xlfn.XLOOKUP(MID(G303,_xlfn.SEQUENCE(LEN(G303) / 2,1,1,2),2),$L$280:$L$289,$M$280:$M$289,,0,1))</f>
        <v>4691</v>
      </c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78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</row>
    <row r="304" spans="1:76" ht="23.25">
      <c r="B304" s="14">
        <v>127</v>
      </c>
      <c r="C304" s="14">
        <v>7</v>
      </c>
      <c r="D304" s="15">
        <v>10</v>
      </c>
      <c r="E304" s="18" cm="1">
        <f t="array" ref="E304">--_xlfn.CONCAT(_xlfn.XLOOKUP(MID(G304,_xlfn.SEQUENCE(LEN(G304) / 2,1,1,2),2),$L$280:$L$289,$M$280:$M$289,,0,1))</f>
        <v>6232</v>
      </c>
      <c r="F304"/>
      <c r="G304" s="84" t="s">
        <v>215</v>
      </c>
      <c r="H304" s="59"/>
      <c r="J304" s="1" cm="1">
        <f t="array" ref="J304">--_xlfn.CONCAT(_xlfn.XLOOKUP(MID(G304,_xlfn.SEQUENCE(LEN(G304) / 2,1,1,2),2),$L$280:$L$289,$M$280:$M$289,,0,1))</f>
        <v>6232</v>
      </c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78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</row>
    <row r="305" spans="2:76" ht="23.25">
      <c r="B305" s="14">
        <v>128</v>
      </c>
      <c r="C305" s="14">
        <v>7</v>
      </c>
      <c r="D305" s="15">
        <v>10</v>
      </c>
      <c r="E305" s="18" cm="1">
        <f t="array" ref="E305">--_xlfn.CONCAT(_xlfn.XLOOKUP(MID(G305,_xlfn.SEQUENCE(LEN(G305) / 2,1,1,2),2),$L$280:$L$289,$M$280:$M$289,,0,1))</f>
        <v>47181</v>
      </c>
      <c r="F305"/>
      <c r="G305" s="84" t="s">
        <v>216</v>
      </c>
      <c r="H305" s="59"/>
      <c r="J305" s="1" cm="1">
        <f t="array" ref="J305">--_xlfn.CONCAT(_xlfn.XLOOKUP(MID(G305,_xlfn.SEQUENCE(LEN(G305) / 2,1,1,2),2),$L$280:$L$289,$M$280:$M$289,,0,1))</f>
        <v>47181</v>
      </c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78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</row>
    <row r="306" spans="2:76" ht="23.25">
      <c r="B306" s="14">
        <v>129</v>
      </c>
      <c r="C306" s="14">
        <v>7</v>
      </c>
      <c r="D306" s="15">
        <v>10</v>
      </c>
      <c r="E306" s="18" cm="1">
        <f t="array" ref="E306">--_xlfn.CONCAT(_xlfn.XLOOKUP(MID(G306,_xlfn.SEQUENCE(LEN(G306) / 2,1,1,2),2),$L$280:$L$289,$M$280:$M$289,,0,1))</f>
        <v>3223</v>
      </c>
      <c r="F306"/>
      <c r="G306" s="84" t="s">
        <v>217</v>
      </c>
      <c r="H306" s="59"/>
      <c r="J306" s="1" cm="1">
        <f t="array" ref="J306">--_xlfn.CONCAT(_xlfn.XLOOKUP(MID(G306,_xlfn.SEQUENCE(LEN(G306) / 2,1,1,2),2),$L$280:$L$289,$M$280:$M$289,,0,1))</f>
        <v>3223</v>
      </c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78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</row>
    <row r="307" spans="2:76" ht="23.25">
      <c r="B307" s="14">
        <v>130</v>
      </c>
      <c r="C307" s="14">
        <v>7</v>
      </c>
      <c r="D307" s="15">
        <v>10</v>
      </c>
      <c r="E307" s="18" cm="1">
        <f t="array" ref="E307">--_xlfn.CONCAT(_xlfn.XLOOKUP(MID(G307,_xlfn.SEQUENCE(LEN(G307) / 2,1,1,2),2),$L$280:$L$289,$M$280:$M$289,,0,1))</f>
        <v>82741</v>
      </c>
      <c r="F307"/>
      <c r="G307" s="84" t="s">
        <v>218</v>
      </c>
      <c r="H307" s="59"/>
      <c r="J307" s="1" cm="1">
        <f t="array" ref="J307">--_xlfn.CONCAT(_xlfn.XLOOKUP(MID(G307,_xlfn.SEQUENCE(LEN(G307) / 2,1,1,2),2),$L$280:$L$289,$M$280:$M$289,,0,1))</f>
        <v>82741</v>
      </c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78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</row>
    <row r="308" spans="2:76" ht="23.25">
      <c r="B308" s="14">
        <v>131</v>
      </c>
      <c r="C308" s="14">
        <v>7</v>
      </c>
      <c r="D308" s="15">
        <v>10</v>
      </c>
      <c r="E308" s="18" cm="1">
        <f t="array" ref="E308">--_xlfn.CONCAT(_xlfn.XLOOKUP(MID(G308,_xlfn.SEQUENCE(LEN(G308) / 2,1,1,2),2),$L$280:$L$289,$M$280:$M$289,,0,1))</f>
        <v>1749</v>
      </c>
      <c r="F308"/>
      <c r="G308" s="84" t="s">
        <v>219</v>
      </c>
      <c r="H308" s="59"/>
      <c r="J308" s="1" cm="1">
        <f t="array" ref="J308">--_xlfn.CONCAT(_xlfn.XLOOKUP(MID(G308,_xlfn.SEQUENCE(LEN(G308) / 2,1,1,2),2),$L$280:$L$289,$M$280:$M$289,,0,1))</f>
        <v>1749</v>
      </c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78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</row>
    <row r="309" spans="2:76" ht="23.25">
      <c r="B309" s="14">
        <v>132</v>
      </c>
      <c r="C309" s="14">
        <v>7</v>
      </c>
      <c r="D309" s="15">
        <v>10</v>
      </c>
      <c r="E309" s="18" cm="1">
        <f t="array" ref="E309">--_xlfn.CONCAT(_xlfn.XLOOKUP(MID(G309,_xlfn.SEQUENCE(LEN(G309) / 2,1,1,2),2),$L$280:$L$289,$M$280:$M$289,,0,1))</f>
        <v>67387</v>
      </c>
      <c r="F309"/>
      <c r="G309" s="84" t="s">
        <v>220</v>
      </c>
      <c r="H309" s="59"/>
      <c r="J309" s="1" cm="1">
        <f t="array" ref="J309">--_xlfn.CONCAT(_xlfn.XLOOKUP(MID(G309,_xlfn.SEQUENCE(LEN(G309) / 2,1,1,2),2),$L$280:$L$289,$M$280:$M$289,,0,1))</f>
        <v>67387</v>
      </c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78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</row>
    <row r="310" spans="2:76" ht="23.25">
      <c r="B310" s="14">
        <v>133</v>
      </c>
      <c r="C310" s="14">
        <v>7</v>
      </c>
      <c r="D310" s="15">
        <v>10</v>
      </c>
      <c r="E310" s="18" cm="1">
        <f t="array" ref="E310">--_xlfn.CONCAT(_xlfn.XLOOKUP(MID(G310,_xlfn.SEQUENCE(LEN(G310) / 2,1,1,2),2),$L$280:$L$289,$M$280:$M$289,,0,1))</f>
        <v>8511</v>
      </c>
      <c r="F310"/>
      <c r="G310" s="84" t="s">
        <v>221</v>
      </c>
      <c r="H310" s="59"/>
      <c r="J310" s="1" cm="1">
        <f t="array" ref="J310">--_xlfn.CONCAT(_xlfn.XLOOKUP(MID(G310,_xlfn.SEQUENCE(LEN(G310) / 2,1,1,2),2),$L$280:$L$289,$M$280:$M$289,,0,1))</f>
        <v>8511</v>
      </c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78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</row>
    <row r="311" spans="2:76" ht="23.25">
      <c r="B311" s="14">
        <v>134</v>
      </c>
      <c r="C311" s="14">
        <v>7</v>
      </c>
      <c r="D311" s="15">
        <v>10</v>
      </c>
      <c r="E311" s="18" cm="1">
        <f t="array" ref="E311">--_xlfn.CONCAT(_xlfn.XLOOKUP(MID(G311,_xlfn.SEQUENCE(LEN(G311) / 2,1,1,2),2),$L$280:$L$289,$M$280:$M$289,,0,1))</f>
        <v>5625</v>
      </c>
      <c r="F311"/>
      <c r="G311" s="84" t="s">
        <v>222</v>
      </c>
      <c r="H311" s="59"/>
      <c r="J311" s="1" cm="1">
        <f t="array" ref="J311">--_xlfn.CONCAT(_xlfn.XLOOKUP(MID(G311,_xlfn.SEQUENCE(LEN(G311) / 2,1,1,2),2),$L$280:$L$289,$M$280:$M$289,,0,1))</f>
        <v>5625</v>
      </c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78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</row>
    <row r="312" spans="2:76" ht="23.25">
      <c r="B312" s="14">
        <v>135</v>
      </c>
      <c r="C312" s="14">
        <v>7</v>
      </c>
      <c r="D312" s="15">
        <v>10</v>
      </c>
      <c r="E312" s="18" cm="1">
        <f t="array" ref="E312">--_xlfn.CONCAT(_xlfn.XLOOKUP(MID(G312,_xlfn.SEQUENCE(LEN(G312) / 2,1,1,2),2),$L$280:$L$289,$M$280:$M$289,,0,1))</f>
        <v>54840</v>
      </c>
      <c r="F312"/>
      <c r="G312" s="84" t="s">
        <v>223</v>
      </c>
      <c r="H312" s="59"/>
      <c r="J312" s="1" cm="1">
        <f t="array" ref="J312">--_xlfn.CONCAT(_xlfn.XLOOKUP(MID(G312,_xlfn.SEQUENCE(LEN(G312) / 2,1,1,2),2),$L$280:$L$289,$M$280:$M$289,,0,1))</f>
        <v>54840</v>
      </c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78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</row>
    <row r="313" spans="2:76" ht="23.25">
      <c r="B313" s="14">
        <v>136</v>
      </c>
      <c r="C313" s="14">
        <v>7</v>
      </c>
      <c r="D313" s="15">
        <v>10</v>
      </c>
      <c r="E313" s="18" cm="1">
        <f t="array" ref="E313">--_xlfn.CONCAT(_xlfn.XLOOKUP(MID(G313,_xlfn.SEQUENCE(LEN(G313) / 2,1,1,2),2),$L$280:$L$289,$M$280:$M$289,,0,1))</f>
        <v>28</v>
      </c>
      <c r="F313"/>
      <c r="G313" s="84" t="s">
        <v>224</v>
      </c>
      <c r="H313" s="59"/>
      <c r="J313" s="1" cm="1">
        <f t="array" ref="J313">--_xlfn.CONCAT(_xlfn.XLOOKUP(MID(G313,_xlfn.SEQUENCE(LEN(G313) / 2,1,1,2),2),$L$280:$L$289,$M$280:$M$289,,0,1))</f>
        <v>28</v>
      </c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78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</row>
    <row r="314" spans="2:76" ht="23.25">
      <c r="B314" s="14">
        <v>137</v>
      </c>
      <c r="C314" s="14">
        <v>7</v>
      </c>
      <c r="D314" s="15">
        <v>10</v>
      </c>
      <c r="E314" s="18" cm="1">
        <f t="array" ref="E314">--_xlfn.CONCAT(_xlfn.XLOOKUP(MID(G314,_xlfn.SEQUENCE(LEN(G314) / 2,1,1,2),2),$L$280:$L$289,$M$280:$M$289,,0,1))</f>
        <v>21060</v>
      </c>
      <c r="F314"/>
      <c r="G314" s="84" t="s">
        <v>225</v>
      </c>
      <c r="H314" s="59"/>
      <c r="J314" s="1" cm="1">
        <f t="array" ref="J314">--_xlfn.CONCAT(_xlfn.XLOOKUP(MID(G314,_xlfn.SEQUENCE(LEN(G314) / 2,1,1,2),2),$L$280:$L$289,$M$280:$M$289,,0,1))</f>
        <v>21060</v>
      </c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78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</row>
    <row r="315" spans="2:76" ht="23.25">
      <c r="B315" s="14">
        <v>138</v>
      </c>
      <c r="C315" s="14">
        <v>7</v>
      </c>
      <c r="D315" s="15">
        <v>10</v>
      </c>
      <c r="E315" s="18" cm="1">
        <f t="array" ref="E315">--_xlfn.CONCAT(_xlfn.XLOOKUP(MID(G315,_xlfn.SEQUENCE(LEN(G315) / 2,1,1,2),2),$L$280:$L$289,$M$280:$M$289,,0,1))</f>
        <v>57</v>
      </c>
      <c r="F315"/>
      <c r="G315" s="84" t="s">
        <v>226</v>
      </c>
      <c r="H315" s="59"/>
      <c r="J315" s="1" cm="1">
        <f t="array" ref="J315">--_xlfn.CONCAT(_xlfn.XLOOKUP(MID(G315,_xlfn.SEQUENCE(LEN(G315) / 2,1,1,2),2),$L$280:$L$289,$M$280:$M$289,,0,1))</f>
        <v>57</v>
      </c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78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</row>
    <row r="316" spans="2:76" ht="23.25">
      <c r="B316" s="14">
        <v>139</v>
      </c>
      <c r="C316" s="14">
        <v>7</v>
      </c>
      <c r="D316" s="15">
        <v>10</v>
      </c>
      <c r="E316" s="18" cm="1">
        <f t="array" ref="E316">--_xlfn.CONCAT(_xlfn.XLOOKUP(MID(G316,_xlfn.SEQUENCE(LEN(G316) / 2,1,1,2),2),$L$280:$L$289,$M$280:$M$289,,0,1))</f>
        <v>1005</v>
      </c>
      <c r="F316"/>
      <c r="G316" s="84" t="s">
        <v>227</v>
      </c>
      <c r="H316" s="59"/>
      <c r="J316" s="1" cm="1">
        <f t="array" ref="J316">--_xlfn.CONCAT(_xlfn.XLOOKUP(MID(G316,_xlfn.SEQUENCE(LEN(G316) / 2,1,1,2),2),$L$280:$L$289,$M$280:$M$289,,0,1))</f>
        <v>1005</v>
      </c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78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</row>
    <row r="317" spans="2:76" ht="23.25">
      <c r="B317" s="14">
        <v>140</v>
      </c>
      <c r="C317" s="14">
        <v>7</v>
      </c>
      <c r="D317" s="15">
        <v>10</v>
      </c>
      <c r="E317" s="18" cm="1">
        <f t="array" ref="E317">--_xlfn.CONCAT(_xlfn.XLOOKUP(MID(G317,_xlfn.SEQUENCE(LEN(G317) / 2,1,1,2),2),$L$280:$L$289,$M$280:$M$289,,0,1))</f>
        <v>650</v>
      </c>
      <c r="F317"/>
      <c r="G317" s="84" t="s">
        <v>228</v>
      </c>
      <c r="H317" s="59"/>
      <c r="J317" s="1" cm="1">
        <f t="array" ref="J317">--_xlfn.CONCAT(_xlfn.XLOOKUP(MID(G317,_xlfn.SEQUENCE(LEN(G317) / 2,1,1,2),2),$L$280:$L$289,$M$280:$M$289,,0,1))</f>
        <v>650</v>
      </c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78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</row>
    <row r="1000" spans="648:648" ht="15.75">
      <c r="XX1000" s="138">
        <v>125713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0F2A0-F07B-4B0B-B534-341868AA646D}">
  <dimension ref="A1:T147"/>
  <sheetViews>
    <sheetView showGridLines="0" zoomScaleNormal="100" workbookViewId="0">
      <selection activeCell="P6" sqref="P6"/>
    </sheetView>
  </sheetViews>
  <sheetFormatPr defaultColWidth="8.7109375" defaultRowHeight="23.25" customHeight="1"/>
  <cols>
    <col min="1" max="1" width="3.28515625" style="109" customWidth="1"/>
    <col min="2" max="2" width="13" style="121" customWidth="1"/>
    <col min="3" max="3" width="57" style="122" customWidth="1"/>
    <col min="4" max="4" width="9.85546875" style="109" customWidth="1"/>
    <col min="5" max="20" width="5.7109375" style="109" customWidth="1"/>
    <col min="21" max="44" width="8.42578125" style="112" customWidth="1"/>
    <col min="45" max="70" width="6.42578125" style="112" customWidth="1"/>
    <col min="71" max="16384" width="8.7109375" style="112"/>
  </cols>
  <sheetData>
    <row r="1" spans="2:20" ht="23.25" customHeight="1" thickBot="1">
      <c r="B1" s="107" t="s">
        <v>229</v>
      </c>
      <c r="C1" s="108"/>
      <c r="F1" s="110"/>
      <c r="G1" s="110"/>
      <c r="H1" s="110"/>
      <c r="I1" s="111"/>
      <c r="J1" s="111"/>
      <c r="K1" s="112"/>
      <c r="L1" s="112"/>
      <c r="M1" s="112"/>
      <c r="N1" s="112"/>
      <c r="O1" s="112"/>
      <c r="P1" s="112"/>
      <c r="Q1" s="112"/>
      <c r="R1" s="112"/>
      <c r="S1" s="112"/>
      <c r="T1" s="112"/>
    </row>
    <row r="2" spans="2:20" ht="23.25" customHeight="1" thickBot="1">
      <c r="B2" s="113" t="s">
        <v>9</v>
      </c>
      <c r="C2" s="114" t="s">
        <v>12</v>
      </c>
      <c r="D2" s="113" t="s">
        <v>11</v>
      </c>
      <c r="Q2" s="112"/>
      <c r="R2" s="112"/>
      <c r="S2" s="112"/>
      <c r="T2" s="112"/>
    </row>
    <row r="3" spans="2:20" ht="23.25" customHeight="1">
      <c r="B3" s="115" t="s">
        <v>14</v>
      </c>
      <c r="C3" s="116">
        <f>IF(ISBLANK(Case!E24),"",Case!E24)</f>
        <v>8</v>
      </c>
      <c r="D3" s="117">
        <v>30</v>
      </c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</row>
    <row r="4" spans="2:20" ht="23.25" customHeight="1">
      <c r="B4" s="118" t="s">
        <v>16</v>
      </c>
      <c r="C4" s="116">
        <f>IF(ISBLANK(Case!E25),"",Case!E25)</f>
        <v>199601</v>
      </c>
      <c r="D4" s="119">
        <v>40</v>
      </c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</row>
    <row r="5" spans="2:20" ht="23.25" customHeight="1">
      <c r="B5" s="118" t="s">
        <v>18</v>
      </c>
      <c r="C5" s="116">
        <f>IF(ISBLANK(Case!E26),"",Case!E26)</f>
        <v>96</v>
      </c>
      <c r="D5" s="119">
        <v>50</v>
      </c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>
        <v>1130</v>
      </c>
      <c r="P5" s="112"/>
      <c r="Q5" s="112"/>
      <c r="R5" s="112"/>
      <c r="S5" s="112"/>
      <c r="T5" s="112"/>
    </row>
    <row r="6" spans="2:20" ht="23.25" customHeight="1">
      <c r="B6" s="118" t="s">
        <v>20</v>
      </c>
      <c r="C6" s="116">
        <f>IF(ISBLANK(Case!E27),"",Case!E27)</f>
        <v>12</v>
      </c>
      <c r="D6" s="119">
        <v>60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>
        <f>SUM(D3:D147)</f>
        <v>1250</v>
      </c>
      <c r="P6" s="112">
        <f>O6-O5</f>
        <v>120</v>
      </c>
      <c r="Q6" s="112"/>
      <c r="R6" s="112"/>
      <c r="S6" s="112"/>
      <c r="T6" s="112"/>
    </row>
    <row r="7" spans="2:20" ht="23.25" customHeight="1">
      <c r="B7" s="118" t="s">
        <v>22</v>
      </c>
      <c r="C7" s="116">
        <f>IF(ISBLANK(Case!E28),"",Case!E28)</f>
        <v>152</v>
      </c>
      <c r="D7" s="119">
        <v>70</v>
      </c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</row>
    <row r="8" spans="2:20" ht="23.25" customHeight="1">
      <c r="B8" s="120">
        <v>1</v>
      </c>
      <c r="C8" s="116" t="str">
        <f>IF(ISBLANK(Case!E49),"",Case!E49)</f>
        <v>TEXTJOIN</v>
      </c>
      <c r="D8" s="115">
        <v>4</v>
      </c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</row>
    <row r="9" spans="2:20" ht="23.25" customHeight="1">
      <c r="B9" s="120">
        <f t="shared" ref="B9:B72" si="0">B8+1</f>
        <v>2</v>
      </c>
      <c r="C9" s="116" t="str">
        <f>IF(ISBLANK(Case!E50),"",Case!E50)</f>
        <v>INDEX</v>
      </c>
      <c r="D9" s="115">
        <v>4</v>
      </c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</row>
    <row r="10" spans="2:20" ht="23.25" customHeight="1">
      <c r="B10" s="120">
        <f t="shared" si="0"/>
        <v>3</v>
      </c>
      <c r="C10" s="116" t="str">
        <f>IF(ISBLANK(Case!E51),"",Case!E51)</f>
        <v>CONCAT</v>
      </c>
      <c r="D10" s="115">
        <v>4</v>
      </c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</row>
    <row r="11" spans="2:20" ht="23.25" customHeight="1">
      <c r="B11" s="120">
        <f t="shared" si="0"/>
        <v>4</v>
      </c>
      <c r="C11" s="116" t="str">
        <f>IF(ISBLANK(Case!E52),"",Case!E52)</f>
        <v>INDEX</v>
      </c>
      <c r="D11" s="115">
        <v>4</v>
      </c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</row>
    <row r="12" spans="2:20" ht="23.25" customHeight="1">
      <c r="B12" s="120">
        <f t="shared" si="0"/>
        <v>5</v>
      </c>
      <c r="C12" s="116" t="str">
        <f>IF(ISBLANK(Case!E53),"",Case!E53)</f>
        <v>COUNTA</v>
      </c>
      <c r="D12" s="115">
        <v>4</v>
      </c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</row>
    <row r="13" spans="2:20" ht="23.25" customHeight="1">
      <c r="B13" s="120">
        <f t="shared" si="0"/>
        <v>6</v>
      </c>
      <c r="C13" s="116" t="str">
        <f>IF(ISBLANK(Case!E54),"",Case!E54)</f>
        <v>IFS</v>
      </c>
      <c r="D13" s="115">
        <v>4</v>
      </c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</row>
    <row r="14" spans="2:20" ht="23.25" customHeight="1">
      <c r="B14" s="120">
        <f t="shared" si="0"/>
        <v>7</v>
      </c>
      <c r="C14" s="116" t="str">
        <f>IF(ISBLANK(Case!E55),"",Case!E55)</f>
        <v>LEN</v>
      </c>
      <c r="D14" s="115">
        <v>4</v>
      </c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</row>
    <row r="15" spans="2:20" ht="23.25" customHeight="1">
      <c r="B15" s="120">
        <f t="shared" si="0"/>
        <v>8</v>
      </c>
      <c r="C15" s="116" t="str">
        <f>IF(ISBLANK(Case!E56),"",Case!E56)</f>
        <v>IFERROR</v>
      </c>
      <c r="D15" s="115">
        <v>4</v>
      </c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</row>
    <row r="16" spans="2:20" ht="23.25" customHeight="1">
      <c r="B16" s="120">
        <f t="shared" si="0"/>
        <v>9</v>
      </c>
      <c r="C16" s="116" t="str">
        <f>IF(ISBLANK(Case!E57),"",Case!E57)</f>
        <v>MINIFS</v>
      </c>
      <c r="D16" s="115">
        <v>4</v>
      </c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</row>
    <row r="17" spans="2:20" ht="23.25" customHeight="1">
      <c r="B17" s="120">
        <f t="shared" si="0"/>
        <v>10</v>
      </c>
      <c r="C17" s="116" t="str">
        <f>IF(ISBLANK(Case!E58),"",Case!E58)</f>
        <v>SUMIFS</v>
      </c>
      <c r="D17" s="115">
        <v>4</v>
      </c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</row>
    <row r="18" spans="2:20" ht="23.25" customHeight="1">
      <c r="B18" s="120">
        <f t="shared" si="0"/>
        <v>11</v>
      </c>
      <c r="C18" s="116" t="str">
        <f>IF(ISBLANK(Case!E59),"",Case!E59)</f>
        <v>EOMONTH</v>
      </c>
      <c r="D18" s="115">
        <v>4</v>
      </c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</row>
    <row r="19" spans="2:20" ht="23.25" customHeight="1">
      <c r="B19" s="120">
        <f t="shared" si="0"/>
        <v>12</v>
      </c>
      <c r="C19" s="116" t="str">
        <f>IF(ISBLANK(Case!E60),"",Case!E60)</f>
        <v>VLOOKUP</v>
      </c>
      <c r="D19" s="115">
        <v>4</v>
      </c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</row>
    <row r="20" spans="2:20" ht="23.25" customHeight="1">
      <c r="B20" s="120">
        <f t="shared" si="0"/>
        <v>13</v>
      </c>
      <c r="C20" s="116" t="str">
        <f>IF(ISBLANK(Case!E61),"",Case!E61)</f>
        <v>MATCH</v>
      </c>
      <c r="D20" s="115">
        <v>4</v>
      </c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</row>
    <row r="21" spans="2:20" ht="23.25" customHeight="1">
      <c r="B21" s="120">
        <f t="shared" si="0"/>
        <v>14</v>
      </c>
      <c r="C21" s="116" t="str">
        <f>IF(ISBLANK(Case!E62),"",Case!E62)</f>
        <v>INDIRECT</v>
      </c>
      <c r="D21" s="115">
        <v>4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</row>
    <row r="22" spans="2:20" ht="23.25" customHeight="1">
      <c r="B22" s="120">
        <f t="shared" si="0"/>
        <v>15</v>
      </c>
      <c r="C22" s="116" t="str">
        <f>IF(ISBLANK(Case!E63),"",Case!E63)</f>
        <v>AVERAGE</v>
      </c>
      <c r="D22" s="115">
        <v>4</v>
      </c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</row>
    <row r="23" spans="2:20" ht="23.25" customHeight="1">
      <c r="B23" s="120">
        <f t="shared" si="0"/>
        <v>16</v>
      </c>
      <c r="C23" s="116" t="str">
        <f>IF(ISBLANK(Case!E64),"",Case!E64)</f>
        <v>MAXIFS</v>
      </c>
      <c r="D23" s="115">
        <v>4</v>
      </c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</row>
    <row r="24" spans="2:20" ht="23.25" customHeight="1">
      <c r="B24" s="120">
        <f t="shared" si="0"/>
        <v>17</v>
      </c>
      <c r="C24" s="116" t="str">
        <f>IF(ISBLANK(Case!E65),"",Case!E65)</f>
        <v>TABLE</v>
      </c>
      <c r="D24" s="115">
        <v>4</v>
      </c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</row>
    <row r="25" spans="2:20" ht="23.25" customHeight="1">
      <c r="B25" s="120">
        <f t="shared" si="0"/>
        <v>18</v>
      </c>
      <c r="C25" s="116" t="str">
        <f>IF(ISBLANK(Case!E66),"",Case!E66)</f>
        <v>XLOOKUP</v>
      </c>
      <c r="D25" s="115">
        <v>4</v>
      </c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</row>
    <row r="26" spans="2:20" ht="23.25" customHeight="1">
      <c r="B26" s="120">
        <f t="shared" si="0"/>
        <v>19</v>
      </c>
      <c r="C26" s="116" t="str">
        <f>IF(ISBLANK(Case!E67),"",Case!E67)</f>
        <v>DATE</v>
      </c>
      <c r="D26" s="115">
        <v>4</v>
      </c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</row>
    <row r="27" spans="2:20" ht="23.25" customHeight="1">
      <c r="B27" s="120">
        <f t="shared" si="0"/>
        <v>20</v>
      </c>
      <c r="C27" s="116" t="str">
        <f>IF(ISBLANK(Case!E68),"",Case!E68)</f>
        <v>TEXT</v>
      </c>
      <c r="D27" s="115">
        <v>4</v>
      </c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</row>
    <row r="28" spans="2:20" ht="23.25" customHeight="1">
      <c r="B28" s="120">
        <f t="shared" si="0"/>
        <v>21</v>
      </c>
      <c r="C28" s="116">
        <f>IF(ISBLANK(Case!E88),"",Case!E88)</f>
        <v>33</v>
      </c>
      <c r="D28" s="115">
        <v>6</v>
      </c>
    </row>
    <row r="29" spans="2:20" ht="23.25" customHeight="1">
      <c r="B29" s="120">
        <f t="shared" si="0"/>
        <v>22</v>
      </c>
      <c r="C29" s="116">
        <f>IF(ISBLANK(Case!E89),"",Case!E89)</f>
        <v>26</v>
      </c>
      <c r="D29" s="115">
        <v>6</v>
      </c>
    </row>
    <row r="30" spans="2:20" ht="23.25" customHeight="1">
      <c r="B30" s="120">
        <f t="shared" si="0"/>
        <v>23</v>
      </c>
      <c r="C30" s="116">
        <f>IF(ISBLANK(Case!E90),"",Case!E90)</f>
        <v>23</v>
      </c>
      <c r="D30" s="115">
        <v>6</v>
      </c>
    </row>
    <row r="31" spans="2:20" ht="23.25" customHeight="1">
      <c r="B31" s="120">
        <f t="shared" si="0"/>
        <v>24</v>
      </c>
      <c r="C31" s="116">
        <f>IF(ISBLANK(Case!E91),"",Case!E91)</f>
        <v>34</v>
      </c>
      <c r="D31" s="115">
        <v>6</v>
      </c>
    </row>
    <row r="32" spans="2:20" s="109" customFormat="1" ht="23.25" customHeight="1">
      <c r="B32" s="120">
        <f t="shared" si="0"/>
        <v>25</v>
      </c>
      <c r="C32" s="116">
        <f>IF(ISBLANK(Case!E92),"",Case!E92)</f>
        <v>28</v>
      </c>
      <c r="D32" s="115">
        <v>6</v>
      </c>
    </row>
    <row r="33" spans="2:4" s="109" customFormat="1" ht="23.25" customHeight="1">
      <c r="B33" s="120">
        <f t="shared" si="0"/>
        <v>26</v>
      </c>
      <c r="C33" s="116">
        <f>IF(ISBLANK(Case!E93),"",Case!E93)</f>
        <v>29</v>
      </c>
      <c r="D33" s="115">
        <v>6</v>
      </c>
    </row>
    <row r="34" spans="2:4" s="109" customFormat="1" ht="23.25" customHeight="1">
      <c r="B34" s="120">
        <f t="shared" si="0"/>
        <v>27</v>
      </c>
      <c r="C34" s="116">
        <f>IF(ISBLANK(Case!E94),"",Case!E94)</f>
        <v>29</v>
      </c>
      <c r="D34" s="115">
        <v>6</v>
      </c>
    </row>
    <row r="35" spans="2:4" s="109" customFormat="1" ht="23.25" customHeight="1">
      <c r="B35" s="120">
        <f t="shared" si="0"/>
        <v>28</v>
      </c>
      <c r="C35" s="116">
        <f>IF(ISBLANK(Case!E95),"",Case!E95)</f>
        <v>27</v>
      </c>
      <c r="D35" s="115">
        <v>6</v>
      </c>
    </row>
    <row r="36" spans="2:4" s="109" customFormat="1" ht="23.25" customHeight="1">
      <c r="B36" s="120">
        <f t="shared" si="0"/>
        <v>29</v>
      </c>
      <c r="C36" s="116">
        <f>IF(ISBLANK(Case!E96),"",Case!E96)</f>
        <v>28</v>
      </c>
      <c r="D36" s="115">
        <v>6</v>
      </c>
    </row>
    <row r="37" spans="2:4" s="109" customFormat="1" ht="23.25" customHeight="1">
      <c r="B37" s="120">
        <f t="shared" si="0"/>
        <v>30</v>
      </c>
      <c r="C37" s="116">
        <f>IF(ISBLANK(Case!E97),"",Case!E97)</f>
        <v>32</v>
      </c>
      <c r="D37" s="115">
        <v>6</v>
      </c>
    </row>
    <row r="38" spans="2:4" s="109" customFormat="1" ht="23.25" customHeight="1">
      <c r="B38" s="120">
        <f t="shared" si="0"/>
        <v>31</v>
      </c>
      <c r="C38" s="116">
        <f>IF(ISBLANK(Case!E98),"",Case!E98)</f>
        <v>31</v>
      </c>
      <c r="D38" s="115">
        <v>6</v>
      </c>
    </row>
    <row r="39" spans="2:4" s="109" customFormat="1" ht="23.25" customHeight="1">
      <c r="B39" s="120">
        <f t="shared" si="0"/>
        <v>32</v>
      </c>
      <c r="C39" s="116">
        <f>IF(ISBLANK(Case!E99),"",Case!E99)</f>
        <v>31</v>
      </c>
      <c r="D39" s="115">
        <v>6</v>
      </c>
    </row>
    <row r="40" spans="2:4" s="109" customFormat="1" ht="23.25" customHeight="1">
      <c r="B40" s="120">
        <f t="shared" si="0"/>
        <v>33</v>
      </c>
      <c r="C40" s="116">
        <f>IF(ISBLANK(Case!E100),"",Case!E100)</f>
        <v>34</v>
      </c>
      <c r="D40" s="115">
        <v>6</v>
      </c>
    </row>
    <row r="41" spans="2:4" s="109" customFormat="1" ht="23.25" customHeight="1">
      <c r="B41" s="120">
        <f t="shared" si="0"/>
        <v>34</v>
      </c>
      <c r="C41" s="116">
        <f>IF(ISBLANK(Case!E101),"",Case!E101)</f>
        <v>32</v>
      </c>
      <c r="D41" s="115">
        <v>6</v>
      </c>
    </row>
    <row r="42" spans="2:4" s="109" customFormat="1" ht="23.25" customHeight="1">
      <c r="B42" s="120">
        <f t="shared" si="0"/>
        <v>35</v>
      </c>
      <c r="C42" s="116">
        <f>IF(ISBLANK(Case!E102),"",Case!E102)</f>
        <v>29</v>
      </c>
      <c r="D42" s="115">
        <v>6</v>
      </c>
    </row>
    <row r="43" spans="2:4" s="109" customFormat="1" ht="23.25" customHeight="1">
      <c r="B43" s="120">
        <f t="shared" si="0"/>
        <v>36</v>
      </c>
      <c r="C43" s="116">
        <f>IF(ISBLANK(Case!E103),"",Case!E103)</f>
        <v>29</v>
      </c>
      <c r="D43" s="115">
        <v>6</v>
      </c>
    </row>
    <row r="44" spans="2:4" s="109" customFormat="1" ht="23.25" customHeight="1">
      <c r="B44" s="120">
        <f t="shared" si="0"/>
        <v>37</v>
      </c>
      <c r="C44" s="116">
        <f>IF(ISBLANK(Case!E104),"",Case!E104)</f>
        <v>33</v>
      </c>
      <c r="D44" s="115">
        <v>6</v>
      </c>
    </row>
    <row r="45" spans="2:4" s="109" customFormat="1" ht="23.25" customHeight="1">
      <c r="B45" s="120">
        <f t="shared" si="0"/>
        <v>38</v>
      </c>
      <c r="C45" s="116">
        <f>IF(ISBLANK(Case!E105),"",Case!E105)</f>
        <v>33</v>
      </c>
      <c r="D45" s="115">
        <v>6</v>
      </c>
    </row>
    <row r="46" spans="2:4" s="109" customFormat="1" ht="23.25" customHeight="1">
      <c r="B46" s="120">
        <f t="shared" si="0"/>
        <v>39</v>
      </c>
      <c r="C46" s="116">
        <f>IF(ISBLANK(Case!E106),"",Case!E106)</f>
        <v>27</v>
      </c>
      <c r="D46" s="115">
        <v>6</v>
      </c>
    </row>
    <row r="47" spans="2:4" s="109" customFormat="1" ht="23.25" customHeight="1">
      <c r="B47" s="120">
        <f t="shared" si="0"/>
        <v>40</v>
      </c>
      <c r="C47" s="116">
        <f>IF(ISBLANK(Case!E107),"",Case!E107)</f>
        <v>26</v>
      </c>
      <c r="D47" s="115">
        <v>6</v>
      </c>
    </row>
    <row r="48" spans="2:4" s="109" customFormat="1" ht="23.25" customHeight="1">
      <c r="B48" s="120">
        <f t="shared" si="0"/>
        <v>41</v>
      </c>
      <c r="C48" s="116">
        <f>IF(ISBLANK(Case!E129),"",Case!E129)</f>
        <v>1124160</v>
      </c>
      <c r="D48" s="115">
        <v>7</v>
      </c>
    </row>
    <row r="49" spans="2:4" s="109" customFormat="1" ht="23.25" customHeight="1">
      <c r="B49" s="120">
        <f t="shared" si="0"/>
        <v>42</v>
      </c>
      <c r="C49" s="116">
        <f>IF(ISBLANK(Case!E130),"",Case!E130)</f>
        <v>1166996</v>
      </c>
      <c r="D49" s="115">
        <v>7</v>
      </c>
    </row>
    <row r="50" spans="2:4" s="109" customFormat="1" ht="23.25" customHeight="1">
      <c r="B50" s="120">
        <f t="shared" si="0"/>
        <v>43</v>
      </c>
      <c r="C50" s="116">
        <f>IF(ISBLANK(Case!E131),"",Case!E131)</f>
        <v>765437</v>
      </c>
      <c r="D50" s="115">
        <v>7</v>
      </c>
    </row>
    <row r="51" spans="2:4" s="109" customFormat="1" ht="23.25" customHeight="1">
      <c r="B51" s="120">
        <f t="shared" si="0"/>
        <v>44</v>
      </c>
      <c r="C51" s="116">
        <f>IF(ISBLANK(Case!E132),"",Case!E132)</f>
        <v>576560</v>
      </c>
      <c r="D51" s="115">
        <v>7</v>
      </c>
    </row>
    <row r="52" spans="2:4" s="109" customFormat="1" ht="23.25" customHeight="1">
      <c r="B52" s="120">
        <f t="shared" si="0"/>
        <v>45</v>
      </c>
      <c r="C52" s="116">
        <f>IF(ISBLANK(Case!E133),"",Case!E133)</f>
        <v>764669</v>
      </c>
      <c r="D52" s="115">
        <v>7</v>
      </c>
    </row>
    <row r="53" spans="2:4" s="109" customFormat="1" ht="23.25" customHeight="1">
      <c r="B53" s="120">
        <f t="shared" si="0"/>
        <v>46</v>
      </c>
      <c r="C53" s="116">
        <f>IF(ISBLANK(Case!E134),"",Case!E134)</f>
        <v>642015</v>
      </c>
      <c r="D53" s="115">
        <v>7</v>
      </c>
    </row>
    <row r="54" spans="2:4" s="109" customFormat="1" ht="23.25" customHeight="1">
      <c r="B54" s="120">
        <f t="shared" si="0"/>
        <v>47</v>
      </c>
      <c r="C54" s="116">
        <f>IF(ISBLANK(Case!E135),"",Case!E135)</f>
        <v>698606</v>
      </c>
      <c r="D54" s="115">
        <v>7</v>
      </c>
    </row>
    <row r="55" spans="2:4" s="109" customFormat="1" ht="23.25" customHeight="1">
      <c r="B55" s="120">
        <f t="shared" si="0"/>
        <v>48</v>
      </c>
      <c r="C55" s="116">
        <f>IF(ISBLANK(Case!E136),"",Case!E136)</f>
        <v>890754</v>
      </c>
      <c r="D55" s="115">
        <v>7</v>
      </c>
    </row>
    <row r="56" spans="2:4" s="109" customFormat="1" ht="23.25" customHeight="1">
      <c r="B56" s="120">
        <f t="shared" si="0"/>
        <v>49</v>
      </c>
      <c r="C56" s="116">
        <f>IF(ISBLANK(Case!E137),"",Case!E137)</f>
        <v>806892</v>
      </c>
      <c r="D56" s="115">
        <v>7</v>
      </c>
    </row>
    <row r="57" spans="2:4" s="109" customFormat="1" ht="23.25" customHeight="1">
      <c r="B57" s="120">
        <f t="shared" si="0"/>
        <v>50</v>
      </c>
      <c r="C57" s="116">
        <f>IF(ISBLANK(Case!E138),"",Case!E138)</f>
        <v>330042</v>
      </c>
      <c r="D57" s="115">
        <v>7</v>
      </c>
    </row>
    <row r="58" spans="2:4" s="109" customFormat="1" ht="23.25" customHeight="1">
      <c r="B58" s="120">
        <f t="shared" si="0"/>
        <v>51</v>
      </c>
      <c r="C58" s="116">
        <f>IF(ISBLANK(Case!E139),"",Case!E139)</f>
        <v>1016746</v>
      </c>
      <c r="D58" s="115">
        <v>7</v>
      </c>
    </row>
    <row r="59" spans="2:4" s="109" customFormat="1" ht="23.25" customHeight="1">
      <c r="B59" s="120">
        <f t="shared" si="0"/>
        <v>52</v>
      </c>
      <c r="C59" s="116">
        <f>IF(ISBLANK(Case!E140),"",Case!E140)</f>
        <v>634563</v>
      </c>
      <c r="D59" s="115">
        <v>7</v>
      </c>
    </row>
    <row r="60" spans="2:4" s="109" customFormat="1" ht="23.25" customHeight="1">
      <c r="B60" s="120">
        <f t="shared" si="0"/>
        <v>53</v>
      </c>
      <c r="C60" s="116">
        <f>IF(ISBLANK(Case!E141),"",Case!E141)</f>
        <v>1076651</v>
      </c>
      <c r="D60" s="115">
        <v>7</v>
      </c>
    </row>
    <row r="61" spans="2:4" s="109" customFormat="1" ht="23.25" customHeight="1">
      <c r="B61" s="120">
        <f t="shared" si="0"/>
        <v>54</v>
      </c>
      <c r="C61" s="116">
        <f>IF(ISBLANK(Case!E142),"",Case!E142)</f>
        <v>986379</v>
      </c>
      <c r="D61" s="115">
        <v>7</v>
      </c>
    </row>
    <row r="62" spans="2:4" s="109" customFormat="1" ht="23.25" customHeight="1">
      <c r="B62" s="120">
        <f t="shared" si="0"/>
        <v>55</v>
      </c>
      <c r="C62" s="116">
        <f>IF(ISBLANK(Case!E143),"",Case!E143)</f>
        <v>839784</v>
      </c>
      <c r="D62" s="115">
        <v>7</v>
      </c>
    </row>
    <row r="63" spans="2:4" s="109" customFormat="1" ht="23.25" customHeight="1">
      <c r="B63" s="120">
        <f t="shared" si="0"/>
        <v>56</v>
      </c>
      <c r="C63" s="116">
        <f>IF(ISBLANK(Case!E144),"",Case!E144)</f>
        <v>916023</v>
      </c>
      <c r="D63" s="115">
        <v>7</v>
      </c>
    </row>
    <row r="64" spans="2:4" s="109" customFormat="1" ht="23.25" customHeight="1">
      <c r="B64" s="120">
        <f t="shared" si="0"/>
        <v>57</v>
      </c>
      <c r="C64" s="116">
        <f>IF(ISBLANK(Case!E145),"",Case!E145)</f>
        <v>709940</v>
      </c>
      <c r="D64" s="115">
        <v>7</v>
      </c>
    </row>
    <row r="65" spans="2:4" s="109" customFormat="1" ht="23.25" customHeight="1">
      <c r="B65" s="120">
        <f t="shared" si="0"/>
        <v>58</v>
      </c>
      <c r="C65" s="116">
        <f>IF(ISBLANK(Case!E146),"",Case!E146)</f>
        <v>515399</v>
      </c>
      <c r="D65" s="115">
        <v>7</v>
      </c>
    </row>
    <row r="66" spans="2:4" s="109" customFormat="1" ht="23.25" customHeight="1">
      <c r="B66" s="120">
        <f t="shared" si="0"/>
        <v>59</v>
      </c>
      <c r="C66" s="116">
        <f>IF(ISBLANK(Case!E147),"",Case!E147)</f>
        <v>690509</v>
      </c>
      <c r="D66" s="115">
        <v>7</v>
      </c>
    </row>
    <row r="67" spans="2:4" s="109" customFormat="1" ht="23.25" customHeight="1">
      <c r="B67" s="120">
        <f t="shared" si="0"/>
        <v>60</v>
      </c>
      <c r="C67" s="116">
        <f>IF(ISBLANK(Case!E148),"",Case!E148)</f>
        <v>872199</v>
      </c>
      <c r="D67" s="115">
        <v>7</v>
      </c>
    </row>
    <row r="68" spans="2:4" s="109" customFormat="1" ht="23.25" customHeight="1">
      <c r="B68" s="120">
        <f t="shared" si="0"/>
        <v>61</v>
      </c>
      <c r="C68" s="116">
        <f>IF(ISBLANK(Case!E169),"",Case!E169)</f>
        <v>4</v>
      </c>
      <c r="D68" s="115">
        <v>7</v>
      </c>
    </row>
    <row r="69" spans="2:4" s="109" customFormat="1" ht="23.25" customHeight="1">
      <c r="B69" s="120">
        <f t="shared" si="0"/>
        <v>62</v>
      </c>
      <c r="C69" s="116">
        <f>IF(ISBLANK(Case!E170),"",Case!E170)</f>
        <v>9</v>
      </c>
      <c r="D69" s="115">
        <v>7</v>
      </c>
    </row>
    <row r="70" spans="2:4" s="109" customFormat="1" ht="23.25" customHeight="1">
      <c r="B70" s="120">
        <f t="shared" si="0"/>
        <v>63</v>
      </c>
      <c r="C70" s="116">
        <f>IF(ISBLANK(Case!E171),"",Case!E171)</f>
        <v>2</v>
      </c>
      <c r="D70" s="115">
        <v>7</v>
      </c>
    </row>
    <row r="71" spans="2:4" s="109" customFormat="1" ht="23.25" customHeight="1">
      <c r="B71" s="120">
        <f t="shared" si="0"/>
        <v>64</v>
      </c>
      <c r="C71" s="116">
        <f>IF(ISBLANK(Case!E172),"",Case!E172)</f>
        <v>8</v>
      </c>
      <c r="D71" s="115">
        <v>7</v>
      </c>
    </row>
    <row r="72" spans="2:4" s="109" customFormat="1" ht="23.25" customHeight="1">
      <c r="B72" s="120">
        <f t="shared" si="0"/>
        <v>65</v>
      </c>
      <c r="C72" s="116">
        <f>IF(ISBLANK(Case!E173),"",Case!E173)</f>
        <v>1</v>
      </c>
      <c r="D72" s="115">
        <v>7</v>
      </c>
    </row>
    <row r="73" spans="2:4" s="109" customFormat="1" ht="23.25" customHeight="1">
      <c r="B73" s="120">
        <f t="shared" ref="B73:B136" si="1">B72+1</f>
        <v>66</v>
      </c>
      <c r="C73" s="116">
        <f>IF(ISBLANK(Case!E174),"",Case!E174)</f>
        <v>6</v>
      </c>
      <c r="D73" s="115">
        <v>7</v>
      </c>
    </row>
    <row r="74" spans="2:4" s="109" customFormat="1" ht="23.25" customHeight="1">
      <c r="B74" s="120">
        <f t="shared" si="1"/>
        <v>67</v>
      </c>
      <c r="C74" s="116">
        <f>IF(ISBLANK(Case!E175),"",Case!E175)</f>
        <v>2</v>
      </c>
      <c r="D74" s="115">
        <v>7</v>
      </c>
    </row>
    <row r="75" spans="2:4" s="109" customFormat="1" ht="23.25" customHeight="1">
      <c r="B75" s="120">
        <f t="shared" si="1"/>
        <v>68</v>
      </c>
      <c r="C75" s="116">
        <f>IF(ISBLANK(Case!E176),"",Case!E176)</f>
        <v>3</v>
      </c>
      <c r="D75" s="115">
        <v>7</v>
      </c>
    </row>
    <row r="76" spans="2:4" s="109" customFormat="1" ht="23.25" customHeight="1">
      <c r="B76" s="120">
        <f t="shared" si="1"/>
        <v>69</v>
      </c>
      <c r="C76" s="116">
        <f>IF(ISBLANK(Case!E177),"",Case!E177)</f>
        <v>7</v>
      </c>
      <c r="D76" s="115">
        <v>7</v>
      </c>
    </row>
    <row r="77" spans="2:4" s="109" customFormat="1" ht="23.25" customHeight="1">
      <c r="B77" s="120">
        <f t="shared" si="1"/>
        <v>70</v>
      </c>
      <c r="C77" s="116">
        <f>IF(ISBLANK(Case!E178),"",Case!E178)</f>
        <v>8</v>
      </c>
      <c r="D77" s="115">
        <v>7</v>
      </c>
    </row>
    <row r="78" spans="2:4" s="109" customFormat="1" ht="23.25" customHeight="1">
      <c r="B78" s="120">
        <f t="shared" si="1"/>
        <v>71</v>
      </c>
      <c r="C78" s="116">
        <f>IF(ISBLANK(Case!E179),"",Case!E179)</f>
        <v>6</v>
      </c>
      <c r="D78" s="115">
        <v>7</v>
      </c>
    </row>
    <row r="79" spans="2:4" s="109" customFormat="1" ht="23.25" customHeight="1">
      <c r="B79" s="120">
        <f t="shared" si="1"/>
        <v>72</v>
      </c>
      <c r="C79" s="116">
        <f>IF(ISBLANK(Case!E180),"",Case!E180)</f>
        <v>9</v>
      </c>
      <c r="D79" s="115">
        <v>7</v>
      </c>
    </row>
    <row r="80" spans="2:4" s="109" customFormat="1" ht="23.25" customHeight="1">
      <c r="B80" s="120">
        <f t="shared" si="1"/>
        <v>73</v>
      </c>
      <c r="C80" s="116">
        <f>IF(ISBLANK(Case!E181),"",Case!E181)</f>
        <v>6</v>
      </c>
      <c r="D80" s="115">
        <v>7</v>
      </c>
    </row>
    <row r="81" spans="2:4" s="109" customFormat="1" ht="23.25" customHeight="1">
      <c r="B81" s="120">
        <f t="shared" si="1"/>
        <v>74</v>
      </c>
      <c r="C81" s="116">
        <f>IF(ISBLANK(Case!E182),"",Case!E182)</f>
        <v>4</v>
      </c>
      <c r="D81" s="115">
        <v>7</v>
      </c>
    </row>
    <row r="82" spans="2:4" s="109" customFormat="1" ht="23.25" customHeight="1">
      <c r="B82" s="120">
        <f t="shared" si="1"/>
        <v>75</v>
      </c>
      <c r="C82" s="116">
        <f>IF(ISBLANK(Case!E183),"",Case!E183)</f>
        <v>5</v>
      </c>
      <c r="D82" s="115">
        <v>7</v>
      </c>
    </row>
    <row r="83" spans="2:4" s="109" customFormat="1" ht="23.25" customHeight="1">
      <c r="B83" s="120">
        <f t="shared" si="1"/>
        <v>76</v>
      </c>
      <c r="C83" s="116">
        <f>IF(ISBLANK(Case!E184),"",Case!E184)</f>
        <v>4</v>
      </c>
      <c r="D83" s="115">
        <v>7</v>
      </c>
    </row>
    <row r="84" spans="2:4" s="109" customFormat="1" ht="23.25" customHeight="1">
      <c r="B84" s="120">
        <f t="shared" si="1"/>
        <v>77</v>
      </c>
      <c r="C84" s="116">
        <f>IF(ISBLANK(Case!E185),"",Case!E185)</f>
        <v>2</v>
      </c>
      <c r="D84" s="115">
        <v>7</v>
      </c>
    </row>
    <row r="85" spans="2:4" s="109" customFormat="1" ht="23.25" customHeight="1">
      <c r="B85" s="120">
        <f t="shared" si="1"/>
        <v>78</v>
      </c>
      <c r="C85" s="116">
        <f>IF(ISBLANK(Case!E186),"",Case!E186)</f>
        <v>3</v>
      </c>
      <c r="D85" s="115">
        <v>7</v>
      </c>
    </row>
    <row r="86" spans="2:4" s="109" customFormat="1" ht="23.25" customHeight="1">
      <c r="B86" s="120">
        <f t="shared" si="1"/>
        <v>79</v>
      </c>
      <c r="C86" s="116">
        <f>IF(ISBLANK(Case!E187),"",Case!E187)</f>
        <v>5</v>
      </c>
      <c r="D86" s="115">
        <v>7</v>
      </c>
    </row>
    <row r="87" spans="2:4" s="109" customFormat="1" ht="23.25" customHeight="1">
      <c r="B87" s="120">
        <f t="shared" si="1"/>
        <v>80</v>
      </c>
      <c r="C87" s="116">
        <f>IF(ISBLANK(Case!E188),"",Case!E188)</f>
        <v>3</v>
      </c>
      <c r="D87" s="115">
        <v>7</v>
      </c>
    </row>
    <row r="88" spans="2:4" s="109" customFormat="1" ht="23.25" customHeight="1">
      <c r="B88" s="120">
        <f t="shared" si="1"/>
        <v>81</v>
      </c>
      <c r="C88" s="116">
        <f>IF(ISBLANK(Case!E212),"",Case!E212)</f>
        <v>653838</v>
      </c>
      <c r="D88" s="115">
        <v>8</v>
      </c>
    </row>
    <row r="89" spans="2:4" s="109" customFormat="1" ht="23.25" customHeight="1">
      <c r="B89" s="120">
        <f t="shared" si="1"/>
        <v>82</v>
      </c>
      <c r="C89" s="116">
        <f>IF(ISBLANK(Case!E213),"",Case!E213)</f>
        <v>364831</v>
      </c>
      <c r="D89" s="115">
        <v>8</v>
      </c>
    </row>
    <row r="90" spans="2:4" s="109" customFormat="1" ht="23.25" customHeight="1">
      <c r="B90" s="120">
        <f t="shared" si="1"/>
        <v>83</v>
      </c>
      <c r="C90" s="116">
        <f>IF(ISBLANK(Case!E214),"",Case!E214)</f>
        <v>630486</v>
      </c>
      <c r="D90" s="115">
        <v>8</v>
      </c>
    </row>
    <row r="91" spans="2:4" s="109" customFormat="1" ht="23.25" customHeight="1">
      <c r="B91" s="120">
        <f t="shared" si="1"/>
        <v>84</v>
      </c>
      <c r="C91" s="116">
        <f>IF(ISBLANK(Case!E215),"",Case!E215)</f>
        <v>481614</v>
      </c>
      <c r="D91" s="115">
        <v>8</v>
      </c>
    </row>
    <row r="92" spans="2:4" s="109" customFormat="1" ht="23.25" customHeight="1">
      <c r="B92" s="120">
        <f t="shared" si="1"/>
        <v>85</v>
      </c>
      <c r="C92" s="116">
        <f>IF(ISBLANK(Case!E216),"",Case!E216)</f>
        <v>608229</v>
      </c>
      <c r="D92" s="115">
        <v>8</v>
      </c>
    </row>
    <row r="93" spans="2:4" s="109" customFormat="1" ht="23.25" customHeight="1">
      <c r="B93" s="120">
        <f t="shared" si="1"/>
        <v>86</v>
      </c>
      <c r="C93" s="116">
        <f>IF(ISBLANK(Case!E217),"",Case!E217)</f>
        <v>786322</v>
      </c>
      <c r="D93" s="115">
        <v>8</v>
      </c>
    </row>
    <row r="94" spans="2:4" s="109" customFormat="1" ht="23.25" customHeight="1">
      <c r="B94" s="120">
        <f t="shared" si="1"/>
        <v>87</v>
      </c>
      <c r="C94" s="116">
        <f>IF(ISBLANK(Case!E218),"",Case!E218)</f>
        <v>619661</v>
      </c>
      <c r="D94" s="115">
        <v>8</v>
      </c>
    </row>
    <row r="95" spans="2:4" s="109" customFormat="1" ht="23.25" customHeight="1">
      <c r="B95" s="120">
        <f t="shared" si="1"/>
        <v>88</v>
      </c>
      <c r="C95" s="116">
        <f>IF(ISBLANK(Case!E219),"",Case!E219)</f>
        <v>481664</v>
      </c>
      <c r="D95" s="115">
        <v>8</v>
      </c>
    </row>
    <row r="96" spans="2:4" s="109" customFormat="1" ht="23.25" customHeight="1">
      <c r="B96" s="120">
        <f t="shared" si="1"/>
        <v>89</v>
      </c>
      <c r="C96" s="116">
        <f>IF(ISBLANK(Case!E220),"",Case!E220)</f>
        <v>609960</v>
      </c>
      <c r="D96" s="115">
        <v>8</v>
      </c>
    </row>
    <row r="97" spans="2:4" s="109" customFormat="1" ht="23.25" customHeight="1">
      <c r="B97" s="120">
        <f t="shared" si="1"/>
        <v>90</v>
      </c>
      <c r="C97" s="116">
        <f>IF(ISBLANK(Case!E221),"",Case!E221)</f>
        <v>876979</v>
      </c>
      <c r="D97" s="115">
        <v>8</v>
      </c>
    </row>
    <row r="98" spans="2:4" s="109" customFormat="1" ht="23.25" customHeight="1">
      <c r="B98" s="120">
        <f t="shared" si="1"/>
        <v>91</v>
      </c>
      <c r="C98" s="116">
        <f>IF(ISBLANK(Case!E222),"",Case!E222)</f>
        <v>868323</v>
      </c>
      <c r="D98" s="115">
        <v>8</v>
      </c>
    </row>
    <row r="99" spans="2:4" s="109" customFormat="1" ht="23.25" customHeight="1">
      <c r="B99" s="120">
        <f t="shared" si="1"/>
        <v>92</v>
      </c>
      <c r="C99" s="116">
        <f>IF(ISBLANK(Case!E223),"",Case!E223)</f>
        <v>629251</v>
      </c>
      <c r="D99" s="115">
        <v>8</v>
      </c>
    </row>
    <row r="100" spans="2:4" s="109" customFormat="1" ht="23.25" customHeight="1">
      <c r="B100" s="120">
        <f t="shared" si="1"/>
        <v>93</v>
      </c>
      <c r="C100" s="116">
        <f>IF(ISBLANK(Case!E224),"",Case!E224)</f>
        <v>538901</v>
      </c>
      <c r="D100" s="115">
        <v>8</v>
      </c>
    </row>
    <row r="101" spans="2:4" s="109" customFormat="1" ht="23.25" customHeight="1">
      <c r="B101" s="120">
        <f t="shared" si="1"/>
        <v>94</v>
      </c>
      <c r="C101" s="116">
        <f>IF(ISBLANK(Case!E225),"",Case!E225)</f>
        <v>565108</v>
      </c>
      <c r="D101" s="115">
        <v>8</v>
      </c>
    </row>
    <row r="102" spans="2:4" s="109" customFormat="1" ht="23.25" customHeight="1">
      <c r="B102" s="120">
        <f t="shared" si="1"/>
        <v>95</v>
      </c>
      <c r="C102" s="116">
        <f>IF(ISBLANK(Case!E226),"",Case!E226)</f>
        <v>700882</v>
      </c>
      <c r="D102" s="115">
        <v>8</v>
      </c>
    </row>
    <row r="103" spans="2:4" s="109" customFormat="1" ht="23.25" customHeight="1">
      <c r="B103" s="120">
        <f t="shared" si="1"/>
        <v>96</v>
      </c>
      <c r="C103" s="116">
        <f>IF(ISBLANK(Case!E227),"",Case!E227)</f>
        <v>430880</v>
      </c>
      <c r="D103" s="115">
        <v>8</v>
      </c>
    </row>
    <row r="104" spans="2:4" s="109" customFormat="1" ht="23.25" customHeight="1">
      <c r="B104" s="120">
        <f t="shared" si="1"/>
        <v>97</v>
      </c>
      <c r="C104" s="116">
        <f>IF(ISBLANK(Case!E228),"",Case!E228)</f>
        <v>306128</v>
      </c>
      <c r="D104" s="115">
        <v>8</v>
      </c>
    </row>
    <row r="105" spans="2:4" s="109" customFormat="1" ht="23.25" customHeight="1">
      <c r="B105" s="120">
        <f t="shared" si="1"/>
        <v>98</v>
      </c>
      <c r="C105" s="116">
        <f>IF(ISBLANK(Case!E229),"",Case!E229)</f>
        <v>574747</v>
      </c>
      <c r="D105" s="115">
        <v>8</v>
      </c>
    </row>
    <row r="106" spans="2:4" s="109" customFormat="1" ht="23.25" customHeight="1">
      <c r="B106" s="120">
        <f t="shared" si="1"/>
        <v>99</v>
      </c>
      <c r="C106" s="116">
        <f>IF(ISBLANK(Case!E230),"",Case!E230)</f>
        <v>428201</v>
      </c>
      <c r="D106" s="115">
        <v>8</v>
      </c>
    </row>
    <row r="107" spans="2:4" s="109" customFormat="1" ht="23.25" customHeight="1">
      <c r="B107" s="120">
        <f t="shared" si="1"/>
        <v>100</v>
      </c>
      <c r="C107" s="116">
        <f>IF(ISBLANK(Case!E231),"",Case!E231)</f>
        <v>628206</v>
      </c>
      <c r="D107" s="115">
        <v>8</v>
      </c>
    </row>
    <row r="108" spans="2:4" s="109" customFormat="1" ht="23.25" customHeight="1">
      <c r="B108" s="120">
        <f t="shared" si="1"/>
        <v>101</v>
      </c>
      <c r="C108" s="116">
        <f>IF(ISBLANK(Case!E255),"",Case!E255)</f>
        <v>144</v>
      </c>
      <c r="D108" s="115">
        <v>8</v>
      </c>
    </row>
    <row r="109" spans="2:4" s="109" customFormat="1" ht="23.25" customHeight="1">
      <c r="B109" s="120">
        <f t="shared" si="1"/>
        <v>102</v>
      </c>
      <c r="C109" s="116">
        <f>IF(ISBLANK(Case!E256),"",Case!E256)</f>
        <v>168</v>
      </c>
      <c r="D109" s="115">
        <v>8</v>
      </c>
    </row>
    <row r="110" spans="2:4" s="109" customFormat="1" ht="23.25" customHeight="1">
      <c r="B110" s="120">
        <f t="shared" si="1"/>
        <v>103</v>
      </c>
      <c r="C110" s="116">
        <f>IF(ISBLANK(Case!E257),"",Case!E257)</f>
        <v>182</v>
      </c>
      <c r="D110" s="115">
        <v>8</v>
      </c>
    </row>
    <row r="111" spans="2:4" s="109" customFormat="1" ht="23.25" customHeight="1">
      <c r="B111" s="120">
        <f t="shared" si="1"/>
        <v>104</v>
      </c>
      <c r="C111" s="116">
        <f>IF(ISBLANK(Case!E258),"",Case!E258)</f>
        <v>198</v>
      </c>
      <c r="D111" s="115">
        <v>8</v>
      </c>
    </row>
    <row r="112" spans="2:4" s="109" customFormat="1" ht="23.25" customHeight="1">
      <c r="B112" s="120">
        <f t="shared" si="1"/>
        <v>105</v>
      </c>
      <c r="C112" s="116">
        <f>IF(ISBLANK(Case!E259),"",Case!E259)</f>
        <v>193</v>
      </c>
      <c r="D112" s="115">
        <v>8</v>
      </c>
    </row>
    <row r="113" spans="2:4" s="109" customFormat="1" ht="23.25" customHeight="1">
      <c r="B113" s="120">
        <f t="shared" si="1"/>
        <v>106</v>
      </c>
      <c r="C113" s="116">
        <f>IF(ISBLANK(Case!E260),"",Case!E260)</f>
        <v>212</v>
      </c>
      <c r="D113" s="115">
        <v>8</v>
      </c>
    </row>
    <row r="114" spans="2:4" s="109" customFormat="1" ht="23.25" customHeight="1">
      <c r="B114" s="120">
        <f t="shared" si="1"/>
        <v>107</v>
      </c>
      <c r="C114" s="116">
        <f>IF(ISBLANK(Case!E261),"",Case!E261)</f>
        <v>179</v>
      </c>
      <c r="D114" s="115">
        <v>8</v>
      </c>
    </row>
    <row r="115" spans="2:4" s="109" customFormat="1" ht="23.25" customHeight="1">
      <c r="B115" s="120">
        <f t="shared" si="1"/>
        <v>108</v>
      </c>
      <c r="C115" s="116">
        <f>IF(ISBLANK(Case!E262),"",Case!E262)</f>
        <v>199</v>
      </c>
      <c r="D115" s="115">
        <v>8</v>
      </c>
    </row>
    <row r="116" spans="2:4" s="109" customFormat="1" ht="23.25" customHeight="1">
      <c r="B116" s="120">
        <f t="shared" si="1"/>
        <v>109</v>
      </c>
      <c r="C116" s="116">
        <f>IF(ISBLANK(Case!E263),"",Case!E263)</f>
        <v>166</v>
      </c>
      <c r="D116" s="115">
        <v>8</v>
      </c>
    </row>
    <row r="117" spans="2:4" s="109" customFormat="1" ht="23.25" customHeight="1">
      <c r="B117" s="120">
        <f t="shared" si="1"/>
        <v>110</v>
      </c>
      <c r="C117" s="116">
        <f>IF(ISBLANK(Case!E264),"",Case!E264)</f>
        <v>157</v>
      </c>
      <c r="D117" s="115">
        <v>8</v>
      </c>
    </row>
    <row r="118" spans="2:4" s="109" customFormat="1" ht="23.25" customHeight="1">
      <c r="B118" s="120">
        <f t="shared" si="1"/>
        <v>111</v>
      </c>
      <c r="C118" s="116">
        <f>IF(ISBLANK(Case!E265),"",Case!E265)</f>
        <v>169</v>
      </c>
      <c r="D118" s="115">
        <v>8</v>
      </c>
    </row>
    <row r="119" spans="2:4" s="109" customFormat="1" ht="23.25" customHeight="1">
      <c r="B119" s="120">
        <f t="shared" si="1"/>
        <v>112</v>
      </c>
      <c r="C119" s="116">
        <f>IF(ISBLANK(Case!E266),"",Case!E266)</f>
        <v>169</v>
      </c>
      <c r="D119" s="115">
        <v>8</v>
      </c>
    </row>
    <row r="120" spans="2:4" s="109" customFormat="1" ht="23.25" customHeight="1">
      <c r="B120" s="120">
        <f t="shared" si="1"/>
        <v>113</v>
      </c>
      <c r="C120" s="116">
        <f>IF(ISBLANK(Case!E267),"",Case!E267)</f>
        <v>138</v>
      </c>
      <c r="D120" s="115">
        <v>8</v>
      </c>
    </row>
    <row r="121" spans="2:4" s="109" customFormat="1" ht="23.25" customHeight="1">
      <c r="B121" s="120">
        <f t="shared" si="1"/>
        <v>114</v>
      </c>
      <c r="C121" s="116">
        <f>IF(ISBLANK(Case!E268),"",Case!E268)</f>
        <v>179</v>
      </c>
      <c r="D121" s="115">
        <v>8</v>
      </c>
    </row>
    <row r="122" spans="2:4" s="109" customFormat="1" ht="23.25" customHeight="1">
      <c r="B122" s="120">
        <f t="shared" si="1"/>
        <v>115</v>
      </c>
      <c r="C122" s="116">
        <f>IF(ISBLANK(Case!E269),"",Case!E269)</f>
        <v>205</v>
      </c>
      <c r="D122" s="115">
        <v>8</v>
      </c>
    </row>
    <row r="123" spans="2:4" s="109" customFormat="1" ht="23.25" customHeight="1">
      <c r="B123" s="120">
        <f t="shared" si="1"/>
        <v>116</v>
      </c>
      <c r="C123" s="116">
        <f>IF(ISBLANK(Case!E270),"",Case!E270)</f>
        <v>164</v>
      </c>
      <c r="D123" s="115">
        <v>8</v>
      </c>
    </row>
    <row r="124" spans="2:4" s="109" customFormat="1" ht="23.25" customHeight="1">
      <c r="B124" s="120">
        <f t="shared" si="1"/>
        <v>117</v>
      </c>
      <c r="C124" s="116">
        <f>IF(ISBLANK(Case!E271),"",Case!E271)</f>
        <v>166</v>
      </c>
      <c r="D124" s="115">
        <v>8</v>
      </c>
    </row>
    <row r="125" spans="2:4" s="109" customFormat="1" ht="23.25" customHeight="1">
      <c r="B125" s="120">
        <f t="shared" si="1"/>
        <v>118</v>
      </c>
      <c r="C125" s="116">
        <f>IF(ISBLANK(Case!E272),"",Case!E272)</f>
        <v>193</v>
      </c>
      <c r="D125" s="115">
        <v>8</v>
      </c>
    </row>
    <row r="126" spans="2:4" s="109" customFormat="1" ht="23.25" customHeight="1">
      <c r="B126" s="120">
        <f t="shared" si="1"/>
        <v>119</v>
      </c>
      <c r="C126" s="116">
        <f>IF(ISBLANK(Case!E273),"",Case!E273)</f>
        <v>187</v>
      </c>
      <c r="D126" s="115">
        <v>8</v>
      </c>
    </row>
    <row r="127" spans="2:4" s="109" customFormat="1" ht="23.25" customHeight="1">
      <c r="B127" s="120">
        <f t="shared" si="1"/>
        <v>120</v>
      </c>
      <c r="C127" s="116">
        <f>IF(ISBLANK(Case!E274),"",Case!E274)</f>
        <v>157</v>
      </c>
      <c r="D127" s="115">
        <v>8</v>
      </c>
    </row>
    <row r="128" spans="2:4" s="109" customFormat="1" ht="23.25" customHeight="1">
      <c r="B128" s="120">
        <f t="shared" si="1"/>
        <v>121</v>
      </c>
      <c r="C128" s="116">
        <f>IF(ISBLANK(Case!E298),"",Case!E298)</f>
        <v>115</v>
      </c>
      <c r="D128" s="115">
        <v>10</v>
      </c>
    </row>
    <row r="129" spans="2:4" ht="23.25" customHeight="1">
      <c r="B129" s="120">
        <f t="shared" si="1"/>
        <v>122</v>
      </c>
      <c r="C129" s="116">
        <f>IF(ISBLANK(Case!E299),"",Case!E299)</f>
        <v>860</v>
      </c>
      <c r="D129" s="115">
        <v>10</v>
      </c>
    </row>
    <row r="130" spans="2:4" ht="23.25" customHeight="1">
      <c r="B130" s="120">
        <f t="shared" si="1"/>
        <v>123</v>
      </c>
      <c r="C130" s="116">
        <f>IF(ISBLANK(Case!E300),"",Case!E300)</f>
        <v>2809</v>
      </c>
      <c r="D130" s="115">
        <v>10</v>
      </c>
    </row>
    <row r="131" spans="2:4" ht="23.25" customHeight="1">
      <c r="B131" s="120">
        <f t="shared" si="1"/>
        <v>124</v>
      </c>
      <c r="C131" s="116">
        <f>IF(ISBLANK(Case!E301),"",Case!E301)</f>
        <v>6832</v>
      </c>
      <c r="D131" s="115">
        <v>10</v>
      </c>
    </row>
    <row r="132" spans="2:4" ht="23.25" customHeight="1">
      <c r="B132" s="120">
        <f t="shared" si="1"/>
        <v>125</v>
      </c>
      <c r="C132" s="116">
        <f>IF(ISBLANK(Case!E302),"",Case!E302)</f>
        <v>1761</v>
      </c>
      <c r="D132" s="115">
        <v>10</v>
      </c>
    </row>
    <row r="133" spans="2:4" ht="23.25" customHeight="1">
      <c r="B133" s="120">
        <f t="shared" si="1"/>
        <v>126</v>
      </c>
      <c r="C133" s="116">
        <f>IF(ISBLANK(Case!E303),"",Case!E303)</f>
        <v>4691</v>
      </c>
      <c r="D133" s="115">
        <v>10</v>
      </c>
    </row>
    <row r="134" spans="2:4" ht="23.25" customHeight="1">
      <c r="B134" s="120">
        <f t="shared" si="1"/>
        <v>127</v>
      </c>
      <c r="C134" s="116">
        <f>IF(ISBLANK(Case!E304),"",Case!E304)</f>
        <v>6232</v>
      </c>
      <c r="D134" s="115">
        <v>10</v>
      </c>
    </row>
    <row r="135" spans="2:4" ht="23.25" customHeight="1">
      <c r="B135" s="120">
        <f t="shared" si="1"/>
        <v>128</v>
      </c>
      <c r="C135" s="116">
        <f>IF(ISBLANK(Case!E305),"",Case!E305)</f>
        <v>47181</v>
      </c>
      <c r="D135" s="115">
        <v>10</v>
      </c>
    </row>
    <row r="136" spans="2:4" ht="23.25" customHeight="1">
      <c r="B136" s="120">
        <f t="shared" si="1"/>
        <v>129</v>
      </c>
      <c r="C136" s="116">
        <f>IF(ISBLANK(Case!E306),"",Case!E306)</f>
        <v>3223</v>
      </c>
      <c r="D136" s="115">
        <v>10</v>
      </c>
    </row>
    <row r="137" spans="2:4" ht="23.25" customHeight="1">
      <c r="B137" s="120">
        <f t="shared" ref="B137:B147" si="2">B136+1</f>
        <v>130</v>
      </c>
      <c r="C137" s="116">
        <f>IF(ISBLANK(Case!E307),"",Case!E307)</f>
        <v>82741</v>
      </c>
      <c r="D137" s="115">
        <v>10</v>
      </c>
    </row>
    <row r="138" spans="2:4" ht="23.25" customHeight="1">
      <c r="B138" s="120">
        <f t="shared" si="2"/>
        <v>131</v>
      </c>
      <c r="C138" s="116">
        <f>IF(ISBLANK(Case!E308),"",Case!E308)</f>
        <v>1749</v>
      </c>
      <c r="D138" s="115">
        <v>10</v>
      </c>
    </row>
    <row r="139" spans="2:4" ht="23.25" customHeight="1">
      <c r="B139" s="120">
        <f t="shared" si="2"/>
        <v>132</v>
      </c>
      <c r="C139" s="116">
        <f>IF(ISBLANK(Case!E309),"",Case!E309)</f>
        <v>67387</v>
      </c>
      <c r="D139" s="115">
        <v>10</v>
      </c>
    </row>
    <row r="140" spans="2:4" ht="23.25" customHeight="1">
      <c r="B140" s="120">
        <f t="shared" si="2"/>
        <v>133</v>
      </c>
      <c r="C140" s="116">
        <f>IF(ISBLANK(Case!E310),"",Case!E310)</f>
        <v>8511</v>
      </c>
      <c r="D140" s="115">
        <v>10</v>
      </c>
    </row>
    <row r="141" spans="2:4" ht="23.25" customHeight="1">
      <c r="B141" s="120">
        <f t="shared" si="2"/>
        <v>134</v>
      </c>
      <c r="C141" s="116">
        <f>IF(ISBLANK(Case!E311),"",Case!E311)</f>
        <v>5625</v>
      </c>
      <c r="D141" s="115">
        <v>10</v>
      </c>
    </row>
    <row r="142" spans="2:4" ht="23.25" customHeight="1">
      <c r="B142" s="120">
        <f t="shared" si="2"/>
        <v>135</v>
      </c>
      <c r="C142" s="116">
        <f>IF(ISBLANK(Case!E312),"",Case!E312)</f>
        <v>54840</v>
      </c>
      <c r="D142" s="115">
        <v>10</v>
      </c>
    </row>
    <row r="143" spans="2:4" ht="23.25" customHeight="1">
      <c r="B143" s="120">
        <f t="shared" si="2"/>
        <v>136</v>
      </c>
      <c r="C143" s="116">
        <f>IF(ISBLANK(Case!E313),"",Case!E313)</f>
        <v>28</v>
      </c>
      <c r="D143" s="115">
        <v>10</v>
      </c>
    </row>
    <row r="144" spans="2:4" ht="23.25" customHeight="1">
      <c r="B144" s="120">
        <f t="shared" si="2"/>
        <v>137</v>
      </c>
      <c r="C144" s="116">
        <f>IF(ISBLANK(Case!E314),"",Case!E314)</f>
        <v>21060</v>
      </c>
      <c r="D144" s="115">
        <v>10</v>
      </c>
    </row>
    <row r="145" spans="2:4" ht="23.25" customHeight="1">
      <c r="B145" s="120">
        <f t="shared" si="2"/>
        <v>138</v>
      </c>
      <c r="C145" s="116">
        <f>IF(ISBLANK(Case!E315),"",Case!E315)</f>
        <v>57</v>
      </c>
      <c r="D145" s="115">
        <v>10</v>
      </c>
    </row>
    <row r="146" spans="2:4" ht="23.25" customHeight="1">
      <c r="B146" s="120">
        <f t="shared" si="2"/>
        <v>139</v>
      </c>
      <c r="C146" s="116">
        <f>IF(ISBLANK(Case!E316),"",Case!E316)</f>
        <v>1005</v>
      </c>
      <c r="D146" s="115">
        <v>10</v>
      </c>
    </row>
    <row r="147" spans="2:4" ht="23.25" customHeight="1">
      <c r="B147" s="120">
        <f t="shared" si="2"/>
        <v>140</v>
      </c>
      <c r="C147" s="116">
        <f>IF(ISBLANK(Case!E317),"",Case!E317)</f>
        <v>650</v>
      </c>
      <c r="D147" s="1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Case</vt:lpstr>
      <vt:lpstr>Graded Answers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FMWC</dc:creator>
  <cp:keywords/>
  <dc:description/>
  <cp:lastModifiedBy>Maciej Kopczyński</cp:lastModifiedBy>
  <cp:revision/>
  <dcterms:created xsi:type="dcterms:W3CDTF">2021-08-11T13:47:05Z</dcterms:created>
  <dcterms:modified xsi:type="dcterms:W3CDTF">2026-02-24T22:11:48Z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{50F4E8AB-4640-4F5D-BA39-192C65DEFCB0}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2023-11-06T13:47:34Z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55bcb695-1c55-4ea3-805d-04828c086c26</vt:lpwstr>
  </property>
  <property fmtid="{D5CDD505-2E9C-101B-9397-08002B2CF9AE}" pid="9" name="MSIP_Label_38f1469a-2c2a-4aee-b92b-090d4c5468ff_ContentBits">
    <vt:lpwstr>0</vt:lpwstr>
  </property>
</Properties>
</file>