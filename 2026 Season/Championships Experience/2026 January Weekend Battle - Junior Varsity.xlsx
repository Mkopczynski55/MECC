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7"/>
  <workbookPr codeName="ThisWorkbook" defaultThemeVersion="166925"/>
  <mc:AlternateContent xmlns:mc="http://schemas.openxmlformats.org/markup-compatibility/2006">
    <mc:Choice Requires="x15">
      <x15ac:absPath xmlns:x15ac="http://schemas.microsoft.com/office/spreadsheetml/2010/11/ac" url="https://d.docs.live.net/29f448ec057303af/Pulpit/"/>
    </mc:Choice>
  </mc:AlternateContent>
  <xr:revisionPtr revIDLastSave="37" documentId="13_ncr:1_{FC999751-B7FE-B342-AAAF-43A04CDBBDDF}" xr6:coauthVersionLast="47" xr6:coauthVersionMax="47" xr10:uidLastSave="{D5FB140E-E413-4C2C-B6CD-7086CCD885BE}"/>
  <bookViews>
    <workbookView xWindow="-120" yWindow="-120" windowWidth="51840" windowHeight="21120" activeTab="1" xr2:uid="{114A3ACC-2F61-4F50-A5CF-63A86B2334B2}"/>
  </bookViews>
  <sheets>
    <sheet name="Cover" sheetId="8" r:id="rId1"/>
    <sheet name="Case" sheetId="4" r:id="rId2"/>
    <sheet name="Graded Answers" sheetId="6" state="hidden" r:id="rId3"/>
    <sheet name="Answers" sheetId="5" r:id="rId4"/>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Cover!#REF!</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0" i="4" l="1"/>
  <c r="E261" i="4"/>
  <c r="E262" i="4"/>
  <c r="E223" i="4"/>
  <c r="E224" i="4"/>
  <c r="E225" i="4"/>
  <c r="E226" i="4"/>
  <c r="E227" i="4"/>
  <c r="E228" i="4"/>
  <c r="E229" i="4"/>
  <c r="E230" i="4"/>
  <c r="E231" i="4"/>
  <c r="E232" i="4"/>
  <c r="E233" i="4"/>
  <c r="E234" i="4"/>
  <c r="E235" i="4"/>
  <c r="E236" i="4"/>
  <c r="E237" i="4"/>
  <c r="E238" i="4"/>
  <c r="F238" i="4" s="1"/>
  <c r="E239" i="4"/>
  <c r="F239" i="4" s="1"/>
  <c r="E240" i="4"/>
  <c r="E241" i="4"/>
  <c r="F241" i="4" s="1"/>
  <c r="E222" i="4"/>
  <c r="E186" i="4"/>
  <c r="E187" i="4"/>
  <c r="E188" i="4"/>
  <c r="E189" i="4"/>
  <c r="E190" i="4"/>
  <c r="E191" i="4"/>
  <c r="E192" i="4"/>
  <c r="E193" i="4"/>
  <c r="E194" i="4"/>
  <c r="E195" i="4"/>
  <c r="E196" i="4"/>
  <c r="E197" i="4"/>
  <c r="E198" i="4"/>
  <c r="E199" i="4"/>
  <c r="E200" i="4"/>
  <c r="E201" i="4"/>
  <c r="E202" i="4"/>
  <c r="E203" i="4"/>
  <c r="E204" i="4"/>
  <c r="E185" i="4"/>
  <c r="E148" i="4" a="1"/>
  <c r="E148" i="4" s="1"/>
  <c r="E112" i="4" a="1"/>
  <c r="E112" i="4" s="1"/>
  <c r="E76" i="4" a="1"/>
  <c r="E76" i="4" s="1"/>
  <c r="F321" i="4"/>
  <c r="F320" i="4"/>
  <c r="F319" i="4"/>
  <c r="F318" i="4"/>
  <c r="F317" i="4"/>
  <c r="F316" i="4"/>
  <c r="F315" i="4"/>
  <c r="F314" i="4"/>
  <c r="F313" i="4"/>
  <c r="F312" i="4"/>
  <c r="F311" i="4"/>
  <c r="F310" i="4"/>
  <c r="F309" i="4"/>
  <c r="F308" i="4"/>
  <c r="F307" i="4"/>
  <c r="F306" i="4"/>
  <c r="F305" i="4"/>
  <c r="F304" i="4"/>
  <c r="F303" i="4"/>
  <c r="F302" i="4"/>
  <c r="F300" i="4"/>
  <c r="F279" i="4"/>
  <c r="F278" i="4"/>
  <c r="F277" i="4"/>
  <c r="F276" i="4"/>
  <c r="F275" i="4"/>
  <c r="F274" i="4"/>
  <c r="F273" i="4"/>
  <c r="F272" i="4"/>
  <c r="F271" i="4"/>
  <c r="F270" i="4"/>
  <c r="F269" i="4"/>
  <c r="F268" i="4"/>
  <c r="F267" i="4"/>
  <c r="F266" i="4"/>
  <c r="F265" i="4"/>
  <c r="F264" i="4"/>
  <c r="F263" i="4"/>
  <c r="F258" i="4"/>
  <c r="F240" i="4"/>
  <c r="F236" i="4"/>
  <c r="F235" i="4"/>
  <c r="F234" i="4"/>
  <c r="F233" i="4"/>
  <c r="F232" i="4"/>
  <c r="F230" i="4"/>
  <c r="F229" i="4"/>
  <c r="F228" i="4"/>
  <c r="F227" i="4"/>
  <c r="F226" i="4"/>
  <c r="F225" i="4"/>
  <c r="F224" i="4"/>
  <c r="F223" i="4"/>
  <c r="F220" i="4"/>
  <c r="F183" i="4"/>
  <c r="F167" i="4"/>
  <c r="F166" i="4"/>
  <c r="F165" i="4"/>
  <c r="F164" i="4"/>
  <c r="F163" i="4"/>
  <c r="F162" i="4"/>
  <c r="F161" i="4"/>
  <c r="F160" i="4"/>
  <c r="F159" i="4"/>
  <c r="F158" i="4"/>
  <c r="F157" i="4"/>
  <c r="F156" i="4"/>
  <c r="F155" i="4"/>
  <c r="F154" i="4"/>
  <c r="F153" i="4"/>
  <c r="F152" i="4"/>
  <c r="F151" i="4"/>
  <c r="F150" i="4"/>
  <c r="F149" i="4"/>
  <c r="F146" i="4"/>
  <c r="F131" i="4"/>
  <c r="F130" i="4"/>
  <c r="F129" i="4"/>
  <c r="F128" i="4"/>
  <c r="F127" i="4"/>
  <c r="F126" i="4"/>
  <c r="F125" i="4"/>
  <c r="F124" i="4"/>
  <c r="F123" i="4"/>
  <c r="F122" i="4"/>
  <c r="F121" i="4"/>
  <c r="F120" i="4"/>
  <c r="F119" i="4"/>
  <c r="F118" i="4"/>
  <c r="F117" i="4"/>
  <c r="F116" i="4"/>
  <c r="F115" i="4"/>
  <c r="F114" i="4"/>
  <c r="F113" i="4"/>
  <c r="F110" i="4"/>
  <c r="F95" i="4"/>
  <c r="F94" i="4"/>
  <c r="F93" i="4"/>
  <c r="F92" i="4"/>
  <c r="F91" i="4"/>
  <c r="F90" i="4"/>
  <c r="F89" i="4"/>
  <c r="F88" i="4"/>
  <c r="F87" i="4"/>
  <c r="F86" i="4"/>
  <c r="F85" i="4"/>
  <c r="F84" i="4"/>
  <c r="F83" i="4"/>
  <c r="F82" i="4"/>
  <c r="F81" i="4"/>
  <c r="F80" i="4"/>
  <c r="F79" i="4"/>
  <c r="F78" i="4"/>
  <c r="F77" i="4"/>
  <c r="F74" i="4"/>
  <c r="F54" i="4"/>
  <c r="F55" i="4"/>
  <c r="F56" i="4"/>
  <c r="F57" i="4"/>
  <c r="F53" i="4"/>
  <c r="C133" i="6"/>
  <c r="C135" i="6"/>
  <c r="C143" i="6"/>
  <c r="C145" i="6"/>
  <c r="C147" i="6"/>
  <c r="C146" i="6"/>
  <c r="C144" i="6"/>
  <c r="C142" i="6"/>
  <c r="C141" i="6"/>
  <c r="C140" i="6"/>
  <c r="C139" i="6"/>
  <c r="C138" i="6"/>
  <c r="C137" i="6"/>
  <c r="C136" i="6"/>
  <c r="C134" i="6"/>
  <c r="C132" i="6"/>
  <c r="C131" i="6"/>
  <c r="C130" i="6"/>
  <c r="C129" i="6"/>
  <c r="C128" i="6"/>
  <c r="C127" i="6"/>
  <c r="C126" i="6"/>
  <c r="C125" i="6"/>
  <c r="C124" i="6"/>
  <c r="C123" i="6"/>
  <c r="C122" i="6"/>
  <c r="C121" i="6"/>
  <c r="C120" i="6"/>
  <c r="C119" i="6"/>
  <c r="C118" i="6"/>
  <c r="C117" i="6"/>
  <c r="C116" i="6"/>
  <c r="C115" i="6"/>
  <c r="C114" i="6"/>
  <c r="C113" i="6"/>
  <c r="C112" i="6"/>
  <c r="C111" i="6"/>
  <c r="C107" i="6"/>
  <c r="C106" i="6"/>
  <c r="C105" i="6"/>
  <c r="C104" i="6"/>
  <c r="C102" i="6"/>
  <c r="C101" i="6"/>
  <c r="C100" i="6"/>
  <c r="C99" i="6"/>
  <c r="C98" i="6"/>
  <c r="C96" i="6"/>
  <c r="C95" i="6"/>
  <c r="C94" i="6"/>
  <c r="C93" i="6"/>
  <c r="C92" i="6"/>
  <c r="C91" i="6"/>
  <c r="C90" i="6"/>
  <c r="C89" i="6"/>
  <c r="C67" i="6"/>
  <c r="C66" i="6"/>
  <c r="C65" i="6"/>
  <c r="C64" i="6"/>
  <c r="C63" i="6"/>
  <c r="C62" i="6"/>
  <c r="C61" i="6"/>
  <c r="C60" i="6"/>
  <c r="C59" i="6"/>
  <c r="C58" i="6"/>
  <c r="C57" i="6"/>
  <c r="C56" i="6"/>
  <c r="C55" i="6"/>
  <c r="C54" i="6"/>
  <c r="C53" i="6"/>
  <c r="C52" i="6"/>
  <c r="C51" i="6"/>
  <c r="C50" i="6"/>
  <c r="C49" i="6"/>
  <c r="C47" i="6"/>
  <c r="C46" i="6"/>
  <c r="C45" i="6"/>
  <c r="C44" i="6"/>
  <c r="C43" i="6"/>
  <c r="C42" i="6"/>
  <c r="C41" i="6"/>
  <c r="C40" i="6"/>
  <c r="C39" i="6"/>
  <c r="C38" i="6"/>
  <c r="C37" i="6"/>
  <c r="C36" i="6"/>
  <c r="C35" i="6"/>
  <c r="C34" i="6"/>
  <c r="C33" i="6"/>
  <c r="C32" i="6"/>
  <c r="C31" i="6"/>
  <c r="C30" i="6"/>
  <c r="C29" i="6"/>
  <c r="C27" i="6"/>
  <c r="C26" i="6"/>
  <c r="C25" i="6"/>
  <c r="C24" i="6"/>
  <c r="C23" i="6"/>
  <c r="C22" i="6"/>
  <c r="C21" i="6"/>
  <c r="C20" i="6"/>
  <c r="C19" i="6"/>
  <c r="C18" i="6"/>
  <c r="C17" i="6"/>
  <c r="C16" i="6"/>
  <c r="C15" i="6"/>
  <c r="C14" i="6"/>
  <c r="C13" i="6"/>
  <c r="C12" i="6"/>
  <c r="C11" i="6"/>
  <c r="C10" i="6"/>
  <c r="C9" i="6"/>
  <c r="C7" i="6"/>
  <c r="C6" i="6"/>
  <c r="C5" i="6"/>
  <c r="C4" i="6"/>
  <c r="C3" i="6"/>
  <c r="B9" i="6"/>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B57" i="6" s="1"/>
  <c r="B58" i="6" s="1"/>
  <c r="B59" i="6" s="1"/>
  <c r="B60" i="6" s="1"/>
  <c r="B61" i="6" s="1"/>
  <c r="B62" i="6" s="1"/>
  <c r="B63" i="6" s="1"/>
  <c r="B64" i="6" s="1"/>
  <c r="B65" i="6" s="1"/>
  <c r="B66" i="6" s="1"/>
  <c r="B67" i="6" s="1"/>
  <c r="B68" i="6" s="1"/>
  <c r="B69" i="6" s="1"/>
  <c r="B70" i="6" s="1"/>
  <c r="B71" i="6" s="1"/>
  <c r="B72" i="6" s="1"/>
  <c r="B73" i="6" s="1"/>
  <c r="B74" i="6" s="1"/>
  <c r="B75" i="6" s="1"/>
  <c r="B76" i="6" s="1"/>
  <c r="B77" i="6" s="1"/>
  <c r="B78" i="6" s="1"/>
  <c r="B79" i="6" s="1"/>
  <c r="B80" i="6" s="1"/>
  <c r="B81" i="6" s="1"/>
  <c r="B82" i="6" s="1"/>
  <c r="B83" i="6" s="1"/>
  <c r="B84" i="6" s="1"/>
  <c r="B85" i="6" s="1"/>
  <c r="B86" i="6" s="1"/>
  <c r="B87" i="6" s="1"/>
  <c r="B88" i="6" s="1"/>
  <c r="B89" i="6" s="1"/>
  <c r="B90" i="6" s="1"/>
  <c r="B91" i="6" s="1"/>
  <c r="B92" i="6" s="1"/>
  <c r="B93" i="6" s="1"/>
  <c r="B94" i="6" s="1"/>
  <c r="B95" i="6" s="1"/>
  <c r="B96" i="6" s="1"/>
  <c r="B97" i="6" s="1"/>
  <c r="B98" i="6" s="1"/>
  <c r="B99" i="6" s="1"/>
  <c r="B100" i="6" s="1"/>
  <c r="B101" i="6" s="1"/>
  <c r="B102" i="6" s="1"/>
  <c r="B103" i="6" s="1"/>
  <c r="B104" i="6" s="1"/>
  <c r="B105" i="6" s="1"/>
  <c r="B106" i="6" s="1"/>
  <c r="B107" i="6" s="1"/>
  <c r="B108" i="6" s="1"/>
  <c r="B109" i="6" s="1"/>
  <c r="B110" i="6" s="1"/>
  <c r="B111" i="6" s="1"/>
  <c r="B112" i="6" s="1"/>
  <c r="B113" i="6" s="1"/>
  <c r="B114" i="6" s="1"/>
  <c r="B115" i="6" s="1"/>
  <c r="B116" i="6" s="1"/>
  <c r="B117" i="6" s="1"/>
  <c r="B118" i="6" s="1"/>
  <c r="B119" i="6" s="1"/>
  <c r="B120" i="6" s="1"/>
  <c r="B121" i="6" s="1"/>
  <c r="B122" i="6" s="1"/>
  <c r="B123" i="6" s="1"/>
  <c r="B124" i="6" s="1"/>
  <c r="B125" i="6" s="1"/>
  <c r="B126" i="6" s="1"/>
  <c r="B127" i="6" s="1"/>
  <c r="B128" i="6" s="1"/>
  <c r="B129" i="6" s="1"/>
  <c r="B130" i="6" s="1"/>
  <c r="B131" i="6" s="1"/>
  <c r="B132" i="6" s="1"/>
  <c r="B133" i="6" s="1"/>
  <c r="B134" i="6" s="1"/>
  <c r="B135" i="6" s="1"/>
  <c r="B136" i="6" s="1"/>
  <c r="B137" i="6" s="1"/>
  <c r="B138" i="6" s="1"/>
  <c r="B139" i="6" s="1"/>
  <c r="B140" i="6" s="1"/>
  <c r="B141" i="6" s="1"/>
  <c r="B142" i="6" s="1"/>
  <c r="B143" i="6" s="1"/>
  <c r="B144" i="6" s="1"/>
  <c r="B145" i="6" s="1"/>
  <c r="B146" i="6" s="1"/>
  <c r="B147" i="6" s="1"/>
  <c r="F261" i="4" l="1"/>
  <c r="C109" i="6"/>
  <c r="F262" i="4"/>
  <c r="C110" i="6"/>
  <c r="F260" i="4"/>
  <c r="C108" i="6"/>
  <c r="C97" i="6"/>
  <c r="F231" i="4"/>
  <c r="F237" i="4"/>
  <c r="C103" i="6"/>
  <c r="F222" i="4"/>
  <c r="C88" i="6"/>
  <c r="C70" i="6"/>
  <c r="F187" i="4"/>
  <c r="F188" i="4"/>
  <c r="C71" i="6"/>
  <c r="F189" i="4"/>
  <c r="C72" i="6"/>
  <c r="F190" i="4"/>
  <c r="C73" i="6"/>
  <c r="F191" i="4"/>
  <c r="C74" i="6"/>
  <c r="F192" i="4"/>
  <c r="C75" i="6"/>
  <c r="F193" i="4"/>
  <c r="C76" i="6"/>
  <c r="F194" i="4"/>
  <c r="C77" i="6"/>
  <c r="F195" i="4"/>
  <c r="C78" i="6"/>
  <c r="F196" i="4"/>
  <c r="C79" i="6"/>
  <c r="F197" i="4"/>
  <c r="C80" i="6"/>
  <c r="F198" i="4"/>
  <c r="C81" i="6"/>
  <c r="F199" i="4"/>
  <c r="C82" i="6"/>
  <c r="F200" i="4"/>
  <c r="C83" i="6"/>
  <c r="F201" i="4"/>
  <c r="C84" i="6"/>
  <c r="F202" i="4"/>
  <c r="C85" i="6"/>
  <c r="F203" i="4"/>
  <c r="C86" i="6"/>
  <c r="F204" i="4"/>
  <c r="C87" i="6"/>
  <c r="C69" i="6"/>
  <c r="F186" i="4"/>
  <c r="F185" i="4"/>
  <c r="C68" i="6"/>
  <c r="C48" i="6"/>
  <c r="F148" i="4"/>
  <c r="C28" i="6"/>
  <c r="F112" i="4"/>
  <c r="C8" i="6"/>
  <c r="F76"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<sst xmlns="http://schemas.openxmlformats.org/spreadsheetml/2006/main" count="515" uniqueCount="156">
  <si>
    <t>Instructions</t>
  </si>
  <si>
    <t>A</t>
  </si>
  <si>
    <t>B</t>
  </si>
  <si>
    <t>C</t>
  </si>
  <si>
    <t>D</t>
  </si>
  <si>
    <t>E</t>
  </si>
  <si>
    <t>F</t>
  </si>
  <si>
    <t>G</t>
  </si>
  <si>
    <t>Game #</t>
  </si>
  <si>
    <t>Level</t>
  </si>
  <si>
    <t>Points</t>
  </si>
  <si>
    <t>Answer</t>
  </si>
  <si>
    <t>C3</t>
  </si>
  <si>
    <t>C4</t>
  </si>
  <si>
    <t>C5</t>
  </si>
  <si>
    <t>D3</t>
  </si>
  <si>
    <t>D4</t>
  </si>
  <si>
    <t>D5</t>
  </si>
  <si>
    <t>E3</t>
  </si>
  <si>
    <t>E4</t>
  </si>
  <si>
    <t>E5</t>
  </si>
  <si>
    <t>The Cells Around Excelopolis:</t>
  </si>
  <si>
    <t xml:space="preserve"> </t>
  </si>
  <si>
    <t>Bonus Questions</t>
  </si>
  <si>
    <t>Relates to Level #</t>
  </si>
  <si>
    <t>Question</t>
  </si>
  <si>
    <t>Bonus 1</t>
  </si>
  <si>
    <t>Bonus 2</t>
  </si>
  <si>
    <t>Bonus 3</t>
  </si>
  <si>
    <t>Bonus 4</t>
  </si>
  <si>
    <t>Bonus 5</t>
  </si>
  <si>
    <t>Levels</t>
  </si>
  <si>
    <t>Level 1</t>
  </si>
  <si>
    <t>Very Easy</t>
  </si>
  <si>
    <t>Answer Hints:</t>
  </si>
  <si>
    <t>Example1</t>
  </si>
  <si>
    <t>Level 2</t>
  </si>
  <si>
    <t>Example2</t>
  </si>
  <si>
    <t>Level 3</t>
  </si>
  <si>
    <t>Medium</t>
  </si>
  <si>
    <t>Game 41's answer is even.</t>
  </si>
  <si>
    <t>Game 43's answer is odd.</t>
  </si>
  <si>
    <t>Example3</t>
  </si>
  <si>
    <t>Level 4</t>
  </si>
  <si>
    <t>Example4</t>
  </si>
  <si>
    <t>Level 5</t>
  </si>
  <si>
    <t>Medium Hard</t>
  </si>
  <si>
    <t>Example5</t>
  </si>
  <si>
    <t>Level 6</t>
  </si>
  <si>
    <t>Hard</t>
  </si>
  <si>
    <t>Example6</t>
  </si>
  <si>
    <t>Level 7</t>
  </si>
  <si>
    <t>Very Hard</t>
  </si>
  <si>
    <t>Example7</t>
  </si>
  <si>
    <t>Feeding Excelopolis - MECC Junior Varsity Edition</t>
  </si>
  <si>
    <t>How much food would be produced if citizens worked every available cell?</t>
  </si>
  <si>
    <t>X</t>
  </si>
  <si>
    <t>Turn</t>
  </si>
  <si>
    <t>People</t>
  </si>
  <si>
    <t>You are a chief of a tribe of nomads. Your tribe has recently discovered some advanced agricultural technologies and decided to settle down and found a city. You name the city Excelopolis.</t>
  </si>
  <si>
    <t>You want to forecast how fast will the population of your city grow based on 140 different scenarios listed below. Each scenario provides different land fertility assumptions.</t>
  </si>
  <si>
    <t>Key rules for the case:</t>
  </si>
  <si>
    <t xml:space="preserve"> - Excelopolis is founded at the beginning of Year 1. The new era starts for your people!</t>
  </si>
  <si>
    <t xml:space="preserve"> - The initial size of your city's population is 1 unit. </t>
  </si>
  <si>
    <t>Land cultivation:</t>
  </si>
  <si>
    <t xml:space="preserve"> - Every unit of population can cultivate 1 cell of land around the city (so, initially, your people will be cultivating only 1 cell).</t>
  </si>
  <si>
    <t>Food storage, consumption and city growth:</t>
  </si>
  <si>
    <t xml:space="preserve"> - Every year 1 unit of your population eats 2 units of food. Assume they do it at the end of the year and don't need to eat during the year.</t>
  </si>
  <si>
    <t xml:space="preserve"> - The remaining units of food produced during the year are added to the food stock in a warehouse.</t>
  </si>
  <si>
    <t xml:space="preserve"> - If at the end of a year the amount of food in the warehouse is 10x the current number of populations units (or more) - 2 things happen:</t>
  </si>
  <si>
    <t xml:space="preserve">     - At the beginning of the next year your population grows by 1 and you can cultivate 1 extra cell of land.</t>
  </si>
  <si>
    <t xml:space="preserve">     - The 10x units of food stored in the warehouse are used for growth and the warehouse now is empty or almost empty.</t>
  </si>
  <si>
    <t xml:space="preserve"> - The land around Excelopolis is represented by Excel cells (see table below). The city itself is located in cell D4. The table shows an example of land fertility distribution.</t>
  </si>
  <si>
    <t xml:space="preserve"> - Different cells have different fertility - each of them can give you from 2 to 5 units of food. You will be using the most fertile cells first.</t>
  </si>
  <si>
    <t>Case Details by Difficulty Level</t>
  </si>
  <si>
    <t>Original Case (Pro Level)</t>
  </si>
  <si>
    <t>Varsity Case</t>
  </si>
  <si>
    <t>Junior Varsity Case</t>
  </si>
  <si>
    <t>Used in Junior Varsity, Varsity, and Original Case</t>
  </si>
  <si>
    <t>Used only in Original Case</t>
  </si>
  <si>
    <t>Land Fertility Example: Excelopolis (Cell D4) &amp; Surroundings</t>
  </si>
  <si>
    <t>49 cells can be used - 3 rings around the city</t>
  </si>
  <si>
    <t>25 cells can be used - 2 rings around the city</t>
  </si>
  <si>
    <t>Original Case Author</t>
  </si>
  <si>
    <t>Case Design Team</t>
  </si>
  <si>
    <t>David Brown</t>
  </si>
  <si>
    <t>Chris McNeil</t>
  </si>
  <si>
    <t>Eric Kelley</t>
  </si>
  <si>
    <t>Andrew Grigolyunovich</t>
  </si>
  <si>
    <t>Used only in Varsity and Original Case</t>
  </si>
  <si>
    <t>Land Fertility by Cell</t>
  </si>
  <si>
    <t>What is the most common answer across all games, excluding the examples?</t>
  </si>
  <si>
    <t>Which game number has the most fertile land, i.e., the highest sum of fertility values, excluding the examples?</t>
  </si>
  <si>
    <t>What is the sum of the answers across all levels for odd game numbers, i.e., 1, 3, 5, …., 139? Exclude the examples.</t>
  </si>
  <si>
    <t xml:space="preserve">To make the game more exciting, we have created 5 bonus questions for you. Bonus questions 1, 2, and 3 can be solved independently of the Levels. Bonus questions 4 and 5 depend on </t>
  </si>
  <si>
    <t>having the correct answers to the Levels 1 - 7.</t>
  </si>
  <si>
    <t>1-7</t>
  </si>
  <si>
    <r>
      <t>Example1: </t>
    </r>
    <r>
      <rPr>
        <sz val="12"/>
        <rFont val="Roboto"/>
      </rPr>
      <t>Summing the land fertility values given in G73:O73 gives 3+5+3+4+3+3+2+3+3=29.</t>
    </r>
  </si>
  <si>
    <t>Game 1's answer is between 20 and 30.</t>
  </si>
  <si>
    <t>Game 3's answer is between 30 and 40.</t>
  </si>
  <si>
    <t>Game 2's answer is between 30 and 40.</t>
  </si>
  <si>
    <t>What is the highest land fertility value for each game?</t>
  </si>
  <si>
    <r>
      <t xml:space="preserve">Example2: </t>
    </r>
    <r>
      <rPr>
        <sz val="12"/>
        <rFont val="Roboto"/>
      </rPr>
      <t>The maximum of the values in cells G109:O109 (3, 5, 3, 4, 3, 3, 2, 3, and 3) is 5.</t>
    </r>
  </si>
  <si>
    <t>What is the sum of the two highest land fertility value for each game?</t>
  </si>
  <si>
    <t>Game 21's answer is odd.</t>
  </si>
  <si>
    <t>Game 22's answer is even.</t>
  </si>
  <si>
    <t>Game 23's answer is odd.</t>
  </si>
  <si>
    <t>Game 42's answer is even.</t>
  </si>
  <si>
    <t>Game 61's answer is between 20 and 30.</t>
  </si>
  <si>
    <t>Game 62's answer is between 20 and 30.</t>
  </si>
  <si>
    <t>Game 63's answer is between 10 and 20.</t>
  </si>
  <si>
    <r>
      <t xml:space="preserve">Example4: </t>
    </r>
    <r>
      <rPr>
        <sz val="12"/>
        <rFont val="Roboto"/>
      </rPr>
      <t>The four highest values in cells G180:O180 (3, 5, 3, 4, 3, 3, 2, 3, and 3) are 5, 4, 3, and 3 and their sum is 15.</t>
    </r>
  </si>
  <si>
    <r>
      <t xml:space="preserve">Example3: </t>
    </r>
    <r>
      <rPr>
        <sz val="12"/>
        <rFont val="Roboto"/>
      </rPr>
      <t>The two highest values in cells G144:O144 (3, 5, 3, 4, 3, 3, 2, 3, and 3) are 5 and 4 and their sum is 9.</t>
    </r>
  </si>
  <si>
    <t>Based on the given number of people and land fertility values, how much extra food is produced?</t>
  </si>
  <si>
    <t>Game 81's answer is between 0 and 10.</t>
  </si>
  <si>
    <t>Game 82's answer is between 10 and 20.</t>
  </si>
  <si>
    <t>Game 83's answer is between 10 and 20.</t>
  </si>
  <si>
    <r>
      <t xml:space="preserve">Example5: </t>
    </r>
    <r>
      <rPr>
        <sz val="12"/>
        <rFont val="Roboto"/>
      </rPr>
      <t>With four people, the four highest land fertility values are 5, 4, 3, and 3, for a total of 15 food production.</t>
    </r>
  </si>
  <si>
    <t>4 people require 2 food each, for a total of 8, leaving 7 units of extra food.</t>
  </si>
  <si>
    <t>Note that the city will only have a population of 1 in this level.</t>
  </si>
  <si>
    <r>
      <t xml:space="preserve">Example6: </t>
    </r>
    <r>
      <rPr>
        <sz val="12"/>
        <rFont val="Roboto"/>
      </rPr>
      <t>In turn 1, 5 units of food are produced and 2 are consumed, leaving 3 extra. The same production and consumption occur on turns 2 and 3.</t>
    </r>
  </si>
  <si>
    <t>With 3 extra food each turn, and 3 turns, the total food saved is 3x3=9.</t>
  </si>
  <si>
    <t>Game 101's answer is odd.</t>
  </si>
  <si>
    <t>Game 121's answer is between 90 and 100.</t>
  </si>
  <si>
    <t>Game 122's answer is between 80 and 90.</t>
  </si>
  <si>
    <t>Game 123's answer is between 80 and 90.</t>
  </si>
  <si>
    <t>Easy</t>
  </si>
  <si>
    <t>Game 103's answer is even.</t>
  </si>
  <si>
    <t xml:space="preserve"> - For example, if there are three people, they will each cultivate one cell, starting with the most fertile cell. Thus, in this case, the three people will cultivate the three most fertile cells</t>
  </si>
  <si>
    <t>What is the sum of the X highest land fertility values for each game?</t>
  </si>
  <si>
    <t>Microsoft Excel Collegiate Challenge 2026</t>
  </si>
  <si>
    <t>Fritz Burkhardt</t>
  </si>
  <si>
    <t xml:space="preserve"> - Note that land fertility values in each game usually differ from the table example.</t>
  </si>
  <si>
    <t xml:space="preserve"> - At the Junior Varsity level, you can't cultivate land that is more than 1 cell away from the city. As a result, the maximum amount of land your people can cultivate is the 9 blue cells.</t>
  </si>
  <si>
    <t>9 blue cells can be used - 1 ring around the city</t>
  </si>
  <si>
    <t xml:space="preserve">Based on the given land fertility and assuming a starting population of 1 and no population growth, how much food has been saved after the given number of turns? </t>
  </si>
  <si>
    <t>Game 102's answer is odd.</t>
  </si>
  <si>
    <r>
      <t xml:space="preserve">Based on the given land fertility and assuming a starting population of 1 and that the population can grow, </t>
    </r>
    <r>
      <rPr>
        <b/>
        <u/>
        <sz val="12"/>
        <rFont val="Roboto"/>
      </rPr>
      <t>how many units of food are produced</t>
    </r>
    <r>
      <rPr>
        <b/>
        <sz val="12"/>
        <rFont val="Roboto"/>
      </rPr>
      <t xml:space="preserve"> over the first 10 turns?</t>
    </r>
  </si>
  <si>
    <t>Population will grow by 1 unit at the end of a turn when the amount of warehoused food equals or exceeds 10x the current population.</t>
  </si>
  <si>
    <t>When the population grows, warehoused food will decrease by 10x the pre-growth population.</t>
  </si>
  <si>
    <r>
      <t xml:space="preserve">Example7: </t>
    </r>
    <r>
      <rPr>
        <sz val="12"/>
        <rFont val="Roboto"/>
      </rPr>
      <t>In turns 1 through 4, 5 units of food are produced and 2 are consumed, leaving 3 extra per turn, which accumulates to 12 saved food units after 4 turns. At the end</t>
    </r>
  </si>
  <si>
    <t>consume 4 units, resulting in 7 saved food units (2 + 5) at the end of turn 5. Two people continue to produce 9 units of food in turns 6 through 8, saving 5 units each turn. At</t>
  </si>
  <si>
    <t>of turn 4, the population grows by 1 since 12 food units saved &gt;= 10x the current population of 1. Stored food units is reduced to 2. In turn 5, 2 people produce 9 units of food,</t>
  </si>
  <si>
    <t>the end of turn 8, saved food units is 22, allowing the population to grow to 3. Saved food units is 2 (=22-20) at the end of turn 8. On turns 9 and 10, 3 people produce 12 food</t>
  </si>
  <si>
    <t>units each turn. Total food production equals 4 turns of 5 production, plus 4 turns of 9 production, plus 2 turns of 12 production, giving 80 total food produced over 10 turns.</t>
  </si>
  <si>
    <t>How many times does the most common land fertility value for a single cell occur across levels, excluding the examples? Land fertility cell values range from 2 to 5.</t>
  </si>
  <si>
    <t>What is the maximum number of plots of lowest fertile land (most values of 2) within a game, excluding the examples?</t>
  </si>
  <si>
    <t>Hint: The LARGE, SUM, and SEQUENCE functions may be helpful on this level.</t>
  </si>
  <si>
    <t>Your Answers</t>
  </si>
  <si>
    <t>Case Information</t>
  </si>
  <si>
    <t>MECC Jobs</t>
  </si>
  <si>
    <t>This case originally appeared as a part of the MECC Weekend Battle series in January 2026. The objective is to calculate the population growth of Excelopolis over time. The case uses the same scoring as the original competition version, but answers are included so you can check your work.</t>
  </si>
  <si>
    <t>MECC sponsors such as Siemens, New York Life, Alvarez &amp; Marsal, and BDO have all hired MECC participants. Will you be next?</t>
  </si>
  <si>
    <t>Earn MECC Badges</t>
  </si>
  <si>
    <t>Live participation in Weekend Battles counts towards earning the Excel Athlete Badge. Complete more challenges to earn the badge to post on LinkedIn!</t>
  </si>
  <si>
    <t>Feeding Excelopolis - Junior Varsity Edition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</si>
</sst>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0;\(#,##0\);\-"/>
  </numFmts>
  <fonts count="47">
    <font>
      <sz val="11"/>
      <color theme="1"/>
      <name val="Calibri"/>
      <family val="2"/>
      <scheme val="minor"/>
    </font>
    <font>
      <sz val="12"/>
      <color theme="1"/>
      <name val="Calibri"/>
      <family val="2"/>
      <scheme val="minor"/>
    </font>
    <font>
      <sz val="11"/>
      <color theme="1"/>
      <name val="Roboto"/>
    </font>
    <font>
      <sz val="8"/>
      <name val="Calibri"/>
      <family val="2"/>
      <scheme val="minor"/>
    </font>
    <font>
      <b/>
      <sz val="12"/>
      <color theme="7" tint="-0.499984740745262"/>
      <name val="Roboto"/>
    </font>
    <font>
      <sz val="12"/>
      <color theme="7" tint="-0.499984740745262"/>
      <name val="Roboto"/>
    </font>
    <font>
      <b/>
      <sz val="11"/>
      <color theme="0"/>
      <name val="Roboto"/>
    </font>
    <font>
      <b/>
      <sz val="18"/>
      <color theme="0"/>
      <name val="Roboto"/>
    </font>
    <font>
      <b/>
      <sz val="14"/>
      <color theme="0"/>
      <name val="Roboto"/>
    </font>
    <font>
      <sz val="11"/>
      <color theme="7" tint="-0.499984740745262"/>
      <name val="Roboto"/>
    </font>
    <font>
      <sz val="11"/>
      <name val="Roboto"/>
    </font>
    <font>
      <sz val="11"/>
      <color theme="0"/>
      <name val="Roboto"/>
    </font>
    <font>
      <sz val="11"/>
      <color theme="1"/>
      <name val="Calibri"/>
      <family val="2"/>
      <scheme val="minor"/>
    </font>
    <font>
      <sz val="12"/>
      <color theme="1"/>
      <name val="Roboto"/>
    </font>
    <font>
      <b/>
      <sz val="26"/>
      <color theme="0"/>
      <name val="Futura"/>
      <family val="2"/>
    </font>
    <font>
      <b/>
      <sz val="26"/>
      <color theme="0"/>
      <name val="Roboto"/>
    </font>
    <font>
      <sz val="20"/>
      <color theme="1"/>
      <name val="Aptos"/>
      <family val="2"/>
    </font>
    <font>
      <b/>
      <sz val="24"/>
      <color theme="0"/>
      <name val="Futura"/>
      <family val="2"/>
    </font>
    <font>
      <b/>
      <sz val="12"/>
      <color theme="1"/>
      <name val="Roboto"/>
    </font>
    <font>
      <b/>
      <sz val="20"/>
      <color theme="0"/>
      <name val="Futura"/>
      <family val="2"/>
    </font>
    <font>
      <b/>
      <sz val="12"/>
      <name val="Roboto"/>
    </font>
    <font>
      <b/>
      <sz val="12"/>
      <color theme="0"/>
      <name val="Roboto"/>
    </font>
    <font>
      <sz val="12"/>
      <name val="Roboto"/>
    </font>
    <font>
      <sz val="12"/>
      <color rgb="FF806000"/>
      <name val="Roboto"/>
    </font>
    <font>
      <i/>
      <sz val="14"/>
      <color theme="1"/>
      <name val="Roboto"/>
    </font>
    <font>
      <i/>
      <sz val="10"/>
      <color theme="1"/>
      <name val="Roboto"/>
    </font>
    <font>
      <sz val="11"/>
      <color rgb="FF806000"/>
      <name val="Roboto"/>
    </font>
    <font>
      <sz val="12"/>
      <color rgb="FF000000"/>
      <name val="Roboto"/>
    </font>
    <font>
      <i/>
      <sz val="12"/>
      <color theme="1"/>
      <name val="Roboto"/>
    </font>
    <font>
      <i/>
      <sz val="11"/>
      <color theme="1"/>
      <name val="Roboto"/>
    </font>
    <font>
      <i/>
      <sz val="11"/>
      <name val="Roboto"/>
    </font>
    <font>
      <sz val="12"/>
      <color theme="0"/>
      <name val="Roboto"/>
    </font>
    <font>
      <sz val="18"/>
      <color theme="1"/>
      <name val="Roboto"/>
    </font>
    <font>
      <b/>
      <sz val="12"/>
      <color theme="1"/>
      <name val="Robotech"/>
    </font>
    <font>
      <i/>
      <sz val="12"/>
      <name val="Roboto"/>
    </font>
    <font>
      <b/>
      <u/>
      <sz val="12"/>
      <name val="Roboto"/>
    </font>
    <font>
      <b/>
      <sz val="16"/>
      <color theme="1"/>
      <name val="Roboto"/>
    </font>
    <font>
      <sz val="14"/>
      <color theme="1"/>
      <name val="Roboto"/>
    </font>
    <font>
      <b/>
      <sz val="11"/>
      <color theme="1"/>
      <name val="Roboto"/>
    </font>
    <font>
      <b/>
      <sz val="20"/>
      <color theme="0"/>
      <name val="Futura"/>
      <family val="2"/>
    </font>
    <font>
      <sz val="12"/>
      <color theme="1"/>
      <name val="Aptos"/>
      <family val="2"/>
    </font>
    <font>
      <b/>
      <sz val="24"/>
      <color theme="0"/>
      <name val="Futura"/>
      <family val="2"/>
    </font>
    <font>
      <sz val="20"/>
      <color theme="1"/>
      <name val="Calibri"/>
      <family val="2"/>
      <scheme val="minor"/>
    </font>
    <font>
      <b/>
      <sz val="18"/>
      <color theme="0"/>
      <name val="Futura"/>
      <family val="2"/>
    </font>
    <font>
      <sz val="16"/>
      <name val="Roboto"/>
    </font>
    <font>
      <b/>
      <sz val="11"/>
      <name val="Roboto"/>
    </font>
    <font>
      <sz val="12"/>
      <color rgb="FFFFFFFF"/>
      <name val="Arial"/>
      <family val="2"/>
      <charset val="238"/>
    </font>
  </fonts>
  <fills count="14">
    <fill>
      <patternFill patternType="none"/>
    </fill>
    <fill>
      <patternFill patternType="gray125"/>
    </fill>
    <fill>
      <patternFill patternType="solid">
        <fgColor theme="0"/>
        <bgColor indexed="64"/>
      </patternFill>
    </fill>
    <fill>
      <patternFill patternType="solid">
        <fgColor rgb="FF161C49"/>
        <bgColor indexed="64"/>
      </patternFill>
    </fill>
    <fill>
      <patternFill patternType="solid">
        <fgColor rgb="FF228AB8"/>
        <bgColor indexed="64"/>
      </patternFill>
    </fill>
    <fill>
      <patternFill patternType="solid">
        <fgColor rgb="FF006837"/>
        <bgColor indexed="64"/>
      </patternFill>
    </fill>
    <fill>
      <patternFill patternType="solid">
        <fgColor rgb="FF001838"/>
        <bgColor indexed="64"/>
      </patternFill>
    </fill>
    <fill>
      <patternFill patternType="solid">
        <fgColor rgb="FFED203F"/>
        <bgColor indexed="64"/>
      </patternFill>
    </fill>
    <fill>
      <patternFill patternType="solid">
        <fgColor rgb="FFBC1F36"/>
        <bgColor indexed="64"/>
      </patternFill>
    </fill>
    <fill>
      <patternFill patternType="solid">
        <fgColor theme="9" tint="0.599963377788628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6C6CD"/>
        <bgColor indexed="64"/>
      </patternFill>
    </fill>
    <fill>
      <patternFill patternType="solid">
        <fgColor rgb="FF9E1B32"/>
        <bgColor indexed="64"/>
      </patternFill>
    </fill>
  </fills>
  <borders count="4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499984740745262"/>
      </top>
      <bottom style="thin">
        <color theme="0" tint="-0.499984740745262"/>
      </bottom>
      <diagonal/>
    </border>
    <border>
      <left style="thin">
        <color theme="0" tint="-0.249977111117893"/>
      </left>
      <right style="thin">
        <color theme="0" tint="-0.249977111117893"/>
      </right>
      <top/>
      <bottom style="thin">
        <color theme="0" tint="-0.24997711111789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theme="0" tint="-0.499984740745262"/>
      </left>
      <right style="thin">
        <color theme="0" tint="-0.499984740745262"/>
      </right>
      <top/>
      <bottom style="thin">
        <color theme="0" tint="-0.499984740745262"/>
      </bottom>
      <diagonal/>
    </border>
    <border>
      <left/>
      <right/>
      <top style="thin">
        <color indexed="64"/>
      </top>
      <bottom style="thin">
        <color indexed="64"/>
      </bottom>
      <diagonal/>
    </border>
  </borders>
  <cellStyleXfs count="7">
    <xf numFmtId="0" fontId="0" fillId="0" borderId="0"/>
    <xf numFmtId="0" fontId="12" fillId="0" borderId="0"/>
    <xf numFmtId="0" fontId="16" fillId="0" borderId="0"/>
    <xf numFmtId="0" fontId="1" fillId="0" borderId="0"/>
    <xf numFmtId="0" fontId="1" fillId="0" borderId="0"/>
    <xf numFmtId="0" fontId="12" fillId="0" borderId="0"/>
    <xf numFmtId="0" fontId="42" fillId="0" borderId="0"/>
  </cellStyleXfs>
  <cellXfs count="160">
    <xf numFmtId="0" fontId="0" fillId="0" borderId="0" xfId="0"/>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6" fillId="4" borderId="11" xfId="0" applyFont="1" applyFill="1" applyBorder="1" applyAlignment="1">
      <alignment horizontal="center"/>
    </xf>
    <xf numFmtId="0" fontId="11" fillId="4" borderId="6" xfId="0" applyFont="1" applyFill="1" applyBorder="1" applyAlignment="1">
      <alignment horizontal="center"/>
    </xf>
    <xf numFmtId="0" fontId="11" fillId="4" borderId="14" xfId="0" applyFont="1" applyFill="1" applyBorder="1" applyAlignment="1">
      <alignment horizontal="center"/>
    </xf>
    <xf numFmtId="0" fontId="11" fillId="4" borderId="12" xfId="0" applyFont="1" applyFill="1" applyBorder="1" applyAlignment="1">
      <alignment horizontal="center"/>
    </xf>
    <xf numFmtId="0" fontId="11" fillId="4" borderId="13" xfId="0" applyFont="1" applyFill="1" applyBorder="1" applyAlignment="1">
      <alignment horizontal="center"/>
    </xf>
    <xf numFmtId="0" fontId="11" fillId="4" borderId="15" xfId="0" applyFont="1" applyFill="1" applyBorder="1" applyAlignment="1">
      <alignment horizontal="center"/>
    </xf>
    <xf numFmtId="0" fontId="11" fillId="5" borderId="6" xfId="0" applyFont="1" applyFill="1" applyBorder="1" applyAlignment="1">
      <alignment horizontal="center"/>
    </xf>
    <xf numFmtId="0" fontId="13" fillId="0" borderId="0" xfId="1" applyFont="1"/>
    <xf numFmtId="0" fontId="14" fillId="6" borderId="6" xfId="1" applyFont="1" applyFill="1" applyBorder="1" applyAlignment="1">
      <alignment horizontal="centerContinuous" vertical="center"/>
    </xf>
    <xf numFmtId="0" fontId="15" fillId="6" borderId="6" xfId="1" applyFont="1" applyFill="1" applyBorder="1" applyAlignment="1">
      <alignment horizontal="centerContinuous" vertical="center"/>
    </xf>
    <xf numFmtId="3" fontId="13" fillId="0" borderId="0" xfId="1" applyNumberFormat="1" applyFont="1"/>
    <xf numFmtId="0" fontId="17" fillId="7" borderId="0" xfId="2" applyFont="1" applyFill="1" applyAlignment="1">
      <alignment horizontal="centerContinuous" vertical="center"/>
    </xf>
    <xf numFmtId="0" fontId="17" fillId="7" borderId="0" xfId="2" applyFont="1" applyFill="1" applyAlignment="1">
      <alignment horizontal="centerContinuous" vertical="center" wrapText="1"/>
    </xf>
    <xf numFmtId="0" fontId="7" fillId="8" borderId="6" xfId="1" applyFont="1" applyFill="1" applyBorder="1" applyAlignment="1">
      <alignment horizontal="centerContinuous" vertical="center"/>
    </xf>
    <xf numFmtId="0" fontId="19" fillId="8" borderId="14" xfId="1" applyFont="1" applyFill="1" applyBorder="1" applyAlignment="1">
      <alignment horizontal="centerContinuous" vertical="center"/>
    </xf>
    <xf numFmtId="0" fontId="7" fillId="8" borderId="14" xfId="1" applyFont="1" applyFill="1" applyBorder="1" applyAlignment="1">
      <alignment horizontal="centerContinuous" vertical="center"/>
    </xf>
    <xf numFmtId="0" fontId="13" fillId="0" borderId="16" xfId="1" applyFont="1" applyBorder="1" applyAlignment="1">
      <alignment vertical="top"/>
    </xf>
    <xf numFmtId="0" fontId="13" fillId="0" borderId="17" xfId="1" applyFont="1" applyBorder="1" applyAlignment="1">
      <alignment vertical="top" wrapText="1"/>
    </xf>
    <xf numFmtId="0" fontId="13" fillId="0" borderId="18" xfId="1" applyFont="1" applyBorder="1"/>
    <xf numFmtId="0" fontId="13" fillId="0" borderId="19" xfId="1" applyFont="1" applyBorder="1" applyAlignment="1">
      <alignment vertical="top"/>
    </xf>
    <xf numFmtId="0" fontId="13" fillId="0" borderId="0" xfId="1" applyFont="1" applyAlignment="1">
      <alignment vertical="top" wrapText="1"/>
    </xf>
    <xf numFmtId="0" fontId="13" fillId="0" borderId="20" xfId="1" applyFont="1" applyBorder="1"/>
    <xf numFmtId="0" fontId="13" fillId="0" borderId="19" xfId="1" applyFont="1" applyBorder="1"/>
    <xf numFmtId="0" fontId="2" fillId="0" borderId="0" xfId="1" applyFont="1"/>
    <xf numFmtId="0" fontId="10" fillId="0" borderId="0" xfId="1" applyFont="1"/>
    <xf numFmtId="0" fontId="10" fillId="0" borderId="20" xfId="1" applyFont="1" applyBorder="1"/>
    <xf numFmtId="0" fontId="13" fillId="0" borderId="21" xfId="1" applyFont="1" applyBorder="1" applyAlignment="1">
      <alignment vertical="top"/>
    </xf>
    <xf numFmtId="0" fontId="13" fillId="0" borderId="22" xfId="1" applyFont="1" applyBorder="1" applyAlignment="1">
      <alignment vertical="top" wrapText="1"/>
    </xf>
    <xf numFmtId="0" fontId="13" fillId="0" borderId="23" xfId="1" applyFont="1" applyBorder="1" applyAlignment="1">
      <alignment vertical="top" wrapText="1"/>
    </xf>
    <xf numFmtId="0" fontId="5" fillId="2" borderId="0" xfId="1" applyFont="1" applyFill="1" applyAlignment="1">
      <alignment horizontal="centerContinuous"/>
    </xf>
    <xf numFmtId="0" fontId="13" fillId="2" borderId="0" xfId="1" applyFont="1" applyFill="1" applyAlignment="1">
      <alignment horizontal="centerContinuous"/>
    </xf>
    <xf numFmtId="2" fontId="5" fillId="2" borderId="0" xfId="1" applyNumberFormat="1" applyFont="1" applyFill="1" applyAlignment="1">
      <alignment horizontal="center" vertical="center" wrapText="1"/>
    </xf>
    <xf numFmtId="164" fontId="5" fillId="2" borderId="0" xfId="1" applyNumberFormat="1" applyFont="1" applyFill="1" applyAlignment="1">
      <alignment horizontal="centerContinuous" vertical="center" wrapText="1"/>
    </xf>
    <xf numFmtId="1" fontId="5" fillId="2" borderId="0" xfId="1" applyNumberFormat="1" applyFont="1" applyFill="1" applyAlignment="1">
      <alignment horizontal="center" vertical="center" wrapText="1"/>
    </xf>
    <xf numFmtId="0" fontId="19" fillId="6" borderId="6" xfId="1" applyFont="1" applyFill="1" applyBorder="1" applyAlignment="1">
      <alignment horizontal="centerContinuous" vertical="center"/>
    </xf>
    <xf numFmtId="0" fontId="7" fillId="6" borderId="6" xfId="1" applyFont="1" applyFill="1" applyBorder="1" applyAlignment="1">
      <alignment horizontal="centerContinuous" vertical="center"/>
    </xf>
    <xf numFmtId="0" fontId="20" fillId="0" borderId="0" xfId="1" applyFont="1" applyAlignment="1">
      <alignment horizontal="left" vertical="top"/>
    </xf>
    <xf numFmtId="0" fontId="2" fillId="0" borderId="0" xfId="1" applyFont="1" applyAlignment="1">
      <alignment horizontal="left" vertical="center" wrapText="1"/>
    </xf>
    <xf numFmtId="0" fontId="21" fillId="8" borderId="11" xfId="1" applyFont="1" applyFill="1" applyBorder="1" applyAlignment="1">
      <alignment horizontal="center" vertical="center"/>
    </xf>
    <xf numFmtId="0" fontId="21" fillId="8" borderId="11" xfId="1" applyFont="1" applyFill="1" applyBorder="1" applyAlignment="1">
      <alignment horizontal="center" vertical="center" wrapText="1"/>
    </xf>
    <xf numFmtId="0" fontId="13" fillId="0" borderId="0" xfId="1" applyFont="1" applyAlignment="1">
      <alignment horizontal="center"/>
    </xf>
    <xf numFmtId="0" fontId="22" fillId="0" borderId="0" xfId="1" applyFont="1"/>
    <xf numFmtId="0" fontId="5" fillId="0" borderId="24" xfId="1" applyFont="1" applyBorder="1" applyAlignment="1">
      <alignment horizontal="center" vertical="center" wrapText="1"/>
    </xf>
    <xf numFmtId="0" fontId="4" fillId="0" borderId="24" xfId="1" applyFont="1" applyBorder="1" applyAlignment="1">
      <alignment horizontal="center" vertical="center"/>
    </xf>
    <xf numFmtId="0" fontId="7" fillId="5" borderId="25" xfId="1" applyFont="1" applyFill="1" applyBorder="1" applyAlignment="1">
      <alignment horizontal="center" vertical="center"/>
    </xf>
    <xf numFmtId="0" fontId="2" fillId="0" borderId="0" xfId="2" applyFont="1" applyAlignment="1">
      <alignment horizontal="center" vertical="center"/>
    </xf>
    <xf numFmtId="0" fontId="7" fillId="5" borderId="26" xfId="1" applyFont="1" applyFill="1" applyBorder="1" applyAlignment="1">
      <alignment horizontal="center" vertical="center"/>
    </xf>
    <xf numFmtId="1" fontId="7" fillId="5" borderId="26" xfId="1" applyNumberFormat="1" applyFont="1" applyFill="1" applyBorder="1" applyAlignment="1">
      <alignment horizontal="center" vertical="center"/>
    </xf>
    <xf numFmtId="0" fontId="8" fillId="7" borderId="11" xfId="1" applyFont="1" applyFill="1" applyBorder="1" applyAlignment="1">
      <alignment horizontal="center" vertical="center"/>
    </xf>
    <xf numFmtId="0" fontId="24" fillId="9" borderId="11" xfId="1" applyFont="1" applyFill="1" applyBorder="1" applyAlignment="1">
      <alignment horizontal="center" vertical="center"/>
    </xf>
    <xf numFmtId="0" fontId="18" fillId="0" borderId="0" xfId="1" applyFont="1" applyAlignment="1">
      <alignment vertical="center"/>
    </xf>
    <xf numFmtId="0" fontId="20" fillId="0" borderId="0" xfId="1" applyFont="1" applyAlignment="1">
      <alignment horizontal="left"/>
    </xf>
    <xf numFmtId="0" fontId="22" fillId="0" borderId="0" xfId="1" applyFont="1" applyAlignment="1">
      <alignment vertical="center"/>
    </xf>
    <xf numFmtId="0" fontId="22" fillId="0" borderId="0" xfId="1" applyFont="1" applyAlignment="1">
      <alignment horizontal="left"/>
    </xf>
    <xf numFmtId="0" fontId="18" fillId="0" borderId="0" xfId="1" applyFont="1"/>
    <xf numFmtId="3" fontId="21" fillId="8" borderId="11" xfId="1" applyNumberFormat="1" applyFont="1" applyFill="1" applyBorder="1" applyAlignment="1">
      <alignment horizontal="center" vertical="center"/>
    </xf>
    <xf numFmtId="0" fontId="9" fillId="0" borderId="24" xfId="1" applyFont="1" applyBorder="1" applyAlignment="1">
      <alignment horizontal="center" vertical="center" wrapText="1"/>
    </xf>
    <xf numFmtId="0" fontId="5" fillId="0" borderId="27" xfId="1" applyFont="1" applyBorder="1" applyAlignment="1">
      <alignment horizontal="center" vertical="center"/>
    </xf>
    <xf numFmtId="0" fontId="4" fillId="0" borderId="28" xfId="1" applyFont="1" applyBorder="1" applyAlignment="1">
      <alignment horizontal="center" vertical="center"/>
    </xf>
    <xf numFmtId="0" fontId="23" fillId="0" borderId="27" xfId="1" applyFont="1" applyBorder="1" applyAlignment="1">
      <alignment horizontal="center" vertical="center"/>
    </xf>
    <xf numFmtId="0" fontId="2" fillId="2" borderId="0" xfId="1" applyFont="1" applyFill="1" applyAlignment="1">
      <alignment vertical="center"/>
    </xf>
    <xf numFmtId="0" fontId="24" fillId="10" borderId="11" xfId="3" applyFont="1" applyFill="1" applyBorder="1" applyAlignment="1">
      <alignment horizontal="center" vertical="center"/>
    </xf>
    <xf numFmtId="0" fontId="13" fillId="0" borderId="0" xfId="1" applyFont="1" applyAlignment="1">
      <alignment vertical="center"/>
    </xf>
    <xf numFmtId="0" fontId="26" fillId="0" borderId="0" xfId="1" applyFont="1"/>
    <xf numFmtId="0" fontId="25" fillId="11" borderId="11" xfId="3" applyFont="1" applyFill="1" applyBorder="1" applyAlignment="1">
      <alignment horizontal="center" vertical="center"/>
    </xf>
    <xf numFmtId="0" fontId="24" fillId="11" borderId="11" xfId="1" applyFont="1" applyFill="1" applyBorder="1" applyAlignment="1">
      <alignment horizontal="center" vertical="center"/>
    </xf>
    <xf numFmtId="0" fontId="18" fillId="0" borderId="0" xfId="1" applyFont="1" applyAlignment="1">
      <alignment horizontal="left" vertical="center"/>
    </xf>
    <xf numFmtId="0" fontId="27" fillId="0" borderId="0" xfId="1" applyFont="1"/>
    <xf numFmtId="0" fontId="1" fillId="0" borderId="0" xfId="4" applyAlignment="1">
      <alignment horizontal="center"/>
    </xf>
    <xf numFmtId="0" fontId="2" fillId="0" borderId="0" xfId="1" applyFont="1" applyAlignment="1">
      <alignment horizontal="center"/>
    </xf>
    <xf numFmtId="0" fontId="24" fillId="12" borderId="11" xfId="1" applyFont="1" applyFill="1" applyBorder="1" applyAlignment="1">
      <alignment horizontal="center" vertical="center"/>
    </xf>
    <xf numFmtId="0" fontId="28" fillId="0" borderId="0" xfId="1" applyFont="1" applyAlignment="1">
      <alignment vertical="center"/>
    </xf>
    <xf numFmtId="0" fontId="28" fillId="0" borderId="0" xfId="1" applyFont="1"/>
    <xf numFmtId="0" fontId="29" fillId="0" borderId="0" xfId="1" applyFont="1"/>
    <xf numFmtId="0" fontId="30" fillId="0" borderId="0" xfId="1" applyFont="1"/>
    <xf numFmtId="0" fontId="13" fillId="0" borderId="0" xfId="1" applyFont="1" applyAlignment="1">
      <alignment vertical="top"/>
    </xf>
    <xf numFmtId="0" fontId="2" fillId="0" borderId="0" xfId="0" applyFont="1" applyAlignment="1">
      <alignment horizontal="center"/>
    </xf>
    <xf numFmtId="0" fontId="19" fillId="3" borderId="6" xfId="1" applyFont="1" applyFill="1" applyBorder="1" applyAlignment="1">
      <alignment horizontal="centerContinuous" vertical="center"/>
    </xf>
    <xf numFmtId="0" fontId="6" fillId="8" borderId="1" xfId="0" applyFont="1" applyFill="1" applyBorder="1" applyAlignment="1">
      <alignment horizontal="center"/>
    </xf>
    <xf numFmtId="0" fontId="6" fillId="8" borderId="29" xfId="0" applyFont="1" applyFill="1" applyBorder="1" applyAlignment="1">
      <alignment horizontal="center"/>
    </xf>
    <xf numFmtId="0" fontId="6" fillId="8" borderId="30" xfId="0" applyFont="1" applyFill="1" applyBorder="1" applyAlignment="1">
      <alignment horizontal="left"/>
    </xf>
    <xf numFmtId="0" fontId="6" fillId="8" borderId="31" xfId="0" applyFont="1" applyFill="1" applyBorder="1" applyAlignment="1">
      <alignment horizontal="center"/>
    </xf>
    <xf numFmtId="0" fontId="6" fillId="8" borderId="32" xfId="0" applyFont="1" applyFill="1" applyBorder="1" applyAlignment="1">
      <alignment horizontal="center"/>
    </xf>
    <xf numFmtId="0" fontId="13" fillId="0" borderId="33" xfId="1" applyFont="1" applyBorder="1" applyAlignment="1">
      <alignment vertical="top"/>
    </xf>
    <xf numFmtId="0" fontId="13" fillId="0" borderId="34" xfId="1" applyFont="1" applyBorder="1" applyAlignment="1">
      <alignment vertical="top" wrapText="1"/>
    </xf>
    <xf numFmtId="0" fontId="13" fillId="0" borderId="35" xfId="1" applyFont="1" applyBorder="1"/>
    <xf numFmtId="0" fontId="13" fillId="0" borderId="36" xfId="1" applyFont="1" applyBorder="1"/>
    <xf numFmtId="0" fontId="13" fillId="0" borderId="36" xfId="1" applyFont="1" applyBorder="1" applyAlignment="1">
      <alignment vertical="top"/>
    </xf>
    <xf numFmtId="0" fontId="13" fillId="0" borderId="37" xfId="1" applyFont="1" applyBorder="1" applyAlignment="1">
      <alignment vertical="top" wrapText="1"/>
    </xf>
    <xf numFmtId="0" fontId="31" fillId="4" borderId="38" xfId="0" applyFont="1" applyFill="1" applyBorder="1" applyAlignment="1">
      <alignment horizontal="center"/>
    </xf>
    <xf numFmtId="0" fontId="22" fillId="0" borderId="0" xfId="0" applyFont="1"/>
    <xf numFmtId="0" fontId="10" fillId="0" borderId="0" xfId="0" applyFont="1"/>
    <xf numFmtId="0" fontId="10" fillId="0" borderId="34" xfId="0" applyFont="1" applyBorder="1"/>
    <xf numFmtId="0" fontId="31" fillId="5" borderId="5" xfId="0" applyFont="1" applyFill="1" applyBorder="1" applyAlignment="1">
      <alignment horizontal="center"/>
    </xf>
    <xf numFmtId="0" fontId="13" fillId="0" borderId="39" xfId="0" applyFont="1" applyBorder="1" applyAlignment="1">
      <alignment horizontal="center"/>
    </xf>
    <xf numFmtId="0" fontId="22" fillId="0" borderId="36" xfId="0" applyFont="1" applyBorder="1"/>
    <xf numFmtId="0" fontId="10" fillId="0" borderId="36" xfId="0" applyFont="1" applyBorder="1"/>
    <xf numFmtId="0" fontId="10" fillId="0" borderId="37" xfId="0" applyFont="1" applyBorder="1"/>
    <xf numFmtId="0" fontId="32" fillId="0" borderId="6" xfId="0" applyFont="1" applyBorder="1" applyAlignment="1">
      <alignment horizontal="centerContinuous"/>
    </xf>
    <xf numFmtId="0" fontId="33" fillId="0" borderId="6" xfId="0" applyFont="1" applyBorder="1" applyAlignment="1">
      <alignment horizontal="centerContinuous" wrapText="1"/>
    </xf>
    <xf numFmtId="0" fontId="21" fillId="8" borderId="40" xfId="1" applyFont="1" applyFill="1" applyBorder="1" applyAlignment="1">
      <alignment horizontal="center" vertical="center"/>
    </xf>
    <xf numFmtId="0" fontId="21" fillId="8" borderId="30" xfId="1" applyFont="1" applyFill="1" applyBorder="1" applyAlignment="1">
      <alignment horizontal="centerContinuous" vertical="center"/>
    </xf>
    <xf numFmtId="0" fontId="21" fillId="8" borderId="31" xfId="1" applyFont="1" applyFill="1" applyBorder="1" applyAlignment="1">
      <alignment horizontal="centerContinuous" vertical="center"/>
    </xf>
    <xf numFmtId="0" fontId="21" fillId="8" borderId="32" xfId="1" applyFont="1" applyFill="1" applyBorder="1" applyAlignment="1">
      <alignment horizontal="centerContinuous" vertical="center"/>
    </xf>
    <xf numFmtId="0" fontId="5" fillId="0" borderId="24" xfId="1" quotePrefix="1" applyFont="1" applyBorder="1" applyAlignment="1">
      <alignment horizontal="center" vertical="center" wrapText="1"/>
    </xf>
    <xf numFmtId="0" fontId="24" fillId="9" borderId="11" xfId="0" applyFont="1" applyFill="1" applyBorder="1" applyAlignment="1">
      <alignment horizontal="center" vertical="center"/>
    </xf>
    <xf numFmtId="0" fontId="34" fillId="0" borderId="0" xfId="1" applyFont="1" applyAlignment="1">
      <alignment horizontal="left"/>
    </xf>
    <xf numFmtId="0" fontId="13" fillId="0" borderId="17" xfId="1" applyFont="1" applyBorder="1"/>
    <xf numFmtId="0" fontId="36" fillId="2" borderId="0" xfId="1" applyFont="1" applyFill="1"/>
    <xf numFmtId="3" fontId="2" fillId="2" borderId="0" xfId="1" applyNumberFormat="1" applyFont="1" applyFill="1"/>
    <xf numFmtId="0" fontId="2" fillId="2" borderId="0" xfId="1" applyFont="1" applyFill="1"/>
    <xf numFmtId="0" fontId="10" fillId="2" borderId="0" xfId="1" applyFont="1" applyFill="1" applyAlignment="1">
      <alignment vertical="top" wrapText="1"/>
    </xf>
    <xf numFmtId="0" fontId="10" fillId="2" borderId="0" xfId="1" applyFont="1" applyFill="1"/>
    <xf numFmtId="0" fontId="6" fillId="13" borderId="11" xfId="1" applyFont="1" applyFill="1" applyBorder="1" applyAlignment="1">
      <alignment horizontal="center" vertical="center"/>
    </xf>
    <xf numFmtId="3" fontId="6" fillId="13" borderId="11" xfId="1" applyNumberFormat="1" applyFont="1" applyFill="1" applyBorder="1" applyAlignment="1">
      <alignment horizontal="center" vertical="center"/>
    </xf>
    <xf numFmtId="0" fontId="9" fillId="2" borderId="41" xfId="1" applyFont="1" applyFill="1" applyBorder="1" applyAlignment="1">
      <alignment horizontal="center" vertical="center" wrapText="1"/>
    </xf>
    <xf numFmtId="1" fontId="7" fillId="5" borderId="25" xfId="1" applyNumberFormat="1" applyFont="1" applyFill="1" applyBorder="1" applyAlignment="1">
      <alignment horizontal="center" vertical="center"/>
    </xf>
    <xf numFmtId="0" fontId="4" fillId="0" borderId="41" xfId="2" applyFont="1" applyBorder="1" applyAlignment="1">
      <alignment horizontal="center" vertical="center"/>
    </xf>
    <xf numFmtId="0" fontId="9" fillId="2" borderId="24" xfId="1" applyFont="1" applyFill="1" applyBorder="1" applyAlignment="1">
      <alignment horizontal="center" vertical="center" wrapText="1"/>
    </xf>
    <xf numFmtId="0" fontId="4" fillId="0" borderId="24" xfId="2" applyFont="1" applyBorder="1" applyAlignment="1">
      <alignment horizontal="center" vertical="center"/>
    </xf>
    <xf numFmtId="0" fontId="2" fillId="2" borderId="0" xfId="1" applyFont="1" applyFill="1" applyAlignment="1">
      <alignment horizontal="center"/>
    </xf>
    <xf numFmtId="3" fontId="2" fillId="2" borderId="0" xfId="1" applyNumberFormat="1" applyFont="1" applyFill="1" applyAlignment="1">
      <alignment horizontal="center"/>
    </xf>
    <xf numFmtId="0" fontId="37" fillId="0" borderId="0" xfId="2" applyFont="1" applyAlignment="1">
      <alignment horizontal="center" vertical="center"/>
    </xf>
    <xf numFmtId="0" fontId="2" fillId="0" borderId="0" xfId="5" applyFont="1" applyAlignment="1">
      <alignment vertical="center"/>
    </xf>
    <xf numFmtId="0" fontId="38" fillId="0" borderId="0" xfId="5" applyFont="1" applyAlignment="1">
      <alignment horizontal="center" vertical="center"/>
    </xf>
    <xf numFmtId="0" fontId="2" fillId="0" borderId="0" xfId="5" applyFont="1" applyAlignment="1">
      <alignment horizontal="center" vertical="center"/>
    </xf>
    <xf numFmtId="0" fontId="10" fillId="0" borderId="0" xfId="5" applyFont="1" applyAlignment="1">
      <alignment vertical="center"/>
    </xf>
    <xf numFmtId="0" fontId="39" fillId="8" borderId="19" xfId="2" applyFont="1" applyFill="1" applyBorder="1" applyAlignment="1">
      <alignment horizontal="centerContinuous" vertical="center"/>
    </xf>
    <xf numFmtId="0" fontId="39" fillId="8" borderId="0" xfId="2" applyFont="1" applyFill="1" applyAlignment="1">
      <alignment horizontal="centerContinuous" vertical="center"/>
    </xf>
    <xf numFmtId="0" fontId="32" fillId="0" borderId="12" xfId="2" applyFont="1" applyBorder="1" applyAlignment="1">
      <alignment horizontal="centerContinuous"/>
    </xf>
    <xf numFmtId="0" fontId="32" fillId="0" borderId="42" xfId="2" applyFont="1" applyBorder="1" applyAlignment="1">
      <alignment horizontal="centerContinuous"/>
    </xf>
    <xf numFmtId="0" fontId="32" fillId="0" borderId="13" xfId="2" applyFont="1" applyBorder="1" applyAlignment="1">
      <alignment horizontal="centerContinuous"/>
    </xf>
    <xf numFmtId="0" fontId="40" fillId="0" borderId="0" xfId="2" applyFont="1"/>
    <xf numFmtId="0" fontId="33" fillId="0" borderId="0" xfId="2" applyFont="1" applyAlignment="1">
      <alignment wrapText="1"/>
    </xf>
    <xf numFmtId="0" fontId="41" fillId="7" borderId="0" xfId="3" applyFont="1" applyFill="1" applyAlignment="1">
      <alignment horizontal="centerContinuous" vertical="center" wrapText="1"/>
    </xf>
    <xf numFmtId="0" fontId="10" fillId="0" borderId="0" xfId="5" applyFont="1" applyAlignment="1">
      <alignment horizontal="left" vertical="center"/>
    </xf>
    <xf numFmtId="0" fontId="2" fillId="0" borderId="0" xfId="5" applyFont="1" applyAlignment="1">
      <alignment horizontal="left" vertical="center"/>
    </xf>
    <xf numFmtId="0" fontId="42" fillId="0" borderId="0" xfId="6"/>
    <xf numFmtId="0" fontId="39" fillId="6" borderId="6" xfId="3" applyFont="1" applyFill="1" applyBorder="1" applyAlignment="1">
      <alignment horizontal="centerContinuous" vertical="center"/>
    </xf>
    <xf numFmtId="0" fontId="43" fillId="6" borderId="6" xfId="3" applyFont="1" applyFill="1" applyBorder="1" applyAlignment="1">
      <alignment horizontal="centerContinuous" vertical="center"/>
    </xf>
    <xf numFmtId="0" fontId="30" fillId="0" borderId="0" xfId="5" applyFont="1" applyAlignment="1">
      <alignment vertical="center"/>
    </xf>
    <xf numFmtId="0" fontId="45" fillId="0" borderId="0" xfId="5" applyFont="1" applyAlignment="1">
      <alignment horizontal="left" vertical="center"/>
    </xf>
    <xf numFmtId="0" fontId="46" fillId="0" borderId="0" xfId="0" applyFont="1"/>
    <xf numFmtId="0" fontId="44" fillId="0" borderId="30" xfId="5" applyFont="1" applyBorder="1" applyAlignment="1">
      <alignment horizontal="left" vertical="top" wrapText="1"/>
    </xf>
    <xf numFmtId="0" fontId="44" fillId="0" borderId="31" xfId="5" applyFont="1" applyBorder="1" applyAlignment="1">
      <alignment horizontal="left" vertical="top" wrapText="1"/>
    </xf>
    <xf numFmtId="0" fontId="44" fillId="0" borderId="32" xfId="5" applyFont="1" applyBorder="1" applyAlignment="1">
      <alignment horizontal="left" vertical="top" wrapText="1"/>
    </xf>
    <xf numFmtId="0" fontId="44" fillId="0" borderId="35" xfId="5" applyFont="1" applyBorder="1" applyAlignment="1">
      <alignment horizontal="left" vertical="top" wrapText="1"/>
    </xf>
    <xf numFmtId="0" fontId="44" fillId="0" borderId="36" xfId="5" applyFont="1" applyBorder="1" applyAlignment="1">
      <alignment horizontal="left" vertical="top" wrapText="1"/>
    </xf>
    <xf numFmtId="0" fontId="44" fillId="0" borderId="37" xfId="5" applyFont="1" applyBorder="1" applyAlignment="1">
      <alignment horizontal="left" vertical="top" wrapText="1"/>
    </xf>
    <xf numFmtId="165" fontId="23" fillId="0" borderId="15" xfId="1" applyNumberFormat="1" applyFont="1" applyBorder="1" applyAlignment="1">
      <alignment horizontal="left" vertical="center" wrapText="1"/>
    </xf>
    <xf numFmtId="165" fontId="23" fillId="0" borderId="6" xfId="1" applyNumberFormat="1" applyFont="1" applyBorder="1" applyAlignment="1">
      <alignment horizontal="left" vertical="center" wrapText="1"/>
    </xf>
  </cellXfs>
  <cellStyles count="7">
    <cellStyle name="Normal 2" xfId="3" xr:uid="{CCDA6757-D407-4EE9-A2F5-4E038EBAC702}"/>
    <cellStyle name="Normal 2 2" xfId="2" xr:uid="{BB09EF48-CCD4-4BDA-8D17-C33CE6E1318F}"/>
    <cellStyle name="Normal 2 3" xfId="4" xr:uid="{0483E27F-C366-4295-8F06-F45E48299302}"/>
    <cellStyle name="Normal 3 2" xfId="5" xr:uid="{7E4A010D-4F49-4F2B-BF12-69E77521A6D7}"/>
    <cellStyle name="Normal 3 3" xfId="1" xr:uid="{C88915C7-FFDF-4055-87BA-9E5FF413077F}"/>
    <cellStyle name="Normal 4" xfId="6" xr:uid="{9D8F9D63-BBA1-4B16-B031-EE8291C3F0E4}"/>
    <cellStyle name="Normalny" xfId="0" builtinId="0"/>
  </cellStyles>
  <dxfs count="0"/>
  <tableStyles count="1" defaultTableStyle="TableStyleMedium2" defaultPivotStyle="PivotStyleLight16">
    <tableStyle name="Invisible" pivot="0" table="0" count="0" xr9:uid="{85AC6DF2-663C-4EA7-906E-DFE30A529799}"/>
  </tableStyles>
  <colors>
    <mruColors>
      <color rgb="FFBC1F36"/>
      <color rgb="FF161C49"/>
      <color rgb="FF006837"/>
      <color rgb="FF228AB8"/>
      <color rgb="FF0EB9EE"/>
      <color rgb="FFA1D5ED"/>
      <color rgb="FFF7A600"/>
      <color rgb="FFC7D64F"/>
      <color rgb="FF3686CE"/>
      <color rgb="FFD5DB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youtube.com/watch?v=_SLj-y2DEm0" TargetMode="External"/><Relationship Id="rId2" Type="http://schemas.openxmlformats.org/officeDocument/2006/relationships/hyperlink" Target="https://mecc.college/certificate-of-completion/" TargetMode="External"/><Relationship Id="rId1" Type="http://schemas.openxmlformats.org/officeDocument/2006/relationships/hyperlink" Target="https://mecc.college/job-board/" TargetMode="External"/><Relationship Id="rId5" Type="http://schemas.openxmlformats.org/officeDocument/2006/relationships/image" Target="../media/image1.png"/><Relationship Id="rId4" Type="http://schemas.openxmlformats.org/officeDocument/2006/relationships/hyperlink" Target="https://mecc.college/january-battle-feeding-excelopolis-jv/"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0</xdr:colOff>
      <xdr:row>10</xdr:row>
      <xdr:rowOff>9524</xdr:rowOff>
    </xdr:from>
    <xdr:to>
      <xdr:col>23</xdr:col>
      <xdr:colOff>0</xdr:colOff>
      <xdr:row>12</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BC7DA3B-4C16-48A5-82DE-1FFD633D20C4}"/>
            </a:ext>
          </a:extLst>
        </xdr:cNvPr>
        <xdr:cNvSpPr/>
      </xdr:nvSpPr>
      <xdr:spPr>
        <a:xfrm>
          <a:off x="13306425" y="3438524"/>
          <a:ext cx="3048000" cy="1514476"/>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a:t>
          </a:r>
        </a:p>
        <a:p>
          <a:pPr algn="ctr"/>
          <a:r>
            <a:rPr lang="en-US" sz="2000" b="1">
              <a:latin typeface="FUTURA MEDIUM" panose="020B0602020204020303" pitchFamily="34" charset="-79"/>
              <a:cs typeface="FUTURA MEDIUM" panose="020B0602020204020303" pitchFamily="34" charset="-79"/>
            </a:rPr>
            <a:t>Job Postings</a:t>
          </a:r>
          <a:endParaRPr lang="en-US" sz="1800" b="1">
            <a:latin typeface="FUTURA MEDIUM" panose="020B0602020204020303" pitchFamily="34" charset="-79"/>
            <a:cs typeface="FUTURA MEDIUM" panose="020B0602020204020303" pitchFamily="34" charset="-79"/>
          </a:endParaRPr>
        </a:p>
      </xdr:txBody>
    </xdr:sp>
    <xdr:clientData/>
  </xdr:twoCellAnchor>
  <xdr:twoCellAnchor>
    <xdr:from>
      <xdr:col>19</xdr:col>
      <xdr:colOff>0</xdr:colOff>
      <xdr:row>13</xdr:row>
      <xdr:rowOff>12698</xdr:rowOff>
    </xdr:from>
    <xdr:to>
      <xdr:col>23</xdr:col>
      <xdr:colOff>0</xdr:colOff>
      <xdr:row>15</xdr:row>
      <xdr:rowOff>-1</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F2E0B6AC-7F7E-4D06-897F-9B9AFA363F17}"/>
            </a:ext>
          </a:extLst>
        </xdr:cNvPr>
        <xdr:cNvSpPr/>
      </xdr:nvSpPr>
      <xdr:spPr>
        <a:xfrm>
          <a:off x="13306425" y="5156198"/>
          <a:ext cx="3048000" cy="1511301"/>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More About </a:t>
          </a:r>
        </a:p>
        <a:p>
          <a:pPr algn="ctr"/>
          <a:r>
            <a:rPr lang="en-US" sz="2000" b="1" baseline="0">
              <a:latin typeface="FUTURA MEDIUM" panose="020B0602020204020303" pitchFamily="34" charset="-79"/>
              <a:cs typeface="FUTURA MEDIUM" panose="020B0602020204020303" pitchFamily="34" charset="-79"/>
            </a:rPr>
            <a:t>MECC Badges</a:t>
          </a:r>
          <a:endParaRPr lang="en-US" sz="1800" b="1">
            <a:latin typeface="FUTURA MEDIUM" panose="020B0602020204020303" pitchFamily="34" charset="-79"/>
            <a:cs typeface="FUTURA MEDIUM" panose="020B0602020204020303" pitchFamily="34" charset="-79"/>
          </a:endParaRPr>
        </a:p>
      </xdr:txBody>
    </xdr:sp>
    <xdr:clientData/>
  </xdr:twoCellAnchor>
  <xdr:twoCellAnchor>
    <xdr:from>
      <xdr:col>19</xdr:col>
      <xdr:colOff>0</xdr:colOff>
      <xdr:row>1</xdr:row>
      <xdr:rowOff>17318</xdr:rowOff>
    </xdr:from>
    <xdr:to>
      <xdr:col>23</xdr:col>
      <xdr:colOff>0</xdr:colOff>
      <xdr:row>4</xdr:row>
      <xdr:rowOff>362858</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6BC6376F-3832-4B22-B285-E0CC17D72E8B}"/>
            </a:ext>
          </a:extLst>
        </xdr:cNvPr>
        <xdr:cNvSpPr/>
      </xdr:nvSpPr>
      <xdr:spPr>
        <a:xfrm>
          <a:off x="15185571" y="216889"/>
          <a:ext cx="3483429" cy="1488540"/>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a:t>
          </a:r>
        </a:p>
        <a:p>
          <a:pPr algn="ctr"/>
          <a:r>
            <a:rPr lang="en-US" sz="2000" b="1" baseline="0">
              <a:latin typeface="FUTURA MEDIUM" panose="020B0602020204020303" pitchFamily="34" charset="-79"/>
              <a:cs typeface="FUTURA MEDIUM" panose="020B0602020204020303" pitchFamily="34" charset="-79"/>
            </a:rPr>
            <a:t>Walkthrough Video</a:t>
          </a:r>
          <a:endParaRPr lang="en-US" sz="1800" b="1">
            <a:latin typeface="FUTURA MEDIUM" panose="020B0602020204020303" pitchFamily="34" charset="-79"/>
            <a:cs typeface="FUTURA MEDIUM" panose="020B0602020204020303" pitchFamily="34" charset="-79"/>
          </a:endParaRPr>
        </a:p>
      </xdr:txBody>
    </xdr:sp>
    <xdr:clientData/>
  </xdr:twoCellAnchor>
  <xdr:twoCellAnchor>
    <xdr:from>
      <xdr:col>19</xdr:col>
      <xdr:colOff>0</xdr:colOff>
      <xdr:row>5</xdr:row>
      <xdr:rowOff>217715</xdr:rowOff>
    </xdr:from>
    <xdr:to>
      <xdr:col>23</xdr:col>
      <xdr:colOff>0</xdr:colOff>
      <xdr:row>8</xdr:row>
      <xdr:rowOff>370568</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0D8C07B-7319-4965-84B7-22E7B5D6EC1E}"/>
            </a:ext>
          </a:extLst>
        </xdr:cNvPr>
        <xdr:cNvSpPr/>
      </xdr:nvSpPr>
      <xdr:spPr>
        <a:xfrm>
          <a:off x="15185571" y="1941286"/>
          <a:ext cx="3483429" cy="1295853"/>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Additional </a:t>
          </a:r>
        </a:p>
        <a:p>
          <a:pPr algn="ctr"/>
          <a:r>
            <a:rPr lang="en-US" sz="2000" b="1" baseline="0">
              <a:latin typeface="FUTURA MEDIUM" panose="020B0602020204020303" pitchFamily="34" charset="-79"/>
              <a:cs typeface="FUTURA MEDIUM" panose="020B0602020204020303" pitchFamily="34" charset="-79"/>
            </a:rPr>
            <a:t>Case Resources</a:t>
          </a:r>
          <a:endParaRPr lang="en-US" sz="1800" b="1">
            <a:latin typeface="FUTURA MEDIUM" panose="020B0602020204020303" pitchFamily="34" charset="-79"/>
            <a:cs typeface="FUTURA MEDIUM" panose="020B0602020204020303" pitchFamily="34" charset="-79"/>
          </a:endParaRPr>
        </a:p>
      </xdr:txBody>
    </xdr:sp>
    <xdr:clientData/>
  </xdr:twoCellAnchor>
  <xdr:twoCellAnchor editAs="oneCell">
    <xdr:from>
      <xdr:col>1</xdr:col>
      <xdr:colOff>0</xdr:colOff>
      <xdr:row>1</xdr:row>
      <xdr:rowOff>0</xdr:rowOff>
    </xdr:from>
    <xdr:to>
      <xdr:col>12</xdr:col>
      <xdr:colOff>0</xdr:colOff>
      <xdr:row>7</xdr:row>
      <xdr:rowOff>91440</xdr:rowOff>
    </xdr:to>
    <xdr:pic>
      <xdr:nvPicPr>
        <xdr:cNvPr id="7" name="Picture 6">
          <a:extLst>
            <a:ext uri="{FF2B5EF4-FFF2-40B4-BE49-F238E27FC236}">
              <a16:creationId xmlns:a16="http://schemas.microsoft.com/office/drawing/2014/main" id="{BF36A282-C0CB-41D7-8735-23439D0221D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71475" y="190500"/>
          <a:ext cx="8382000" cy="2377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9525</xdr:rowOff>
    </xdr:from>
    <xdr:to>
      <xdr:col>11</xdr:col>
      <xdr:colOff>482600</xdr:colOff>
      <xdr:row>11</xdr:row>
      <xdr:rowOff>125210</xdr:rowOff>
    </xdr:to>
    <xdr:pic>
      <xdr:nvPicPr>
        <xdr:cNvPr id="2" name="Picture 1">
          <a:extLst>
            <a:ext uri="{FF2B5EF4-FFF2-40B4-BE49-F238E27FC236}">
              <a16:creationId xmlns:a16="http://schemas.microsoft.com/office/drawing/2014/main" id="{CABF4291-BD2F-4B37-ADBD-CFC9E38C21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1190625"/>
          <a:ext cx="9807575" cy="27826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9525</xdr:rowOff>
    </xdr:from>
    <xdr:to>
      <xdr:col>12</xdr:col>
      <xdr:colOff>6350</xdr:colOff>
      <xdr:row>11</xdr:row>
      <xdr:rowOff>125210</xdr:rowOff>
    </xdr:to>
    <xdr:pic>
      <xdr:nvPicPr>
        <xdr:cNvPr id="2" name="Picture 1">
          <a:extLst>
            <a:ext uri="{FF2B5EF4-FFF2-40B4-BE49-F238E27FC236}">
              <a16:creationId xmlns:a16="http://schemas.microsoft.com/office/drawing/2014/main" id="{33F58174-97A1-47D6-AB89-6B9AB9D4F4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1190625"/>
          <a:ext cx="9378950" cy="2782685"/>
        </a:xfrm>
        <a:prstGeom prst="rect">
          <a:avLst/>
        </a:prstGeom>
      </xdr:spPr>
    </xdr:pic>
    <xdr:clientData/>
  </xdr:twoCellAnchor>
</xdr:wsDr>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D9824-76DC-4B38-8E1D-475BD0024843}">
  <sheetPr>
    <tabColor rgb="FFBC1F36"/>
  </sheetPr>
  <dimension ref="A1:XX1000"/>
  <sheetViews>
    <sheetView showGridLines="0" zoomScale="70" zoomScaleNormal="70" zoomScaleSheetLayoutView="100" workbookViewId="0"/>
  </sheetViews>
  <sheetFormatPr defaultColWidth="10.42578125" defaultRowHeight="20.100000000000001" customHeight="1"/>
  <cols>
    <col min="1" max="1" width="5.42578125" style="132" customWidth="1"/>
    <col min="2" max="9" width="11.42578125" style="134" customWidth="1"/>
    <col min="10" max="12" width="11.42578125" style="132" customWidth="1"/>
    <col min="13" max="13" width="5.42578125" style="132" customWidth="1"/>
    <col min="14" max="18" width="11.42578125" style="132" customWidth="1"/>
    <col min="19" max="19" width="5.42578125" style="132" customWidth="1"/>
    <col min="20" max="20" width="11.42578125" style="132" customWidth="1"/>
    <col min="21" max="23" width="11.42578125" style="135" customWidth="1"/>
    <col min="24" max="16384" width="10.42578125" style="135"/>
  </cols>
  <sheetData>
    <row r="1" spans="2:24" ht="15" customHeight="1">
      <c r="B1" s="132"/>
      <c r="C1" s="132"/>
      <c r="D1" s="132"/>
      <c r="E1" s="132"/>
      <c r="F1" s="132"/>
      <c r="G1" s="132"/>
      <c r="H1" s="132"/>
      <c r="I1" s="132"/>
      <c r="P1" s="133"/>
      <c r="Q1" s="134"/>
      <c r="R1" s="134"/>
    </row>
    <row r="2" spans="2:24" ht="30" customHeight="1">
      <c r="B2" s="132"/>
      <c r="C2" s="132"/>
      <c r="D2" s="132"/>
      <c r="E2" s="132"/>
      <c r="F2" s="132"/>
      <c r="G2" s="132"/>
      <c r="H2" s="132"/>
      <c r="I2" s="132"/>
      <c r="N2" s="136" t="s">
        <v>83</v>
      </c>
      <c r="O2" s="137"/>
      <c r="P2" s="137"/>
      <c r="Q2" s="137"/>
      <c r="R2" s="137"/>
    </row>
    <row r="3" spans="2:24" ht="30" customHeight="1">
      <c r="B3" s="132"/>
      <c r="C3" s="132"/>
      <c r="D3" s="132"/>
      <c r="E3" s="132"/>
      <c r="F3" s="132"/>
      <c r="G3" s="132"/>
      <c r="H3" s="132"/>
      <c r="I3" s="132"/>
      <c r="N3" s="138" t="s">
        <v>88</v>
      </c>
      <c r="O3" s="139"/>
      <c r="P3" s="139"/>
      <c r="Q3" s="139"/>
      <c r="R3" s="140"/>
      <c r="S3" s="134"/>
      <c r="T3" s="135"/>
      <c r="W3" s="132"/>
      <c r="X3" s="132"/>
    </row>
    <row r="4" spans="2:24" ht="30" customHeight="1">
      <c r="B4" s="132"/>
      <c r="C4" s="132"/>
      <c r="D4" s="132"/>
      <c r="E4" s="132"/>
      <c r="F4" s="132"/>
      <c r="G4" s="132"/>
      <c r="H4" s="132"/>
      <c r="I4" s="132"/>
      <c r="N4" s="141"/>
      <c r="O4" s="142"/>
      <c r="P4" s="134"/>
      <c r="Q4" s="134"/>
      <c r="R4" s="134"/>
      <c r="S4" s="134"/>
      <c r="T4" s="135"/>
      <c r="W4" s="132"/>
    </row>
    <row r="5" spans="2:24" ht="30" customHeight="1">
      <c r="B5" s="132"/>
      <c r="C5" s="132"/>
      <c r="D5" s="132"/>
      <c r="E5" s="132"/>
      <c r="F5" s="132"/>
      <c r="G5" s="132"/>
      <c r="H5" s="132"/>
      <c r="I5" s="132"/>
      <c r="N5" s="136" t="s">
        <v>84</v>
      </c>
      <c r="O5" s="137"/>
      <c r="P5" s="137"/>
      <c r="Q5" s="137"/>
      <c r="R5" s="137"/>
      <c r="S5" s="134"/>
      <c r="T5" s="135"/>
      <c r="W5" s="132"/>
    </row>
    <row r="6" spans="2:24" ht="30" customHeight="1">
      <c r="B6" s="132"/>
      <c r="C6" s="132"/>
      <c r="D6" s="132"/>
      <c r="E6" s="132"/>
      <c r="F6" s="132"/>
      <c r="G6" s="132"/>
      <c r="H6" s="132"/>
      <c r="I6" s="132"/>
      <c r="N6" s="138" t="s">
        <v>85</v>
      </c>
      <c r="O6" s="139"/>
      <c r="P6" s="139"/>
      <c r="Q6" s="139"/>
      <c r="R6" s="140"/>
      <c r="S6" s="134"/>
      <c r="T6" s="135"/>
      <c r="W6" s="132"/>
      <c r="X6" s="132"/>
    </row>
    <row r="7" spans="2:24" ht="30" customHeight="1">
      <c r="B7" s="132"/>
      <c r="C7" s="132"/>
      <c r="D7" s="132"/>
      <c r="E7" s="132"/>
      <c r="F7" s="132"/>
      <c r="G7" s="132"/>
      <c r="H7" s="132"/>
      <c r="I7" s="132"/>
      <c r="N7" s="138" t="s">
        <v>86</v>
      </c>
      <c r="O7" s="139"/>
      <c r="P7" s="139"/>
      <c r="Q7" s="139"/>
      <c r="R7" s="140"/>
      <c r="T7" s="135"/>
      <c r="W7" s="132"/>
      <c r="X7" s="132"/>
    </row>
    <row r="8" spans="2:24" ht="30" customHeight="1">
      <c r="B8" s="132"/>
      <c r="C8" s="132"/>
      <c r="D8" s="132"/>
      <c r="E8" s="132"/>
      <c r="F8" s="132"/>
      <c r="G8" s="132"/>
      <c r="H8" s="132"/>
      <c r="I8" s="132"/>
      <c r="N8" s="138" t="s">
        <v>87</v>
      </c>
      <c r="O8" s="139"/>
      <c r="P8" s="139"/>
      <c r="Q8" s="139"/>
      <c r="R8" s="140"/>
      <c r="S8" s="135"/>
      <c r="T8" s="135"/>
      <c r="W8" s="132"/>
      <c r="X8" s="132"/>
    </row>
    <row r="9" spans="2:24" ht="30" customHeight="1">
      <c r="B9" s="143" t="s">
        <v>155</v>
      </c>
      <c r="C9" s="143"/>
      <c r="D9" s="143"/>
      <c r="E9" s="143"/>
      <c r="F9" s="143"/>
      <c r="G9" s="143"/>
      <c r="H9" s="143"/>
      <c r="I9" s="143"/>
      <c r="J9" s="143"/>
      <c r="K9" s="143"/>
      <c r="L9" s="143"/>
      <c r="N9" s="138" t="s">
        <v>131</v>
      </c>
      <c r="O9" s="139"/>
      <c r="P9" s="139"/>
      <c r="Q9" s="139"/>
      <c r="R9" s="140"/>
      <c r="S9" s="134"/>
      <c r="T9" s="135"/>
    </row>
    <row r="10" spans="2:24" ht="15" customHeight="1">
      <c r="B10" s="144"/>
      <c r="C10" s="145"/>
      <c r="D10" s="146"/>
      <c r="H10" s="135"/>
      <c r="I10" s="135"/>
      <c r="J10" s="135"/>
      <c r="K10" s="135"/>
      <c r="O10" s="145"/>
      <c r="P10" s="134"/>
      <c r="Q10" s="134"/>
      <c r="R10" s="134"/>
      <c r="S10" s="134"/>
      <c r="T10" s="135"/>
      <c r="W10" s="132"/>
    </row>
    <row r="11" spans="2:24" ht="30" customHeight="1" thickBot="1">
      <c r="B11" s="147" t="s">
        <v>149</v>
      </c>
      <c r="C11" s="148"/>
      <c r="D11" s="148"/>
      <c r="E11" s="148"/>
      <c r="F11" s="148"/>
      <c r="G11" s="148"/>
      <c r="H11" s="148"/>
      <c r="I11" s="148"/>
      <c r="J11" s="148"/>
      <c r="K11" s="148"/>
      <c r="L11" s="148"/>
      <c r="N11" s="147" t="s">
        <v>150</v>
      </c>
      <c r="O11" s="148"/>
      <c r="P11" s="148"/>
      <c r="Q11" s="148"/>
      <c r="R11" s="148"/>
      <c r="U11" s="132"/>
      <c r="V11" s="132"/>
      <c r="W11" s="132"/>
    </row>
    <row r="12" spans="2:24" ht="90" customHeight="1" thickBot="1">
      <c r="B12" s="152" t="s">
        <v>151</v>
      </c>
      <c r="C12" s="153"/>
      <c r="D12" s="153"/>
      <c r="E12" s="153"/>
      <c r="F12" s="153"/>
      <c r="G12" s="153"/>
      <c r="H12" s="153"/>
      <c r="I12" s="153"/>
      <c r="J12" s="153"/>
      <c r="K12" s="153"/>
      <c r="L12" s="154"/>
      <c r="N12" s="155" t="s">
        <v>152</v>
      </c>
      <c r="O12" s="156"/>
      <c r="P12" s="156"/>
      <c r="Q12" s="156"/>
      <c r="R12" s="157"/>
      <c r="S12" s="134"/>
      <c r="T12" s="135"/>
      <c r="W12" s="132"/>
    </row>
    <row r="13" spans="2:24" ht="15" customHeight="1">
      <c r="B13" s="144"/>
      <c r="C13" s="145"/>
      <c r="D13" s="146"/>
      <c r="H13" s="135"/>
      <c r="I13" s="135"/>
      <c r="J13" s="135"/>
      <c r="K13" s="135"/>
      <c r="N13" s="134"/>
      <c r="O13" s="134"/>
      <c r="P13" s="134"/>
      <c r="Q13" s="134"/>
      <c r="R13" s="134"/>
      <c r="S13" s="134"/>
      <c r="T13" s="134"/>
      <c r="U13" s="134"/>
      <c r="V13" s="132"/>
      <c r="W13" s="132"/>
    </row>
    <row r="14" spans="2:24" ht="30" customHeight="1">
      <c r="B14" s="132"/>
      <c r="C14" s="132"/>
      <c r="D14" s="132"/>
      <c r="E14" s="132"/>
      <c r="F14" s="132"/>
      <c r="G14" s="132"/>
      <c r="H14" s="132"/>
      <c r="I14" s="132"/>
      <c r="N14" s="147" t="s">
        <v>153</v>
      </c>
      <c r="O14" s="148"/>
      <c r="P14" s="148"/>
      <c r="Q14" s="148"/>
      <c r="R14" s="148"/>
      <c r="U14" s="132"/>
      <c r="V14" s="132"/>
      <c r="W14" s="132"/>
      <c r="X14" s="132"/>
    </row>
    <row r="15" spans="2:24" ht="90" customHeight="1" thickBot="1">
      <c r="B15" s="144"/>
      <c r="C15" s="145"/>
      <c r="D15" s="146"/>
      <c r="H15" s="135"/>
      <c r="I15" s="135"/>
      <c r="J15" s="135"/>
      <c r="K15" s="135"/>
      <c r="N15" s="155" t="s">
        <v>154</v>
      </c>
      <c r="O15" s="156"/>
      <c r="P15" s="156"/>
      <c r="Q15" s="156"/>
      <c r="R15" s="157"/>
      <c r="S15" s="134"/>
      <c r="T15" s="135"/>
      <c r="W15" s="132"/>
    </row>
    <row r="16" spans="2:24" ht="20.100000000000001" customHeight="1">
      <c r="X16" s="132"/>
    </row>
    <row r="17" spans="1:24" ht="30" customHeight="1">
      <c r="A17" s="135"/>
      <c r="B17" s="135"/>
      <c r="C17" s="135"/>
      <c r="D17" s="135"/>
      <c r="E17" s="135"/>
      <c r="F17" s="135"/>
      <c r="G17" s="135"/>
      <c r="H17" s="135"/>
      <c r="I17" s="135"/>
      <c r="J17" s="135"/>
      <c r="K17" s="135"/>
      <c r="L17" s="135"/>
      <c r="M17" s="135"/>
      <c r="N17" s="135"/>
      <c r="O17" s="135"/>
      <c r="P17" s="135"/>
      <c r="Q17" s="135"/>
      <c r="R17" s="135"/>
      <c r="S17" s="135"/>
      <c r="T17" s="135"/>
      <c r="X17" s="132"/>
    </row>
    <row r="18" spans="1:24" ht="30" customHeight="1">
      <c r="A18" s="135"/>
      <c r="B18" s="135"/>
      <c r="C18" s="135"/>
      <c r="D18" s="135"/>
      <c r="E18" s="135"/>
      <c r="F18" s="135"/>
      <c r="G18" s="135"/>
      <c r="H18" s="135"/>
      <c r="I18" s="135"/>
      <c r="J18" s="135"/>
      <c r="K18" s="135"/>
      <c r="L18" s="135"/>
      <c r="M18" s="135"/>
      <c r="N18" s="135"/>
      <c r="O18" s="135"/>
      <c r="P18" s="135"/>
      <c r="Q18" s="135"/>
      <c r="R18" s="135"/>
      <c r="S18" s="135"/>
      <c r="T18" s="135"/>
      <c r="X18" s="132"/>
    </row>
    <row r="19" spans="1:24" s="149" customFormat="1" ht="30" customHeight="1">
      <c r="N19" s="134"/>
      <c r="O19" s="134"/>
      <c r="P19" s="134"/>
      <c r="Q19" s="134"/>
      <c r="R19" s="134"/>
      <c r="S19" s="134"/>
      <c r="T19" s="134"/>
      <c r="U19" s="134"/>
      <c r="V19" s="132"/>
      <c r="W19" s="132"/>
      <c r="X19" s="132"/>
    </row>
    <row r="20" spans="1:24" ht="30" customHeight="1">
      <c r="A20" s="135"/>
      <c r="B20" s="135"/>
      <c r="C20" s="135"/>
      <c r="D20" s="135"/>
      <c r="E20" s="135"/>
      <c r="F20" s="135"/>
      <c r="G20" s="135"/>
      <c r="H20" s="135"/>
      <c r="I20" s="135"/>
      <c r="J20" s="135"/>
      <c r="K20" s="135"/>
      <c r="L20" s="135"/>
      <c r="M20" s="135"/>
      <c r="N20" s="135"/>
      <c r="O20" s="135"/>
      <c r="P20" s="135"/>
      <c r="Q20" s="135"/>
      <c r="R20" s="134"/>
      <c r="S20" s="134"/>
      <c r="T20" s="134"/>
    </row>
    <row r="21" spans="1:24" ht="30" customHeight="1">
      <c r="A21" s="135"/>
      <c r="B21" s="135"/>
      <c r="C21" s="135"/>
      <c r="D21" s="135"/>
      <c r="E21" s="135"/>
      <c r="F21" s="135"/>
      <c r="G21" s="135"/>
      <c r="H21" s="135"/>
      <c r="I21" s="135"/>
      <c r="J21" s="135"/>
      <c r="K21" s="135"/>
      <c r="L21" s="135"/>
      <c r="M21" s="135"/>
      <c r="N21" s="135"/>
      <c r="O21" s="135"/>
      <c r="P21" s="135"/>
      <c r="Q21" s="135"/>
      <c r="R21" s="134"/>
      <c r="S21" s="134"/>
      <c r="T21" s="134"/>
    </row>
    <row r="22" spans="1:24" ht="30" customHeight="1">
      <c r="A22" s="135"/>
      <c r="B22" s="135"/>
      <c r="C22" s="135"/>
      <c r="D22" s="135"/>
      <c r="E22" s="135"/>
      <c r="F22" s="135"/>
      <c r="G22" s="135"/>
      <c r="H22" s="135"/>
      <c r="I22" s="135"/>
      <c r="J22" s="135"/>
      <c r="K22" s="135"/>
      <c r="L22" s="135"/>
      <c r="M22" s="135"/>
    </row>
    <row r="23" spans="1:24" ht="30" customHeight="1">
      <c r="A23" s="135"/>
      <c r="B23" s="135"/>
      <c r="C23" s="135"/>
      <c r="D23" s="135"/>
      <c r="E23" s="135"/>
      <c r="F23" s="135"/>
      <c r="G23" s="135"/>
      <c r="H23" s="135"/>
      <c r="I23" s="135"/>
      <c r="J23" s="135"/>
      <c r="K23" s="135"/>
      <c r="L23" s="135"/>
      <c r="M23" s="135"/>
    </row>
    <row r="24" spans="1:24" ht="20.100000000000001" customHeight="1">
      <c r="A24" s="135"/>
      <c r="B24" s="135"/>
      <c r="C24" s="135"/>
      <c r="D24" s="135"/>
      <c r="E24" s="135"/>
      <c r="F24" s="135"/>
      <c r="G24" s="135"/>
      <c r="H24" s="135"/>
      <c r="I24" s="135"/>
      <c r="J24" s="135"/>
      <c r="K24" s="135"/>
      <c r="L24" s="135"/>
      <c r="M24" s="135"/>
      <c r="N24" s="135"/>
      <c r="O24" s="135"/>
      <c r="P24" s="135"/>
      <c r="Q24" s="135"/>
      <c r="R24" s="134"/>
      <c r="S24" s="134"/>
      <c r="T24" s="134"/>
    </row>
    <row r="25" spans="1:24" ht="30" customHeight="1">
      <c r="A25" s="135"/>
      <c r="B25" s="135"/>
      <c r="C25" s="135"/>
      <c r="D25" s="135"/>
      <c r="E25" s="135"/>
      <c r="F25" s="135"/>
      <c r="G25" s="135"/>
      <c r="H25" s="135"/>
      <c r="I25" s="135"/>
      <c r="J25" s="135"/>
      <c r="K25" s="135"/>
      <c r="L25" s="135"/>
      <c r="M25" s="135"/>
    </row>
    <row r="26" spans="1:24" ht="89.45" customHeight="1">
      <c r="A26" s="135"/>
      <c r="B26" s="135"/>
      <c r="C26" s="135"/>
      <c r="D26" s="135"/>
      <c r="E26" s="135"/>
      <c r="F26" s="135"/>
      <c r="G26" s="135"/>
      <c r="H26" s="135"/>
      <c r="I26" s="135"/>
      <c r="J26" s="135"/>
      <c r="K26" s="135"/>
      <c r="L26" s="135"/>
      <c r="M26" s="135"/>
      <c r="N26" s="135"/>
      <c r="O26" s="135"/>
      <c r="P26" s="135"/>
      <c r="Q26" s="135"/>
      <c r="R26" s="134"/>
      <c r="S26" s="134"/>
      <c r="T26" s="134"/>
    </row>
    <row r="28" spans="1:24" ht="30" customHeight="1">
      <c r="A28" s="135"/>
      <c r="B28" s="135"/>
      <c r="C28" s="135"/>
      <c r="D28" s="135"/>
      <c r="E28" s="135"/>
      <c r="F28" s="135"/>
      <c r="G28" s="135"/>
      <c r="H28" s="135"/>
      <c r="I28" s="135"/>
      <c r="J28" s="135"/>
      <c r="K28" s="135"/>
      <c r="L28" s="135"/>
      <c r="M28" s="135"/>
    </row>
    <row r="29" spans="1:24" ht="86.45" customHeight="1">
      <c r="A29" s="135"/>
      <c r="B29" s="135"/>
      <c r="C29" s="135"/>
      <c r="D29" s="135"/>
      <c r="E29" s="135"/>
      <c r="F29" s="135"/>
      <c r="G29" s="135"/>
      <c r="H29" s="135"/>
      <c r="I29" s="135"/>
      <c r="J29" s="135"/>
      <c r="K29" s="135"/>
      <c r="L29" s="135"/>
      <c r="M29" s="135"/>
    </row>
    <row r="30" spans="1:24" ht="20.100000000000001" customHeight="1">
      <c r="A30" s="135"/>
      <c r="B30" s="135"/>
      <c r="C30" s="135"/>
      <c r="D30" s="135"/>
      <c r="E30" s="135"/>
      <c r="F30" s="135"/>
      <c r="G30" s="135"/>
      <c r="H30" s="135"/>
      <c r="I30" s="135"/>
      <c r="J30" s="135"/>
      <c r="K30" s="135"/>
      <c r="L30" s="135"/>
      <c r="M30" s="135"/>
    </row>
    <row r="32" spans="1:24" ht="20.100000000000001" customHeight="1">
      <c r="B32" s="132"/>
      <c r="C32" s="132"/>
      <c r="D32" s="132"/>
      <c r="E32" s="132"/>
      <c r="F32" s="132"/>
      <c r="G32" s="132"/>
      <c r="H32" s="132"/>
      <c r="I32" s="132"/>
      <c r="P32" s="133"/>
      <c r="Q32" s="134"/>
      <c r="R32" s="134"/>
    </row>
    <row r="34" spans="2:20" ht="20.100000000000001" customHeight="1">
      <c r="B34" s="150"/>
      <c r="C34" s="145"/>
      <c r="H34" s="135"/>
      <c r="I34" s="135"/>
      <c r="J34" s="135"/>
      <c r="K34" s="135"/>
      <c r="M34" s="135"/>
      <c r="N34" s="135"/>
      <c r="O34" s="135"/>
      <c r="P34" s="135"/>
      <c r="Q34" s="135"/>
      <c r="R34" s="134"/>
      <c r="S34" s="134"/>
      <c r="T34" s="134"/>
    </row>
    <row r="35" spans="2:20" ht="20.100000000000001" customHeight="1">
      <c r="B35" s="144"/>
      <c r="C35" s="145"/>
      <c r="H35" s="135"/>
      <c r="I35" s="135"/>
      <c r="J35" s="135"/>
      <c r="K35" s="135"/>
      <c r="M35" s="135"/>
      <c r="N35" s="135"/>
      <c r="O35" s="135"/>
      <c r="P35" s="135"/>
      <c r="Q35" s="135"/>
      <c r="R35" s="134"/>
      <c r="S35" s="134"/>
      <c r="T35" s="134"/>
    </row>
    <row r="36" spans="2:20" ht="20.100000000000001" customHeight="1">
      <c r="B36" s="144"/>
      <c r="C36" s="145"/>
      <c r="H36" s="135"/>
      <c r="I36" s="135"/>
      <c r="J36" s="135"/>
      <c r="K36" s="135"/>
      <c r="M36" s="135"/>
      <c r="N36" s="135"/>
      <c r="O36" s="135"/>
      <c r="P36" s="135"/>
      <c r="Q36" s="135"/>
      <c r="R36" s="134"/>
      <c r="S36" s="134"/>
      <c r="T36" s="134"/>
    </row>
    <row r="37" spans="2:20" ht="20.100000000000001" customHeight="1">
      <c r="B37" s="144"/>
      <c r="C37" s="145"/>
      <c r="D37" s="146"/>
      <c r="H37" s="135"/>
      <c r="I37" s="135"/>
      <c r="J37" s="135"/>
      <c r="K37" s="135"/>
      <c r="M37" s="135"/>
      <c r="N37" s="135"/>
      <c r="O37" s="135"/>
      <c r="P37" s="135"/>
      <c r="Q37" s="135"/>
      <c r="R37" s="134"/>
      <c r="S37" s="134"/>
      <c r="T37" s="134"/>
    </row>
    <row r="1000" spans="648:648" ht="15">
      <c r="XX1000" s="151">
        <v>125713</v>
      </c>
    </row>
  </sheetData>
  <mergeCells count="3">
    <mergeCell ref="B12:L12"/>
    <mergeCell ref="N12:R12"/>
    <mergeCell ref="N15:R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5BE6-83EC-4058-9C88-C5D416B680AB}">
  <sheetPr codeName="Sheet4">
    <tabColor rgb="FFBC1F36"/>
    <pageSetUpPr autoPageBreaks="0"/>
  </sheetPr>
  <dimension ref="A1:XX1000"/>
  <sheetViews>
    <sheetView showGridLines="0" tabSelected="1" topLeftCell="A292" zoomScale="70" zoomScaleNormal="70" workbookViewId="0">
      <selection activeCell="H315" sqref="H315"/>
    </sheetView>
  </sheetViews>
  <sheetFormatPr defaultColWidth="4.140625" defaultRowHeight="15"/>
  <cols>
    <col min="1" max="1" width="4.7109375" style="32" customWidth="1"/>
    <col min="2" max="2" width="12.140625" style="32" customWidth="1"/>
    <col min="3" max="3" width="13" style="32" customWidth="1"/>
    <col min="4" max="4" width="10.42578125" style="32" customWidth="1"/>
    <col min="5" max="5" width="41.85546875" style="32" customWidth="1"/>
    <col min="6" max="6" width="7.5703125" style="32" customWidth="1"/>
    <col min="7" max="10" width="9.7109375" style="32" customWidth="1"/>
    <col min="11" max="15" width="9.7109375" style="33" customWidth="1"/>
    <col min="16" max="31" width="8.42578125" style="33" customWidth="1"/>
    <col min="32" max="131" width="5.140625" style="33" customWidth="1"/>
    <col min="132" max="16384" width="4.140625" style="33"/>
  </cols>
  <sheetData>
    <row r="1" spans="1:18" s="16" customFormat="1" ht="15" customHeight="1">
      <c r="A1" s="16" t="s">
        <v>22</v>
      </c>
    </row>
    <row r="2" spans="1:18" s="16" customFormat="1" ht="33" customHeight="1">
      <c r="B2" s="17" t="s">
        <v>130</v>
      </c>
      <c r="C2" s="18"/>
      <c r="D2" s="18"/>
      <c r="E2" s="18"/>
      <c r="F2" s="18"/>
      <c r="G2" s="18"/>
      <c r="H2" s="18"/>
      <c r="I2" s="18"/>
      <c r="J2" s="18"/>
      <c r="K2" s="18"/>
      <c r="L2" s="18"/>
      <c r="M2" s="18"/>
      <c r="N2" s="18"/>
      <c r="O2" s="18"/>
      <c r="P2" s="18"/>
      <c r="Q2" s="18"/>
      <c r="R2" s="18"/>
    </row>
    <row r="3" spans="1:18" s="16" customFormat="1" ht="15" customHeight="1">
      <c r="E3" s="19"/>
    </row>
    <row r="4" spans="1:18" s="16" customFormat="1" ht="30" customHeight="1">
      <c r="B4" s="20" t="s">
        <v>54</v>
      </c>
      <c r="C4" s="21"/>
      <c r="D4" s="21"/>
      <c r="E4" s="21"/>
      <c r="F4" s="21"/>
      <c r="G4" s="21"/>
      <c r="H4" s="21"/>
      <c r="I4" s="21"/>
      <c r="J4" s="21"/>
      <c r="K4" s="21"/>
      <c r="L4" s="21"/>
      <c r="N4" s="22" t="s">
        <v>83</v>
      </c>
      <c r="O4" s="22"/>
      <c r="P4" s="22"/>
      <c r="Q4" s="22"/>
      <c r="R4" s="22"/>
    </row>
    <row r="5" spans="1:18" s="16" customFormat="1" ht="30" customHeight="1">
      <c r="E5" s="19"/>
      <c r="N5" s="107" t="s">
        <v>88</v>
      </c>
      <c r="O5" s="108"/>
      <c r="P5" s="108"/>
      <c r="Q5" s="108"/>
      <c r="R5" s="108"/>
    </row>
    <row r="6" spans="1:18" s="16" customFormat="1" ht="30" customHeight="1">
      <c r="E6" s="19"/>
    </row>
    <row r="7" spans="1:18" s="16" customFormat="1" ht="30" customHeight="1">
      <c r="E7" s="19"/>
      <c r="N7" s="22" t="s">
        <v>84</v>
      </c>
      <c r="O7" s="22"/>
      <c r="P7" s="22"/>
      <c r="Q7" s="22"/>
      <c r="R7" s="22"/>
    </row>
    <row r="8" spans="1:18" s="16" customFormat="1" ht="30" customHeight="1">
      <c r="E8" s="19"/>
      <c r="N8" s="107" t="s">
        <v>85</v>
      </c>
      <c r="O8" s="108"/>
      <c r="P8" s="108"/>
      <c r="Q8" s="108"/>
      <c r="R8" s="108"/>
    </row>
    <row r="9" spans="1:18" s="16" customFormat="1" ht="30" customHeight="1">
      <c r="E9" s="19"/>
      <c r="N9" s="107" t="s">
        <v>86</v>
      </c>
      <c r="O9" s="108"/>
      <c r="P9" s="108"/>
      <c r="Q9" s="108"/>
      <c r="R9" s="108"/>
    </row>
    <row r="10" spans="1:18" s="16" customFormat="1" ht="30" customHeight="1">
      <c r="E10" s="19"/>
      <c r="N10" s="107" t="s">
        <v>87</v>
      </c>
      <c r="O10" s="108"/>
      <c r="P10" s="108"/>
      <c r="Q10" s="108"/>
      <c r="R10" s="108"/>
    </row>
    <row r="11" spans="1:18" s="16" customFormat="1" ht="30" customHeight="1">
      <c r="E11" s="19"/>
      <c r="N11" s="107" t="s">
        <v>131</v>
      </c>
      <c r="O11" s="108"/>
      <c r="P11" s="108"/>
      <c r="Q11" s="108"/>
      <c r="R11" s="108"/>
    </row>
    <row r="12" spans="1:18" s="16" customFormat="1" ht="30" customHeight="1">
      <c r="E12" s="19"/>
    </row>
    <row r="13" spans="1:18" s="16" customFormat="1" ht="30" customHeight="1">
      <c r="B13" s="23" t="s">
        <v>0</v>
      </c>
      <c r="C13" s="24"/>
      <c r="D13" s="24"/>
      <c r="E13" s="24"/>
      <c r="F13" s="24"/>
      <c r="G13" s="24"/>
      <c r="H13" s="24"/>
      <c r="I13" s="24"/>
      <c r="J13" s="24"/>
      <c r="K13" s="24"/>
      <c r="L13" s="24"/>
      <c r="M13" s="24"/>
      <c r="N13" s="24"/>
      <c r="O13" s="24"/>
      <c r="P13" s="24"/>
      <c r="Q13" s="24"/>
      <c r="R13" s="24"/>
    </row>
    <row r="14" spans="1:18" s="16" customFormat="1" ht="15" customHeight="1">
      <c r="B14" s="25" t="s">
        <v>59</v>
      </c>
      <c r="C14" s="26"/>
      <c r="D14" s="26"/>
      <c r="E14" s="26"/>
      <c r="F14" s="26"/>
      <c r="G14" s="26"/>
      <c r="H14" s="26"/>
      <c r="I14" s="26"/>
      <c r="J14" s="26"/>
      <c r="K14" s="26"/>
      <c r="L14" s="26"/>
      <c r="M14" s="26"/>
      <c r="N14" s="26"/>
      <c r="O14" s="26"/>
      <c r="P14" s="26"/>
      <c r="Q14" s="116"/>
      <c r="R14" s="27"/>
    </row>
    <row r="15" spans="1:18" s="16" customFormat="1" ht="15" customHeight="1">
      <c r="B15" s="28" t="s">
        <v>60</v>
      </c>
      <c r="C15" s="29"/>
      <c r="D15" s="29"/>
      <c r="E15" s="29"/>
      <c r="F15" s="29"/>
      <c r="G15" s="29"/>
      <c r="H15" s="29"/>
      <c r="I15" s="29"/>
      <c r="J15" s="29"/>
      <c r="K15" s="29"/>
      <c r="L15" s="29"/>
      <c r="M15" s="29"/>
      <c r="N15" s="29"/>
      <c r="O15" s="29"/>
      <c r="P15" s="29"/>
      <c r="R15" s="30"/>
    </row>
    <row r="16" spans="1:18" s="16" customFormat="1" ht="15" customHeight="1">
      <c r="B16" s="31"/>
      <c r="R16" s="30"/>
    </row>
    <row r="17" spans="2:18" s="16" customFormat="1" ht="15" customHeight="1">
      <c r="B17" s="31" t="s">
        <v>61</v>
      </c>
      <c r="R17" s="30"/>
    </row>
    <row r="18" spans="2:18" s="16" customFormat="1" ht="15" customHeight="1">
      <c r="B18" s="31" t="s">
        <v>62</v>
      </c>
      <c r="R18" s="30"/>
    </row>
    <row r="19" spans="2:18" s="16" customFormat="1" ht="15" customHeight="1">
      <c r="B19" s="31" t="s">
        <v>63</v>
      </c>
      <c r="R19" s="30"/>
    </row>
    <row r="20" spans="2:18" s="16" customFormat="1" ht="15" customHeight="1">
      <c r="B20" s="31" t="s">
        <v>72</v>
      </c>
      <c r="R20" s="30"/>
    </row>
    <row r="21" spans="2:18" s="16" customFormat="1" ht="15" customHeight="1">
      <c r="B21" s="31" t="s">
        <v>132</v>
      </c>
      <c r="R21" s="30"/>
    </row>
    <row r="22" spans="2:18" s="16" customFormat="1" ht="15" customHeight="1">
      <c r="B22" s="31"/>
      <c r="R22" s="30"/>
    </row>
    <row r="23" spans="2:18" s="16" customFormat="1" ht="15" customHeight="1">
      <c r="B23" s="31" t="s">
        <v>64</v>
      </c>
      <c r="R23" s="30"/>
    </row>
    <row r="24" spans="2:18" s="16" customFormat="1" ht="15" customHeight="1">
      <c r="B24" s="31" t="s">
        <v>65</v>
      </c>
      <c r="R24" s="30"/>
    </row>
    <row r="25" spans="2:18" s="16" customFormat="1" ht="15" customHeight="1">
      <c r="B25" s="31" t="s">
        <v>73</v>
      </c>
      <c r="R25" s="30"/>
    </row>
    <row r="26" spans="2:18" s="16" customFormat="1" ht="15" customHeight="1">
      <c r="B26" s="31" t="s">
        <v>128</v>
      </c>
      <c r="R26" s="30"/>
    </row>
    <row r="27" spans="2:18" s="16" customFormat="1" ht="15" customHeight="1">
      <c r="B27" s="31" t="s">
        <v>133</v>
      </c>
      <c r="R27" s="30"/>
    </row>
    <row r="28" spans="2:18" ht="15.75">
      <c r="B28" s="28"/>
      <c r="R28" s="34"/>
    </row>
    <row r="29" spans="2:18" ht="15.75">
      <c r="B29" s="28" t="s">
        <v>66</v>
      </c>
      <c r="R29" s="34"/>
    </row>
    <row r="30" spans="2:18" ht="15.75">
      <c r="B30" s="28" t="s">
        <v>67</v>
      </c>
      <c r="R30" s="34"/>
    </row>
    <row r="31" spans="2:18" ht="15.75">
      <c r="B31" s="28" t="s">
        <v>68</v>
      </c>
      <c r="R31" s="34"/>
    </row>
    <row r="32" spans="2:18" ht="15.75">
      <c r="B32" s="28" t="s">
        <v>69</v>
      </c>
      <c r="R32" s="34"/>
    </row>
    <row r="33" spans="2:18" ht="15.75">
      <c r="B33" s="28" t="s">
        <v>70</v>
      </c>
      <c r="R33" s="34"/>
    </row>
    <row r="34" spans="2:18" ht="15.75">
      <c r="B34" s="28" t="s">
        <v>71</v>
      </c>
      <c r="R34" s="34"/>
    </row>
    <row r="35" spans="2:18" s="16" customFormat="1" ht="15" customHeight="1">
      <c r="B35" s="35"/>
      <c r="C35" s="36"/>
      <c r="D35" s="36"/>
      <c r="E35" s="36"/>
      <c r="F35" s="36"/>
      <c r="G35" s="36"/>
      <c r="H35" s="36"/>
      <c r="I35" s="36"/>
      <c r="J35" s="36"/>
      <c r="K35" s="36"/>
      <c r="L35" s="36"/>
      <c r="M35" s="36"/>
      <c r="N35" s="36"/>
      <c r="O35" s="36"/>
      <c r="P35" s="36"/>
      <c r="Q35" s="36"/>
      <c r="R35" s="37"/>
    </row>
    <row r="36" spans="2:18" s="16" customFormat="1" ht="15" customHeight="1" thickBot="1">
      <c r="B36" s="84"/>
      <c r="C36" s="29"/>
      <c r="D36" s="29"/>
      <c r="E36" s="29"/>
      <c r="F36" s="29"/>
      <c r="G36" s="29"/>
      <c r="H36" s="29"/>
      <c r="I36" s="29"/>
      <c r="J36" s="29"/>
      <c r="K36" s="29"/>
      <c r="L36" s="29"/>
      <c r="M36" s="29"/>
      <c r="N36" s="29"/>
      <c r="O36" s="29"/>
      <c r="P36" s="29"/>
      <c r="Q36" s="29"/>
      <c r="R36" s="29"/>
    </row>
    <row r="37" spans="2:18" s="16" customFormat="1" ht="15" customHeight="1" thickBot="1">
      <c r="B37" s="89" t="s">
        <v>74</v>
      </c>
      <c r="C37" s="90"/>
      <c r="D37" s="90"/>
      <c r="E37" s="90"/>
      <c r="F37" s="91"/>
      <c r="G37" s="29"/>
      <c r="H37" s="29"/>
      <c r="I37" s="89" t="s">
        <v>80</v>
      </c>
      <c r="J37" s="90"/>
      <c r="K37" s="90"/>
      <c r="L37" s="90"/>
      <c r="M37" s="90"/>
      <c r="N37" s="90"/>
      <c r="O37" s="90"/>
      <c r="P37" s="91"/>
      <c r="R37" s="29"/>
    </row>
    <row r="38" spans="2:18" s="16" customFormat="1" ht="15" customHeight="1" thickBot="1">
      <c r="B38" s="92" t="s">
        <v>75</v>
      </c>
      <c r="C38" s="29"/>
      <c r="D38" s="29"/>
      <c r="E38" s="84" t="s">
        <v>81</v>
      </c>
      <c r="F38" s="93"/>
      <c r="G38" s="29"/>
      <c r="H38" s="29"/>
      <c r="I38" s="88"/>
      <c r="J38" s="88">
        <v>1</v>
      </c>
      <c r="K38" s="88">
        <v>2</v>
      </c>
      <c r="L38" s="88">
        <v>3</v>
      </c>
      <c r="M38" s="88">
        <v>4</v>
      </c>
      <c r="N38" s="88">
        <v>5</v>
      </c>
      <c r="O38" s="88">
        <v>6</v>
      </c>
      <c r="P38" s="88">
        <v>7</v>
      </c>
      <c r="R38" s="29"/>
    </row>
    <row r="39" spans="2:18" s="16" customFormat="1" ht="15" customHeight="1">
      <c r="B39" s="92" t="s">
        <v>76</v>
      </c>
      <c r="C39" s="29"/>
      <c r="D39" s="29"/>
      <c r="E39" s="84" t="s">
        <v>82</v>
      </c>
      <c r="F39" s="93"/>
      <c r="G39" s="29"/>
      <c r="H39" s="29"/>
      <c r="I39" s="87" t="s">
        <v>1</v>
      </c>
      <c r="J39" s="1">
        <v>3</v>
      </c>
      <c r="K39" s="2">
        <v>1</v>
      </c>
      <c r="L39" s="2">
        <v>2</v>
      </c>
      <c r="M39" s="2">
        <v>2</v>
      </c>
      <c r="N39" s="2">
        <v>2</v>
      </c>
      <c r="O39" s="2">
        <v>1</v>
      </c>
      <c r="P39" s="3">
        <v>2</v>
      </c>
      <c r="R39" s="29"/>
    </row>
    <row r="40" spans="2:18" s="16" customFormat="1" ht="15" customHeight="1" thickBot="1">
      <c r="B40" s="94" t="s">
        <v>77</v>
      </c>
      <c r="C40" s="95"/>
      <c r="D40" s="95"/>
      <c r="E40" s="96" t="s">
        <v>134</v>
      </c>
      <c r="F40" s="97"/>
      <c r="G40" s="29"/>
      <c r="H40" s="29"/>
      <c r="I40" s="87" t="s">
        <v>2</v>
      </c>
      <c r="J40" s="4">
        <v>2</v>
      </c>
      <c r="K40" s="15">
        <v>3</v>
      </c>
      <c r="L40" s="15">
        <v>5</v>
      </c>
      <c r="M40" s="15">
        <v>5</v>
      </c>
      <c r="N40" s="15">
        <v>5</v>
      </c>
      <c r="O40" s="15">
        <v>3</v>
      </c>
      <c r="P40" s="5">
        <v>1</v>
      </c>
      <c r="R40" s="29"/>
    </row>
    <row r="41" spans="2:18" s="16" customFormat="1" ht="15" customHeight="1" thickBot="1">
      <c r="E41" s="29"/>
      <c r="F41" s="29"/>
      <c r="G41" s="29"/>
      <c r="H41" s="29"/>
      <c r="I41" s="87" t="s">
        <v>3</v>
      </c>
      <c r="J41" s="4">
        <v>3</v>
      </c>
      <c r="K41" s="15">
        <v>3</v>
      </c>
      <c r="L41" s="10">
        <v>3</v>
      </c>
      <c r="M41" s="11">
        <v>5</v>
      </c>
      <c r="N41" s="10">
        <v>3</v>
      </c>
      <c r="O41" s="15">
        <v>2</v>
      </c>
      <c r="P41" s="5">
        <v>2</v>
      </c>
      <c r="R41" s="29"/>
    </row>
    <row r="42" spans="2:18" s="16" customFormat="1" ht="15" customHeight="1" thickBot="1">
      <c r="B42" s="89" t="s">
        <v>21</v>
      </c>
      <c r="C42" s="90"/>
      <c r="D42" s="90"/>
      <c r="E42" s="90"/>
      <c r="F42" s="91"/>
      <c r="G42" s="29"/>
      <c r="H42" s="29"/>
      <c r="I42" s="87" t="s">
        <v>4</v>
      </c>
      <c r="J42" s="4">
        <v>3</v>
      </c>
      <c r="K42" s="15">
        <v>2</v>
      </c>
      <c r="L42" s="12">
        <v>4</v>
      </c>
      <c r="M42" s="9">
        <v>3</v>
      </c>
      <c r="N42" s="13">
        <v>3</v>
      </c>
      <c r="O42" s="15">
        <v>2</v>
      </c>
      <c r="P42" s="5">
        <v>1</v>
      </c>
      <c r="R42" s="29"/>
    </row>
    <row r="43" spans="2:18" s="16" customFormat="1" ht="15" customHeight="1">
      <c r="B43" s="98"/>
      <c r="C43" s="99" t="s">
        <v>78</v>
      </c>
      <c r="D43" s="100"/>
      <c r="E43" s="100"/>
      <c r="F43" s="101"/>
      <c r="G43" s="29"/>
      <c r="H43" s="29"/>
      <c r="I43" s="87" t="s">
        <v>5</v>
      </c>
      <c r="J43" s="4">
        <v>2</v>
      </c>
      <c r="K43" s="15">
        <v>3</v>
      </c>
      <c r="L43" s="10">
        <v>2</v>
      </c>
      <c r="M43" s="14">
        <v>3</v>
      </c>
      <c r="N43" s="10">
        <v>3</v>
      </c>
      <c r="O43" s="15">
        <v>3</v>
      </c>
      <c r="P43" s="5">
        <v>2</v>
      </c>
      <c r="R43" s="29"/>
    </row>
    <row r="44" spans="2:18" s="16" customFormat="1" ht="15" customHeight="1">
      <c r="B44" s="102"/>
      <c r="C44" s="99" t="s">
        <v>89</v>
      </c>
      <c r="D44" s="100"/>
      <c r="E44" s="100"/>
      <c r="F44" s="101"/>
      <c r="G44" s="29"/>
      <c r="H44" s="29"/>
      <c r="I44" s="87" t="s">
        <v>6</v>
      </c>
      <c r="J44" s="4">
        <v>1</v>
      </c>
      <c r="K44" s="15">
        <v>2</v>
      </c>
      <c r="L44" s="15">
        <v>2</v>
      </c>
      <c r="M44" s="15">
        <v>3</v>
      </c>
      <c r="N44" s="15">
        <v>3</v>
      </c>
      <c r="O44" s="15">
        <v>2</v>
      </c>
      <c r="P44" s="5">
        <v>3</v>
      </c>
      <c r="R44" s="29"/>
    </row>
    <row r="45" spans="2:18" s="16" customFormat="1" ht="15.75" customHeight="1" thickBot="1">
      <c r="B45" s="103"/>
      <c r="C45" s="104" t="s">
        <v>79</v>
      </c>
      <c r="D45" s="105"/>
      <c r="E45" s="105"/>
      <c r="F45" s="106"/>
      <c r="G45" s="40"/>
      <c r="H45" s="42"/>
      <c r="I45" s="87" t="s">
        <v>7</v>
      </c>
      <c r="J45" s="6">
        <v>2</v>
      </c>
      <c r="K45" s="7">
        <v>1</v>
      </c>
      <c r="L45" s="7">
        <v>1</v>
      </c>
      <c r="M45" s="7">
        <v>2</v>
      </c>
      <c r="N45" s="7">
        <v>3</v>
      </c>
      <c r="O45" s="7">
        <v>2</v>
      </c>
      <c r="P45" s="8">
        <v>2</v>
      </c>
    </row>
    <row r="46" spans="2:18" s="16" customFormat="1" ht="15.75" customHeight="1">
      <c r="B46" s="38"/>
      <c r="C46" s="39"/>
      <c r="D46" s="40"/>
      <c r="E46" s="41"/>
      <c r="F46" s="39"/>
      <c r="G46" s="40"/>
      <c r="H46" s="42"/>
      <c r="I46" s="85"/>
      <c r="J46" s="85"/>
      <c r="K46" s="85"/>
      <c r="L46" s="85"/>
      <c r="M46" s="85"/>
      <c r="N46" s="85"/>
      <c r="O46" s="85"/>
      <c r="P46" s="85"/>
      <c r="Q46" s="85"/>
    </row>
    <row r="47" spans="2:18" s="16" customFormat="1" ht="30" customHeight="1">
      <c r="B47" s="86" t="s">
        <v>23</v>
      </c>
      <c r="C47" s="44"/>
      <c r="D47" s="44"/>
      <c r="E47" s="44"/>
      <c r="F47" s="44"/>
      <c r="G47" s="44"/>
      <c r="H47" s="44"/>
      <c r="I47" s="44"/>
      <c r="J47" s="44"/>
      <c r="K47" s="44"/>
      <c r="L47" s="44"/>
      <c r="M47" s="44"/>
      <c r="N47" s="44"/>
      <c r="O47" s="44"/>
      <c r="P47" s="44"/>
      <c r="Q47" s="44"/>
      <c r="R47" s="44"/>
    </row>
    <row r="48" spans="2:18" s="16" customFormat="1" ht="15" customHeight="1">
      <c r="E48" s="19"/>
    </row>
    <row r="49" spans="2:18" s="32" customFormat="1" ht="15" customHeight="1">
      <c r="B49" s="45" t="s">
        <v>94</v>
      </c>
      <c r="C49" s="46"/>
      <c r="D49" s="46"/>
      <c r="E49" s="46"/>
      <c r="F49" s="46"/>
      <c r="G49" s="46"/>
      <c r="H49" s="46"/>
      <c r="I49" s="46"/>
      <c r="J49" s="46"/>
      <c r="K49" s="46"/>
      <c r="L49" s="46"/>
    </row>
    <row r="50" spans="2:18" s="32" customFormat="1" ht="15" customHeight="1">
      <c r="B50" s="45" t="s">
        <v>95</v>
      </c>
      <c r="C50" s="46"/>
      <c r="D50" s="46"/>
      <c r="E50" s="46"/>
      <c r="F50" s="46"/>
      <c r="G50" s="46"/>
      <c r="H50" s="46"/>
      <c r="I50" s="46"/>
      <c r="J50" s="46"/>
      <c r="K50" s="46"/>
      <c r="L50" s="46"/>
    </row>
    <row r="51" spans="2:18" s="32" customFormat="1" ht="15" customHeight="1" thickBot="1">
      <c r="B51" s="46"/>
      <c r="C51" s="46"/>
      <c r="D51" s="46"/>
      <c r="E51" s="46"/>
      <c r="F51" s="46"/>
      <c r="G51" s="46"/>
      <c r="H51" s="46"/>
      <c r="I51" s="46"/>
      <c r="J51" s="46"/>
      <c r="K51" s="46"/>
      <c r="L51" s="46"/>
    </row>
    <row r="52" spans="2:18" s="50" customFormat="1" ht="30" customHeight="1" thickBot="1">
      <c r="B52" s="47" t="s">
        <v>8</v>
      </c>
      <c r="C52" s="48" t="s">
        <v>24</v>
      </c>
      <c r="D52" s="47" t="s">
        <v>10</v>
      </c>
      <c r="E52" s="47" t="s">
        <v>11</v>
      </c>
      <c r="F52" s="49"/>
      <c r="G52" s="110" t="s">
        <v>25</v>
      </c>
      <c r="H52" s="111"/>
      <c r="I52" s="111"/>
      <c r="J52" s="111"/>
      <c r="K52" s="111"/>
      <c r="L52" s="112"/>
      <c r="M52" s="112"/>
      <c r="N52" s="112"/>
      <c r="O52" s="112"/>
      <c r="P52" s="112"/>
      <c r="Q52" s="112"/>
      <c r="R52" s="112"/>
    </row>
    <row r="53" spans="2:18" ht="30" customHeight="1">
      <c r="B53" s="51" t="s">
        <v>26</v>
      </c>
      <c r="C53" s="113" t="s">
        <v>96</v>
      </c>
      <c r="D53" s="52">
        <v>50</v>
      </c>
      <c r="E53" s="53"/>
      <c r="F53" s="131">
        <f>IF(ISBLANK(E53),0,IF(E53=Answers!E53,1,-1))</f>
        <v>0</v>
      </c>
      <c r="G53" s="158" t="s">
        <v>145</v>
      </c>
      <c r="H53" s="158"/>
      <c r="I53" s="158"/>
      <c r="J53" s="158"/>
      <c r="K53" s="158"/>
      <c r="L53" s="158"/>
      <c r="M53" s="158"/>
      <c r="N53" s="158"/>
      <c r="O53" s="158"/>
      <c r="P53" s="158"/>
      <c r="Q53" s="158"/>
      <c r="R53" s="158"/>
    </row>
    <row r="54" spans="2:18" ht="30" customHeight="1">
      <c r="B54" s="51" t="s">
        <v>27</v>
      </c>
      <c r="C54" s="113" t="s">
        <v>96</v>
      </c>
      <c r="D54" s="52">
        <v>50</v>
      </c>
      <c r="E54" s="55"/>
      <c r="F54" s="131">
        <f>IF(ISBLANK(E54),0,IF(E54=Answers!E54,1,-1))</f>
        <v>0</v>
      </c>
      <c r="G54" s="159" t="s">
        <v>92</v>
      </c>
      <c r="H54" s="159"/>
      <c r="I54" s="159"/>
      <c r="J54" s="159"/>
      <c r="K54" s="159"/>
      <c r="L54" s="159"/>
      <c r="M54" s="159"/>
      <c r="N54" s="159"/>
      <c r="O54" s="159"/>
      <c r="P54" s="159"/>
      <c r="Q54" s="159"/>
      <c r="R54" s="159"/>
    </row>
    <row r="55" spans="2:18" ht="30" customHeight="1">
      <c r="B55" s="51" t="s">
        <v>28</v>
      </c>
      <c r="C55" s="113" t="s">
        <v>96</v>
      </c>
      <c r="D55" s="52">
        <v>50</v>
      </c>
      <c r="E55" s="55"/>
      <c r="F55" s="131">
        <f>IF(ISBLANK(E55),0,IF(E55=Answers!E55,1,-1))</f>
        <v>0</v>
      </c>
      <c r="G55" s="159" t="s">
        <v>146</v>
      </c>
      <c r="H55" s="159"/>
      <c r="I55" s="159"/>
      <c r="J55" s="159"/>
      <c r="K55" s="159"/>
      <c r="L55" s="159"/>
      <c r="M55" s="159"/>
      <c r="N55" s="159"/>
      <c r="O55" s="159"/>
      <c r="P55" s="159"/>
      <c r="Q55" s="159"/>
      <c r="R55" s="159"/>
    </row>
    <row r="56" spans="2:18" ht="30" customHeight="1">
      <c r="B56" s="51" t="s">
        <v>29</v>
      </c>
      <c r="C56" s="113" t="s">
        <v>96</v>
      </c>
      <c r="D56" s="52">
        <v>50</v>
      </c>
      <c r="E56" s="55"/>
      <c r="F56" s="131">
        <f>IF(ISBLANK(E56),0,IF(E56=Answers!E56,1,-1))</f>
        <v>0</v>
      </c>
      <c r="G56" s="159" t="s">
        <v>91</v>
      </c>
      <c r="H56" s="159"/>
      <c r="I56" s="159"/>
      <c r="J56" s="159"/>
      <c r="K56" s="159"/>
      <c r="L56" s="159"/>
      <c r="M56" s="159"/>
      <c r="N56" s="159"/>
      <c r="O56" s="159"/>
      <c r="P56" s="159"/>
      <c r="Q56" s="159"/>
      <c r="R56" s="159"/>
    </row>
    <row r="57" spans="2:18" ht="30" customHeight="1">
      <c r="B57" s="51" t="s">
        <v>30</v>
      </c>
      <c r="C57" s="113" t="s">
        <v>96</v>
      </c>
      <c r="D57" s="52">
        <v>50</v>
      </c>
      <c r="E57" s="56"/>
      <c r="F57" s="131">
        <f>IF(ISBLANK(E57),0,IF(E57=Answers!E57,1,-1))</f>
        <v>0</v>
      </c>
      <c r="G57" s="159" t="s">
        <v>93</v>
      </c>
      <c r="H57" s="159"/>
      <c r="I57" s="159"/>
      <c r="J57" s="159"/>
      <c r="K57" s="159"/>
      <c r="L57" s="159"/>
      <c r="M57" s="159"/>
      <c r="N57" s="159"/>
      <c r="O57" s="159"/>
      <c r="P57" s="159"/>
      <c r="Q57" s="159"/>
      <c r="R57" s="159"/>
    </row>
    <row r="58" spans="2:18" s="32" customFormat="1" ht="15" customHeight="1"/>
    <row r="59" spans="2:18" s="16" customFormat="1" ht="30" customHeight="1">
      <c r="B59" s="43" t="s">
        <v>31</v>
      </c>
      <c r="C59" s="44"/>
      <c r="D59" s="44"/>
      <c r="E59" s="44"/>
      <c r="F59" s="44"/>
      <c r="G59" s="44"/>
      <c r="H59" s="44"/>
      <c r="I59" s="44"/>
      <c r="J59" s="44"/>
      <c r="K59" s="44"/>
      <c r="L59" s="44"/>
      <c r="M59" s="44"/>
      <c r="N59" s="44"/>
      <c r="O59" s="44"/>
      <c r="P59" s="44"/>
      <c r="Q59" s="44"/>
      <c r="R59" s="44"/>
    </row>
    <row r="60" spans="2:18" s="32" customFormat="1" ht="15" customHeight="1" thickBot="1"/>
    <row r="61" spans="2:18" s="32" customFormat="1" ht="22.5" customHeight="1" thickBot="1">
      <c r="B61" s="57" t="s">
        <v>32</v>
      </c>
      <c r="C61" s="58" t="s">
        <v>33</v>
      </c>
      <c r="D61" s="59"/>
    </row>
    <row r="62" spans="2:18" s="32" customFormat="1" ht="15" customHeight="1"/>
    <row r="63" spans="2:18" ht="15" customHeight="1">
      <c r="B63" s="60" t="s">
        <v>55</v>
      </c>
      <c r="C63" s="61"/>
      <c r="D63" s="33"/>
      <c r="E63" s="33"/>
      <c r="F63" s="33"/>
      <c r="G63" s="33"/>
      <c r="H63" s="33"/>
      <c r="I63" s="33"/>
      <c r="J63" s="33"/>
    </row>
    <row r="64" spans="2:18" ht="15" customHeight="1">
      <c r="B64" s="60"/>
      <c r="C64" s="61"/>
      <c r="D64" s="33"/>
      <c r="E64" s="33"/>
      <c r="F64" s="33"/>
      <c r="G64" s="33"/>
      <c r="H64" s="33"/>
      <c r="I64" s="33"/>
      <c r="J64" s="33"/>
    </row>
    <row r="65" spans="2:41" ht="15" customHeight="1">
      <c r="B65" s="60" t="s">
        <v>97</v>
      </c>
      <c r="C65" s="61"/>
      <c r="D65" s="33"/>
      <c r="E65" s="33"/>
      <c r="F65" s="33"/>
      <c r="G65" s="33"/>
      <c r="H65" s="33"/>
      <c r="I65" s="33"/>
      <c r="J65" s="33"/>
    </row>
    <row r="66" spans="2:41" s="32" customFormat="1" ht="15" customHeight="1">
      <c r="B66" s="16"/>
      <c r="C66" s="61"/>
    </row>
    <row r="67" spans="2:41" s="32" customFormat="1" ht="15" customHeight="1">
      <c r="B67" s="63" t="s">
        <v>34</v>
      </c>
      <c r="C67" s="61"/>
    </row>
    <row r="68" spans="2:41" s="32" customFormat="1" ht="15" customHeight="1">
      <c r="B68" s="61" t="s">
        <v>98</v>
      </c>
      <c r="D68" s="33"/>
      <c r="E68" s="33"/>
      <c r="F68" s="33"/>
      <c r="G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row>
    <row r="69" spans="2:41" s="32" customFormat="1" ht="15" customHeight="1">
      <c r="B69" s="61" t="s">
        <v>100</v>
      </c>
      <c r="D69" s="33"/>
      <c r="E69" s="33"/>
      <c r="F69" s="33"/>
      <c r="G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row>
    <row r="70" spans="2:41" s="32" customFormat="1" ht="15" customHeight="1" thickBot="1">
      <c r="B70" s="61" t="s">
        <v>99</v>
      </c>
      <c r="D70" s="33"/>
      <c r="E70" s="33"/>
      <c r="F70" s="33"/>
      <c r="G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row>
    <row r="71" spans="2:41" s="50" customFormat="1" ht="22.5" customHeight="1" thickBot="1">
      <c r="B71" s="16"/>
      <c r="C71" s="16"/>
      <c r="D71" s="16"/>
      <c r="E71" s="16"/>
      <c r="F71" s="16"/>
      <c r="G71" s="110" t="s">
        <v>90</v>
      </c>
      <c r="H71" s="111"/>
      <c r="I71" s="111"/>
      <c r="J71" s="111"/>
      <c r="K71" s="111"/>
      <c r="L71" s="111"/>
      <c r="M71" s="111"/>
      <c r="N71" s="111"/>
      <c r="O71" s="112"/>
    </row>
    <row r="72" spans="2:41" s="50" customFormat="1" ht="22.5" customHeight="1" thickBot="1">
      <c r="B72" s="47" t="s">
        <v>8</v>
      </c>
      <c r="C72" s="48" t="s">
        <v>9</v>
      </c>
      <c r="D72" s="47" t="s">
        <v>10</v>
      </c>
      <c r="E72" s="64" t="s">
        <v>11</v>
      </c>
      <c r="F72" s="16"/>
      <c r="G72" s="109" t="s">
        <v>12</v>
      </c>
      <c r="H72" s="109" t="s">
        <v>13</v>
      </c>
      <c r="I72" s="109" t="s">
        <v>14</v>
      </c>
      <c r="J72" s="109" t="s">
        <v>15</v>
      </c>
      <c r="K72" s="109" t="s">
        <v>16</v>
      </c>
      <c r="L72" s="109" t="s">
        <v>17</v>
      </c>
      <c r="M72" s="109" t="s">
        <v>18</v>
      </c>
      <c r="N72" s="109" t="s">
        <v>19</v>
      </c>
      <c r="O72" s="109" t="s">
        <v>20</v>
      </c>
    </row>
    <row r="73" spans="2:41" s="32" customFormat="1" ht="15" customHeight="1">
      <c r="J73" s="33"/>
      <c r="K73" s="33"/>
      <c r="L73" s="33"/>
      <c r="M73" s="33"/>
      <c r="N73" s="33"/>
      <c r="O73" s="33"/>
      <c r="P73" s="33"/>
      <c r="Q73" s="33"/>
      <c r="R73" s="33"/>
      <c r="S73" s="33"/>
      <c r="T73" s="33"/>
      <c r="U73" s="33"/>
      <c r="V73" s="33"/>
      <c r="W73" s="33"/>
      <c r="X73" s="33"/>
      <c r="Y73" s="33"/>
      <c r="Z73" s="33"/>
      <c r="AA73" s="33"/>
      <c r="AB73" s="33"/>
      <c r="AC73" s="33"/>
      <c r="AD73" s="33"/>
      <c r="AE73" s="33"/>
      <c r="AF73" s="33"/>
      <c r="AG73" s="33"/>
    </row>
    <row r="74" spans="2:41" s="32" customFormat="1" ht="24.95" customHeight="1">
      <c r="B74" s="65" t="s">
        <v>35</v>
      </c>
      <c r="C74" s="51">
        <v>1</v>
      </c>
      <c r="D74" s="52">
        <v>0</v>
      </c>
      <c r="E74" s="55">
        <v>29</v>
      </c>
      <c r="F74" s="131">
        <f>IF(ISBLANK(E74),0,IF(E74=Answers!E74,1,-1))</f>
        <v>1</v>
      </c>
      <c r="G74" s="66">
        <v>3</v>
      </c>
      <c r="H74" s="66">
        <v>5</v>
      </c>
      <c r="I74" s="66">
        <v>3</v>
      </c>
      <c r="J74" s="66">
        <v>4</v>
      </c>
      <c r="K74" s="66">
        <v>3</v>
      </c>
      <c r="L74" s="66">
        <v>3</v>
      </c>
      <c r="M74" s="66">
        <v>2</v>
      </c>
      <c r="N74" s="66">
        <v>3</v>
      </c>
      <c r="O74" s="66">
        <v>3</v>
      </c>
      <c r="P74" s="33"/>
      <c r="Q74" s="33"/>
      <c r="R74" s="33"/>
      <c r="S74" s="33"/>
      <c r="T74" s="33"/>
      <c r="U74" s="33"/>
      <c r="V74" s="33"/>
      <c r="W74" s="33"/>
      <c r="X74" s="33"/>
      <c r="Y74" s="33"/>
      <c r="Z74" s="33"/>
      <c r="AA74" s="33"/>
      <c r="AB74" s="33"/>
      <c r="AC74" s="33"/>
      <c r="AD74" s="33"/>
      <c r="AE74" s="33"/>
      <c r="AF74" s="33"/>
      <c r="AG74" s="33"/>
    </row>
    <row r="75" spans="2:41" s="32" customFormat="1" ht="15" customHeight="1">
      <c r="P75" s="33"/>
      <c r="Q75" s="33"/>
      <c r="R75" s="33"/>
      <c r="S75" s="33"/>
      <c r="T75" s="33"/>
      <c r="U75" s="33"/>
      <c r="V75" s="33"/>
      <c r="W75" s="33"/>
      <c r="X75" s="33"/>
      <c r="Y75" s="33"/>
      <c r="Z75" s="33"/>
      <c r="AA75" s="33"/>
      <c r="AB75" s="33"/>
      <c r="AC75" s="33"/>
      <c r="AD75" s="33"/>
      <c r="AE75" s="33"/>
      <c r="AF75" s="33"/>
      <c r="AG75" s="33"/>
    </row>
    <row r="76" spans="2:41" s="32" customFormat="1" ht="24.95" customHeight="1">
      <c r="B76" s="51">
        <v>1</v>
      </c>
      <c r="C76" s="51">
        <v>1</v>
      </c>
      <c r="D76" s="67">
        <v>4</v>
      </c>
      <c r="E76" s="55" cm="1">
        <f t="array" ref="E76:E95">_xlfn.BYROW(G76:O95,_xleta.SUM)</f>
        <v>29</v>
      </c>
      <c r="F76" s="131">
        <f>IF(ISBLANK(E76),0,IF(E76=Answers!E76,1,-1))</f>
        <v>1</v>
      </c>
      <c r="G76" s="68">
        <v>3</v>
      </c>
      <c r="H76" s="68">
        <v>5</v>
      </c>
      <c r="I76" s="68">
        <v>3</v>
      </c>
      <c r="J76" s="68">
        <v>2</v>
      </c>
      <c r="K76" s="68">
        <v>3</v>
      </c>
      <c r="L76" s="68">
        <v>2</v>
      </c>
      <c r="M76" s="68">
        <v>4</v>
      </c>
      <c r="N76" s="68">
        <v>5</v>
      </c>
      <c r="O76" s="68">
        <v>2</v>
      </c>
      <c r="P76" s="33"/>
      <c r="Q76" s="33"/>
      <c r="R76" s="33"/>
      <c r="S76" s="33"/>
      <c r="T76" s="33"/>
      <c r="U76" s="33"/>
      <c r="V76" s="33"/>
      <c r="W76" s="33"/>
      <c r="X76" s="33"/>
      <c r="Y76" s="33"/>
      <c r="Z76" s="33"/>
      <c r="AA76" s="33"/>
      <c r="AB76" s="33"/>
      <c r="AC76" s="33"/>
      <c r="AD76" s="33"/>
      <c r="AE76" s="33"/>
      <c r="AF76" s="33"/>
      <c r="AG76" s="33"/>
    </row>
    <row r="77" spans="2:41" s="32" customFormat="1" ht="24.95" customHeight="1">
      <c r="B77" s="51">
        <v>2</v>
      </c>
      <c r="C77" s="51">
        <v>1</v>
      </c>
      <c r="D77" s="67">
        <v>4</v>
      </c>
      <c r="E77" s="55">
        <v>31</v>
      </c>
      <c r="F77" s="131">
        <f>IF(ISBLANK(E77),0,IF(E77=Answers!E77,1,-1))</f>
        <v>1</v>
      </c>
      <c r="G77" s="66">
        <v>3</v>
      </c>
      <c r="H77" s="66">
        <v>2</v>
      </c>
      <c r="I77" s="66">
        <v>4</v>
      </c>
      <c r="J77" s="66">
        <v>3</v>
      </c>
      <c r="K77" s="66">
        <v>5</v>
      </c>
      <c r="L77" s="66">
        <v>4</v>
      </c>
      <c r="M77" s="66">
        <v>3</v>
      </c>
      <c r="N77" s="66">
        <v>5</v>
      </c>
      <c r="O77" s="66">
        <v>2</v>
      </c>
      <c r="P77" s="33"/>
      <c r="Q77" s="33"/>
      <c r="R77" s="33"/>
      <c r="S77" s="33"/>
      <c r="T77" s="33"/>
      <c r="U77" s="33"/>
      <c r="V77" s="33"/>
      <c r="W77" s="33"/>
      <c r="X77" s="33"/>
      <c r="Y77" s="33"/>
      <c r="Z77" s="33"/>
      <c r="AA77" s="33"/>
      <c r="AB77" s="33"/>
      <c r="AC77" s="33"/>
      <c r="AD77" s="33"/>
      <c r="AE77" s="33"/>
      <c r="AF77" s="33"/>
      <c r="AG77" s="33"/>
    </row>
    <row r="78" spans="2:41" s="32" customFormat="1" ht="24.95" customHeight="1">
      <c r="B78" s="51">
        <v>3</v>
      </c>
      <c r="C78" s="51">
        <v>1</v>
      </c>
      <c r="D78" s="67">
        <v>4</v>
      </c>
      <c r="E78" s="55">
        <v>35</v>
      </c>
      <c r="F78" s="131">
        <f>IF(ISBLANK(E78),0,IF(E78=Answers!E78,1,-1))</f>
        <v>1</v>
      </c>
      <c r="G78" s="66">
        <v>3</v>
      </c>
      <c r="H78" s="66">
        <v>5</v>
      </c>
      <c r="I78" s="66">
        <v>3</v>
      </c>
      <c r="J78" s="66">
        <v>4</v>
      </c>
      <c r="K78" s="66">
        <v>5</v>
      </c>
      <c r="L78" s="66">
        <v>5</v>
      </c>
      <c r="M78" s="66">
        <v>4</v>
      </c>
      <c r="N78" s="66">
        <v>3</v>
      </c>
      <c r="O78" s="66">
        <v>3</v>
      </c>
      <c r="P78" s="33"/>
      <c r="Q78" s="33"/>
      <c r="R78" s="33"/>
      <c r="S78" s="33"/>
      <c r="T78" s="33"/>
      <c r="U78" s="33"/>
      <c r="V78" s="33"/>
      <c r="W78" s="33"/>
      <c r="X78" s="33"/>
      <c r="Y78" s="33"/>
      <c r="Z78" s="33"/>
      <c r="AA78" s="33"/>
      <c r="AB78" s="33"/>
      <c r="AC78" s="33"/>
      <c r="AD78" s="33"/>
      <c r="AE78" s="33"/>
      <c r="AF78" s="33"/>
      <c r="AG78" s="33"/>
    </row>
    <row r="79" spans="2:41" s="32" customFormat="1" ht="24.95" customHeight="1">
      <c r="B79" s="51">
        <v>4</v>
      </c>
      <c r="C79" s="51">
        <v>1</v>
      </c>
      <c r="D79" s="67">
        <v>4</v>
      </c>
      <c r="E79" s="55">
        <v>35</v>
      </c>
      <c r="F79" s="131">
        <f>IF(ISBLANK(E79),0,IF(E79=Answers!E79,1,-1))</f>
        <v>1</v>
      </c>
      <c r="G79" s="66">
        <v>4</v>
      </c>
      <c r="H79" s="66">
        <v>3</v>
      </c>
      <c r="I79" s="66">
        <v>5</v>
      </c>
      <c r="J79" s="66">
        <v>5</v>
      </c>
      <c r="K79" s="66">
        <v>2</v>
      </c>
      <c r="L79" s="66">
        <v>4</v>
      </c>
      <c r="M79" s="66">
        <v>5</v>
      </c>
      <c r="N79" s="66">
        <v>4</v>
      </c>
      <c r="O79" s="66">
        <v>3</v>
      </c>
      <c r="P79" s="33"/>
      <c r="Q79" s="33"/>
      <c r="R79" s="33"/>
      <c r="S79" s="33"/>
      <c r="T79" s="33"/>
      <c r="U79" s="33"/>
      <c r="V79" s="33"/>
      <c r="W79" s="33"/>
      <c r="X79" s="33"/>
      <c r="Y79" s="33"/>
      <c r="Z79" s="33"/>
      <c r="AA79" s="33"/>
      <c r="AB79" s="33"/>
      <c r="AC79" s="33"/>
      <c r="AD79" s="33"/>
      <c r="AE79" s="33"/>
      <c r="AF79" s="33"/>
      <c r="AG79" s="33"/>
    </row>
    <row r="80" spans="2:41" s="32" customFormat="1" ht="24.95" customHeight="1">
      <c r="B80" s="51">
        <v>5</v>
      </c>
      <c r="C80" s="51">
        <v>1</v>
      </c>
      <c r="D80" s="67">
        <v>4</v>
      </c>
      <c r="E80" s="55">
        <v>28</v>
      </c>
      <c r="F80" s="131">
        <f>IF(ISBLANK(E80),0,IF(E80=Answers!E80,1,-1))</f>
        <v>1</v>
      </c>
      <c r="G80" s="66">
        <v>2</v>
      </c>
      <c r="H80" s="66">
        <v>3</v>
      </c>
      <c r="I80" s="66">
        <v>3</v>
      </c>
      <c r="J80" s="66">
        <v>5</v>
      </c>
      <c r="K80" s="66">
        <v>4</v>
      </c>
      <c r="L80" s="66">
        <v>4</v>
      </c>
      <c r="M80" s="66">
        <v>2</v>
      </c>
      <c r="N80" s="66">
        <v>2</v>
      </c>
      <c r="O80" s="66">
        <v>3</v>
      </c>
      <c r="P80" s="33"/>
      <c r="Q80" s="33"/>
      <c r="R80" s="33"/>
      <c r="S80" s="33"/>
      <c r="T80" s="33"/>
      <c r="U80" s="33"/>
      <c r="V80" s="33"/>
      <c r="W80" s="33"/>
      <c r="X80" s="33"/>
      <c r="Y80" s="33"/>
      <c r="Z80" s="33"/>
      <c r="AA80" s="33"/>
      <c r="AB80" s="33"/>
      <c r="AC80" s="33"/>
      <c r="AD80" s="33"/>
      <c r="AE80" s="33"/>
      <c r="AF80" s="33"/>
      <c r="AG80" s="33"/>
    </row>
    <row r="81" spans="2:36" s="32" customFormat="1" ht="24.95" customHeight="1">
      <c r="B81" s="51">
        <v>6</v>
      </c>
      <c r="C81" s="51">
        <v>1</v>
      </c>
      <c r="D81" s="67">
        <v>4</v>
      </c>
      <c r="E81" s="55">
        <v>31</v>
      </c>
      <c r="F81" s="131">
        <f>IF(ISBLANK(E81),0,IF(E81=Answers!E81,1,-1))</f>
        <v>1</v>
      </c>
      <c r="G81" s="66">
        <v>4</v>
      </c>
      <c r="H81" s="66">
        <v>4</v>
      </c>
      <c r="I81" s="66">
        <v>3</v>
      </c>
      <c r="J81" s="66">
        <v>2</v>
      </c>
      <c r="K81" s="66">
        <v>2</v>
      </c>
      <c r="L81" s="66">
        <v>4</v>
      </c>
      <c r="M81" s="66">
        <v>5</v>
      </c>
      <c r="N81" s="66">
        <v>2</v>
      </c>
      <c r="O81" s="66">
        <v>5</v>
      </c>
      <c r="P81" s="33"/>
      <c r="Q81" s="33"/>
      <c r="R81" s="33"/>
      <c r="S81" s="33"/>
      <c r="T81" s="33"/>
      <c r="U81" s="33"/>
      <c r="V81" s="33"/>
      <c r="W81" s="33"/>
      <c r="X81" s="33"/>
      <c r="Y81" s="33"/>
      <c r="Z81" s="33"/>
      <c r="AA81" s="33"/>
      <c r="AB81" s="33"/>
      <c r="AC81" s="33"/>
      <c r="AD81" s="33"/>
      <c r="AE81" s="33"/>
      <c r="AF81" s="33"/>
      <c r="AG81" s="33"/>
    </row>
    <row r="82" spans="2:36" s="32" customFormat="1" ht="24.95" customHeight="1">
      <c r="B82" s="51">
        <v>7</v>
      </c>
      <c r="C82" s="51">
        <v>1</v>
      </c>
      <c r="D82" s="67">
        <v>4</v>
      </c>
      <c r="E82" s="55">
        <v>30</v>
      </c>
      <c r="F82" s="131">
        <f>IF(ISBLANK(E82),0,IF(E82=Answers!E82,1,-1))</f>
        <v>1</v>
      </c>
      <c r="G82" s="66">
        <v>5</v>
      </c>
      <c r="H82" s="66">
        <v>5</v>
      </c>
      <c r="I82" s="66">
        <v>4</v>
      </c>
      <c r="J82" s="66">
        <v>4</v>
      </c>
      <c r="K82" s="66">
        <v>2</v>
      </c>
      <c r="L82" s="66">
        <v>2</v>
      </c>
      <c r="M82" s="66">
        <v>4</v>
      </c>
      <c r="N82" s="66">
        <v>2</v>
      </c>
      <c r="O82" s="66">
        <v>2</v>
      </c>
      <c r="P82" s="33"/>
      <c r="Q82" s="33"/>
      <c r="R82" s="33"/>
      <c r="S82" s="33"/>
      <c r="T82" s="33"/>
      <c r="U82" s="33"/>
      <c r="V82" s="33"/>
      <c r="W82" s="33"/>
      <c r="X82" s="33"/>
      <c r="Y82" s="33"/>
      <c r="Z82" s="33"/>
      <c r="AA82" s="33"/>
      <c r="AB82" s="33"/>
      <c r="AC82" s="33"/>
      <c r="AD82" s="33"/>
      <c r="AE82" s="33"/>
      <c r="AF82" s="33"/>
      <c r="AG82" s="33"/>
    </row>
    <row r="83" spans="2:36" s="32" customFormat="1" ht="24.95" customHeight="1">
      <c r="B83" s="51">
        <v>8</v>
      </c>
      <c r="C83" s="51">
        <v>1</v>
      </c>
      <c r="D83" s="67">
        <v>4</v>
      </c>
      <c r="E83" s="55">
        <v>32</v>
      </c>
      <c r="F83" s="131">
        <f>IF(ISBLANK(E83),0,IF(E83=Answers!E83,1,-1))</f>
        <v>1</v>
      </c>
      <c r="G83" s="66">
        <v>4</v>
      </c>
      <c r="H83" s="66">
        <v>3</v>
      </c>
      <c r="I83" s="66">
        <v>4</v>
      </c>
      <c r="J83" s="66">
        <v>5</v>
      </c>
      <c r="K83" s="66">
        <v>3</v>
      </c>
      <c r="L83" s="66">
        <v>2</v>
      </c>
      <c r="M83" s="66">
        <v>2</v>
      </c>
      <c r="N83" s="66">
        <v>5</v>
      </c>
      <c r="O83" s="66">
        <v>4</v>
      </c>
      <c r="P83" s="33"/>
      <c r="Q83" s="33"/>
      <c r="R83" s="33"/>
      <c r="S83" s="33"/>
      <c r="T83" s="33"/>
      <c r="U83" s="33"/>
      <c r="V83" s="33"/>
      <c r="W83" s="33"/>
      <c r="X83" s="33"/>
      <c r="Y83" s="33"/>
      <c r="Z83" s="33"/>
      <c r="AA83" s="33"/>
      <c r="AB83" s="33"/>
      <c r="AC83" s="33"/>
      <c r="AD83" s="33"/>
      <c r="AE83" s="33"/>
      <c r="AF83" s="33"/>
      <c r="AG83" s="33"/>
    </row>
    <row r="84" spans="2:36" s="32" customFormat="1" ht="24.95" customHeight="1">
      <c r="B84" s="51">
        <v>9</v>
      </c>
      <c r="C84" s="51">
        <v>1</v>
      </c>
      <c r="D84" s="67">
        <v>4</v>
      </c>
      <c r="E84" s="55">
        <v>37</v>
      </c>
      <c r="F84" s="131">
        <f>IF(ISBLANK(E84),0,IF(E84=Answers!E84,1,-1))</f>
        <v>1</v>
      </c>
      <c r="G84" s="66">
        <v>5</v>
      </c>
      <c r="H84" s="66">
        <v>4</v>
      </c>
      <c r="I84" s="66">
        <v>3</v>
      </c>
      <c r="J84" s="66">
        <v>4</v>
      </c>
      <c r="K84" s="66">
        <v>5</v>
      </c>
      <c r="L84" s="66">
        <v>2</v>
      </c>
      <c r="M84" s="66">
        <v>5</v>
      </c>
      <c r="N84" s="66">
        <v>5</v>
      </c>
      <c r="O84" s="66">
        <v>4</v>
      </c>
      <c r="P84" s="33"/>
      <c r="Q84" s="33"/>
      <c r="R84" s="33"/>
      <c r="S84" s="33"/>
      <c r="T84" s="33"/>
      <c r="U84" s="33"/>
      <c r="V84" s="33"/>
      <c r="W84" s="33"/>
      <c r="X84" s="33"/>
      <c r="Y84" s="33"/>
      <c r="Z84" s="33"/>
      <c r="AA84" s="33"/>
      <c r="AB84" s="33"/>
      <c r="AC84" s="33"/>
      <c r="AD84" s="33"/>
      <c r="AE84" s="33"/>
      <c r="AF84" s="33"/>
      <c r="AG84" s="33"/>
    </row>
    <row r="85" spans="2:36" s="32" customFormat="1" ht="24.95" customHeight="1">
      <c r="B85" s="51">
        <v>10</v>
      </c>
      <c r="C85" s="51">
        <v>1</v>
      </c>
      <c r="D85" s="67">
        <v>4</v>
      </c>
      <c r="E85" s="55">
        <v>33</v>
      </c>
      <c r="F85" s="131">
        <f>IF(ISBLANK(E85),0,IF(E85=Answers!E85,1,-1))</f>
        <v>1</v>
      </c>
      <c r="G85" s="66">
        <v>3</v>
      </c>
      <c r="H85" s="66">
        <v>5</v>
      </c>
      <c r="I85" s="66">
        <v>2</v>
      </c>
      <c r="J85" s="66">
        <v>4</v>
      </c>
      <c r="K85" s="66">
        <v>5</v>
      </c>
      <c r="L85" s="66">
        <v>5</v>
      </c>
      <c r="M85" s="66">
        <v>3</v>
      </c>
      <c r="N85" s="66">
        <v>2</v>
      </c>
      <c r="O85" s="66">
        <v>4</v>
      </c>
      <c r="P85" s="33"/>
      <c r="Q85" s="33"/>
      <c r="R85" s="33"/>
      <c r="S85" s="33"/>
      <c r="T85" s="33"/>
      <c r="U85" s="33"/>
      <c r="V85" s="33"/>
      <c r="W85" s="33"/>
      <c r="X85" s="33"/>
      <c r="Y85" s="33"/>
      <c r="Z85" s="33"/>
      <c r="AA85" s="33"/>
      <c r="AB85" s="33"/>
      <c r="AC85" s="33"/>
      <c r="AD85" s="33"/>
      <c r="AE85" s="33"/>
      <c r="AF85" s="33"/>
      <c r="AG85" s="33"/>
    </row>
    <row r="86" spans="2:36" s="32" customFormat="1" ht="24.95" customHeight="1">
      <c r="B86" s="51">
        <v>11</v>
      </c>
      <c r="C86" s="51">
        <v>1</v>
      </c>
      <c r="D86" s="67">
        <v>4</v>
      </c>
      <c r="E86" s="55">
        <v>28</v>
      </c>
      <c r="F86" s="131">
        <f>IF(ISBLANK(E86),0,IF(E86=Answers!E86,1,-1))</f>
        <v>1</v>
      </c>
      <c r="G86" s="66">
        <v>5</v>
      </c>
      <c r="H86" s="66">
        <v>2</v>
      </c>
      <c r="I86" s="66">
        <v>2</v>
      </c>
      <c r="J86" s="66">
        <v>3</v>
      </c>
      <c r="K86" s="66">
        <v>2</v>
      </c>
      <c r="L86" s="66">
        <v>3</v>
      </c>
      <c r="M86" s="66">
        <v>5</v>
      </c>
      <c r="N86" s="66">
        <v>4</v>
      </c>
      <c r="O86" s="66">
        <v>2</v>
      </c>
      <c r="P86" s="33"/>
      <c r="Q86" s="33"/>
      <c r="R86" s="33"/>
      <c r="S86" s="33"/>
      <c r="T86" s="33"/>
      <c r="U86" s="33"/>
      <c r="V86" s="33"/>
      <c r="W86" s="33"/>
      <c r="X86" s="33"/>
      <c r="Y86" s="33"/>
      <c r="Z86" s="33"/>
      <c r="AA86" s="33"/>
      <c r="AB86" s="33"/>
      <c r="AC86" s="33"/>
      <c r="AD86" s="33"/>
      <c r="AE86" s="33"/>
      <c r="AF86" s="33"/>
      <c r="AG86" s="33"/>
    </row>
    <row r="87" spans="2:36" s="32" customFormat="1" ht="24.95" customHeight="1">
      <c r="B87" s="51">
        <v>12</v>
      </c>
      <c r="C87" s="51">
        <v>1</v>
      </c>
      <c r="D87" s="67">
        <v>4</v>
      </c>
      <c r="E87" s="55">
        <v>34</v>
      </c>
      <c r="F87" s="131">
        <f>IF(ISBLANK(E87),0,IF(E87=Answers!E87,1,-1))</f>
        <v>1</v>
      </c>
      <c r="G87" s="66">
        <v>5</v>
      </c>
      <c r="H87" s="66">
        <v>4</v>
      </c>
      <c r="I87" s="66">
        <v>5</v>
      </c>
      <c r="J87" s="66">
        <v>2</v>
      </c>
      <c r="K87" s="66">
        <v>4</v>
      </c>
      <c r="L87" s="66">
        <v>5</v>
      </c>
      <c r="M87" s="66">
        <v>2</v>
      </c>
      <c r="N87" s="66">
        <v>5</v>
      </c>
      <c r="O87" s="66">
        <v>2</v>
      </c>
      <c r="P87" s="33"/>
      <c r="Q87" s="33"/>
      <c r="R87" s="33"/>
      <c r="S87" s="33"/>
      <c r="T87" s="33"/>
      <c r="U87" s="33"/>
      <c r="V87" s="33"/>
      <c r="W87" s="33"/>
      <c r="X87" s="33"/>
      <c r="Y87" s="33"/>
      <c r="Z87" s="33"/>
      <c r="AA87" s="33"/>
      <c r="AB87" s="33"/>
      <c r="AC87" s="33"/>
      <c r="AD87" s="33"/>
      <c r="AE87" s="33"/>
      <c r="AF87" s="33"/>
      <c r="AG87" s="33"/>
    </row>
    <row r="88" spans="2:36" s="32" customFormat="1" ht="24.95" customHeight="1">
      <c r="B88" s="51">
        <v>13</v>
      </c>
      <c r="C88" s="51">
        <v>1</v>
      </c>
      <c r="D88" s="67">
        <v>4</v>
      </c>
      <c r="E88" s="55">
        <v>31</v>
      </c>
      <c r="F88" s="131">
        <f>IF(ISBLANK(E88),0,IF(E88=Answers!E88,1,-1))</f>
        <v>1</v>
      </c>
      <c r="G88" s="66">
        <v>3</v>
      </c>
      <c r="H88" s="66">
        <v>4</v>
      </c>
      <c r="I88" s="66">
        <v>2</v>
      </c>
      <c r="J88" s="66">
        <v>3</v>
      </c>
      <c r="K88" s="66">
        <v>2</v>
      </c>
      <c r="L88" s="66">
        <v>5</v>
      </c>
      <c r="M88" s="66">
        <v>4</v>
      </c>
      <c r="N88" s="66">
        <v>3</v>
      </c>
      <c r="O88" s="66">
        <v>5</v>
      </c>
      <c r="P88" s="33"/>
      <c r="Q88" s="33"/>
      <c r="R88" s="33"/>
      <c r="S88" s="33"/>
      <c r="T88" s="33"/>
      <c r="U88" s="33"/>
      <c r="V88" s="33"/>
      <c r="W88" s="33"/>
      <c r="X88" s="33"/>
      <c r="Y88" s="33"/>
      <c r="Z88" s="33"/>
      <c r="AA88" s="33"/>
      <c r="AB88" s="33"/>
      <c r="AC88" s="33"/>
      <c r="AD88" s="33"/>
      <c r="AE88" s="33"/>
      <c r="AF88" s="33"/>
      <c r="AG88" s="33"/>
    </row>
    <row r="89" spans="2:36" s="32" customFormat="1" ht="24.95" customHeight="1">
      <c r="B89" s="51">
        <v>14</v>
      </c>
      <c r="C89" s="51">
        <v>1</v>
      </c>
      <c r="D89" s="67">
        <v>4</v>
      </c>
      <c r="E89" s="55">
        <v>35</v>
      </c>
      <c r="F89" s="131">
        <f>IF(ISBLANK(E89),0,IF(E89=Answers!E89,1,-1))</f>
        <v>1</v>
      </c>
      <c r="G89" s="66">
        <v>4</v>
      </c>
      <c r="H89" s="66">
        <v>4</v>
      </c>
      <c r="I89" s="66">
        <v>4</v>
      </c>
      <c r="J89" s="66">
        <v>3</v>
      </c>
      <c r="K89" s="66">
        <v>2</v>
      </c>
      <c r="L89" s="66">
        <v>5</v>
      </c>
      <c r="M89" s="66">
        <v>5</v>
      </c>
      <c r="N89" s="66">
        <v>3</v>
      </c>
      <c r="O89" s="66">
        <v>5</v>
      </c>
      <c r="P89" s="33"/>
      <c r="Q89" s="33"/>
      <c r="R89" s="33"/>
      <c r="S89" s="33"/>
      <c r="T89" s="33"/>
      <c r="U89" s="33"/>
      <c r="V89" s="33"/>
      <c r="W89" s="33"/>
      <c r="X89" s="33"/>
      <c r="Y89" s="33"/>
      <c r="Z89" s="33"/>
      <c r="AA89" s="33"/>
      <c r="AB89" s="33"/>
      <c r="AC89" s="33"/>
      <c r="AD89" s="33"/>
      <c r="AE89" s="33"/>
      <c r="AF89" s="33"/>
      <c r="AG89" s="33"/>
    </row>
    <row r="90" spans="2:36" s="32" customFormat="1" ht="24.95" customHeight="1">
      <c r="B90" s="51">
        <v>15</v>
      </c>
      <c r="C90" s="51">
        <v>1</v>
      </c>
      <c r="D90" s="67">
        <v>4</v>
      </c>
      <c r="E90" s="55">
        <v>34</v>
      </c>
      <c r="F90" s="131">
        <f>IF(ISBLANK(E90),0,IF(E90=Answers!E90,1,-1))</f>
        <v>1</v>
      </c>
      <c r="G90" s="66">
        <v>3</v>
      </c>
      <c r="H90" s="66">
        <v>3</v>
      </c>
      <c r="I90" s="66">
        <v>3</v>
      </c>
      <c r="J90" s="66">
        <v>5</v>
      </c>
      <c r="K90" s="66">
        <v>2</v>
      </c>
      <c r="L90" s="66">
        <v>5</v>
      </c>
      <c r="M90" s="66">
        <v>3</v>
      </c>
      <c r="N90" s="66">
        <v>5</v>
      </c>
      <c r="O90" s="66">
        <v>5</v>
      </c>
      <c r="P90" s="33"/>
      <c r="Q90" s="33"/>
      <c r="R90" s="33"/>
      <c r="S90" s="33"/>
      <c r="T90" s="33"/>
      <c r="U90" s="33"/>
      <c r="V90" s="33"/>
      <c r="W90" s="33"/>
      <c r="X90" s="33"/>
      <c r="Y90" s="33"/>
      <c r="Z90" s="33"/>
      <c r="AA90" s="33"/>
      <c r="AB90" s="33"/>
      <c r="AC90" s="33"/>
      <c r="AD90" s="33"/>
      <c r="AE90" s="33"/>
      <c r="AF90" s="33"/>
      <c r="AG90" s="33"/>
    </row>
    <row r="91" spans="2:36" s="32" customFormat="1" ht="24.95" customHeight="1">
      <c r="B91" s="51">
        <v>16</v>
      </c>
      <c r="C91" s="51">
        <v>1</v>
      </c>
      <c r="D91" s="67">
        <v>4</v>
      </c>
      <c r="E91" s="55">
        <v>30</v>
      </c>
      <c r="F91" s="131">
        <f>IF(ISBLANK(E91),0,IF(E91=Answers!E91,1,-1))</f>
        <v>1</v>
      </c>
      <c r="G91" s="66">
        <v>2</v>
      </c>
      <c r="H91" s="66">
        <v>3</v>
      </c>
      <c r="I91" s="66">
        <v>2</v>
      </c>
      <c r="J91" s="66">
        <v>2</v>
      </c>
      <c r="K91" s="66">
        <v>5</v>
      </c>
      <c r="L91" s="66">
        <v>4</v>
      </c>
      <c r="M91" s="66">
        <v>5</v>
      </c>
      <c r="N91" s="66">
        <v>5</v>
      </c>
      <c r="O91" s="66">
        <v>2</v>
      </c>
      <c r="P91" s="33"/>
      <c r="Q91" s="33"/>
      <c r="R91" s="33"/>
      <c r="S91" s="33"/>
      <c r="T91" s="33"/>
      <c r="U91" s="33"/>
      <c r="V91" s="33"/>
      <c r="W91" s="33"/>
      <c r="X91" s="33"/>
      <c r="Y91" s="33"/>
      <c r="Z91" s="33"/>
      <c r="AA91" s="33"/>
      <c r="AB91" s="33"/>
      <c r="AC91" s="33"/>
      <c r="AD91" s="33"/>
      <c r="AE91" s="33"/>
      <c r="AF91" s="33"/>
      <c r="AG91" s="33"/>
    </row>
    <row r="92" spans="2:36" s="32" customFormat="1" ht="24.95" customHeight="1">
      <c r="B92" s="51">
        <v>17</v>
      </c>
      <c r="C92" s="51">
        <v>1</v>
      </c>
      <c r="D92" s="67">
        <v>4</v>
      </c>
      <c r="E92" s="55">
        <v>33</v>
      </c>
      <c r="F92" s="131">
        <f>IF(ISBLANK(E92),0,IF(E92=Answers!E92,1,-1))</f>
        <v>1</v>
      </c>
      <c r="G92" s="66">
        <v>3</v>
      </c>
      <c r="H92" s="66">
        <v>4</v>
      </c>
      <c r="I92" s="66">
        <v>4</v>
      </c>
      <c r="J92" s="66">
        <v>3</v>
      </c>
      <c r="K92" s="66">
        <v>4</v>
      </c>
      <c r="L92" s="66">
        <v>3</v>
      </c>
      <c r="M92" s="66">
        <v>4</v>
      </c>
      <c r="N92" s="66">
        <v>4</v>
      </c>
      <c r="O92" s="66">
        <v>4</v>
      </c>
      <c r="P92" s="33"/>
      <c r="Q92" s="33"/>
      <c r="R92" s="33"/>
      <c r="S92" s="33"/>
      <c r="T92" s="33"/>
      <c r="U92" s="33"/>
      <c r="V92" s="33"/>
      <c r="W92" s="33"/>
      <c r="X92" s="33"/>
      <c r="Y92" s="33"/>
      <c r="Z92" s="33"/>
      <c r="AA92" s="33"/>
      <c r="AB92" s="33"/>
      <c r="AC92" s="33"/>
      <c r="AD92" s="33"/>
      <c r="AE92" s="33"/>
      <c r="AF92" s="33"/>
      <c r="AG92" s="33"/>
    </row>
    <row r="93" spans="2:36" s="32" customFormat="1" ht="24.95" customHeight="1">
      <c r="B93" s="51">
        <v>18</v>
      </c>
      <c r="C93" s="51">
        <v>1</v>
      </c>
      <c r="D93" s="67">
        <v>4</v>
      </c>
      <c r="E93" s="55">
        <v>29</v>
      </c>
      <c r="F93" s="131">
        <f>IF(ISBLANK(E93),0,IF(E93=Answers!E93,1,-1))</f>
        <v>1</v>
      </c>
      <c r="G93" s="66">
        <v>3</v>
      </c>
      <c r="H93" s="66">
        <v>4</v>
      </c>
      <c r="I93" s="66">
        <v>5</v>
      </c>
      <c r="J93" s="66">
        <v>2</v>
      </c>
      <c r="K93" s="66">
        <v>2</v>
      </c>
      <c r="L93" s="66">
        <v>5</v>
      </c>
      <c r="M93" s="66">
        <v>2</v>
      </c>
      <c r="N93" s="66">
        <v>3</v>
      </c>
      <c r="O93" s="66">
        <v>3</v>
      </c>
      <c r="P93" s="33"/>
      <c r="Q93" s="33"/>
      <c r="R93" s="33"/>
      <c r="S93" s="33"/>
      <c r="T93" s="33"/>
      <c r="U93" s="33"/>
      <c r="V93" s="33"/>
      <c r="W93" s="33"/>
      <c r="X93" s="33"/>
      <c r="Y93" s="33"/>
      <c r="Z93" s="33"/>
      <c r="AA93" s="33"/>
      <c r="AB93" s="33"/>
      <c r="AC93" s="33"/>
      <c r="AD93" s="33"/>
      <c r="AE93" s="33"/>
      <c r="AF93" s="33"/>
      <c r="AG93" s="33"/>
      <c r="AH93" s="33"/>
      <c r="AI93" s="33"/>
      <c r="AJ93" s="33"/>
    </row>
    <row r="94" spans="2:36" s="32" customFormat="1" ht="24.95" customHeight="1">
      <c r="B94" s="51">
        <v>19</v>
      </c>
      <c r="C94" s="51">
        <v>1</v>
      </c>
      <c r="D94" s="67">
        <v>4</v>
      </c>
      <c r="E94" s="55">
        <v>32</v>
      </c>
      <c r="F94" s="131">
        <f>IF(ISBLANK(E94),0,IF(E94=Answers!E94,1,-1))</f>
        <v>1</v>
      </c>
      <c r="G94" s="66">
        <v>3</v>
      </c>
      <c r="H94" s="66">
        <v>3</v>
      </c>
      <c r="I94" s="66">
        <v>4</v>
      </c>
      <c r="J94" s="66">
        <v>4</v>
      </c>
      <c r="K94" s="66">
        <v>2</v>
      </c>
      <c r="L94" s="66">
        <v>3</v>
      </c>
      <c r="M94" s="66">
        <v>5</v>
      </c>
      <c r="N94" s="66">
        <v>4</v>
      </c>
      <c r="O94" s="66">
        <v>4</v>
      </c>
      <c r="P94" s="33"/>
      <c r="Q94" s="33"/>
      <c r="R94" s="33"/>
      <c r="S94" s="33"/>
      <c r="T94" s="33"/>
      <c r="U94" s="33"/>
      <c r="V94" s="33"/>
      <c r="W94" s="33"/>
      <c r="X94" s="33"/>
      <c r="Y94" s="33"/>
      <c r="Z94" s="33"/>
      <c r="AA94" s="33"/>
      <c r="AB94" s="33"/>
      <c r="AC94" s="33"/>
      <c r="AD94" s="33"/>
      <c r="AE94" s="33"/>
      <c r="AF94" s="33"/>
      <c r="AG94" s="33"/>
      <c r="AH94" s="33"/>
      <c r="AI94" s="33"/>
      <c r="AJ94" s="33"/>
    </row>
    <row r="95" spans="2:36" s="32" customFormat="1" ht="24.95" customHeight="1">
      <c r="B95" s="51">
        <v>20</v>
      </c>
      <c r="C95" s="51">
        <v>1</v>
      </c>
      <c r="D95" s="67">
        <v>4</v>
      </c>
      <c r="E95" s="55">
        <v>34</v>
      </c>
      <c r="F95" s="131">
        <f>IF(ISBLANK(E95),0,IF(E95=Answers!E95,1,-1))</f>
        <v>1</v>
      </c>
      <c r="G95" s="66">
        <v>5</v>
      </c>
      <c r="H95" s="66">
        <v>3</v>
      </c>
      <c r="I95" s="66">
        <v>4</v>
      </c>
      <c r="J95" s="66">
        <v>4</v>
      </c>
      <c r="K95" s="66">
        <v>4</v>
      </c>
      <c r="L95" s="66">
        <v>5</v>
      </c>
      <c r="M95" s="66">
        <v>4</v>
      </c>
      <c r="N95" s="66">
        <v>3</v>
      </c>
      <c r="O95" s="66">
        <v>2</v>
      </c>
      <c r="P95" s="33"/>
      <c r="Q95" s="33"/>
      <c r="R95" s="33"/>
      <c r="S95" s="33"/>
      <c r="T95" s="33"/>
      <c r="U95" s="33"/>
      <c r="V95" s="33"/>
      <c r="W95" s="33"/>
      <c r="X95" s="33"/>
      <c r="Y95" s="33"/>
      <c r="Z95" s="33"/>
      <c r="AA95" s="33"/>
      <c r="AB95" s="33"/>
      <c r="AC95" s="33"/>
      <c r="AD95" s="33"/>
      <c r="AE95" s="33"/>
      <c r="AF95" s="33"/>
      <c r="AG95" s="33"/>
      <c r="AH95" s="33"/>
      <c r="AI95" s="33"/>
      <c r="AJ95" s="33"/>
    </row>
    <row r="96" spans="2:36" s="32" customFormat="1" ht="15" customHeight="1" thickBot="1">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row>
    <row r="97" spans="2:41" s="32" customFormat="1" ht="22.5" customHeight="1" thickBot="1">
      <c r="B97" s="57" t="s">
        <v>36</v>
      </c>
      <c r="C97" s="114" t="s">
        <v>126</v>
      </c>
      <c r="D97" s="59"/>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row>
    <row r="98" spans="2:41" s="16" customFormat="1" ht="15" customHeight="1">
      <c r="H98" s="32"/>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row>
    <row r="99" spans="2:41" s="16" customFormat="1" ht="15" customHeight="1">
      <c r="B99" s="60" t="s">
        <v>101</v>
      </c>
      <c r="C99" s="61"/>
      <c r="H99" s="32"/>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row>
    <row r="100" spans="2:41" s="16" customFormat="1" ht="15" customHeight="1">
      <c r="B100" s="61"/>
      <c r="C100" s="61"/>
      <c r="H100" s="32"/>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row>
    <row r="101" spans="2:41" s="16" customFormat="1" ht="15" customHeight="1">
      <c r="B101" s="60" t="s">
        <v>102</v>
      </c>
      <c r="C101" s="61"/>
      <c r="H101" s="32"/>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row>
    <row r="102" spans="2:41" s="16" customFormat="1" ht="15" customHeight="1">
      <c r="H102" s="32"/>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row>
    <row r="103" spans="2:41" s="16" customFormat="1" ht="15" customHeight="1">
      <c r="B103" s="63" t="s">
        <v>34</v>
      </c>
      <c r="C103" s="61"/>
      <c r="D103" s="50"/>
      <c r="E103" s="50"/>
      <c r="F103" s="50"/>
      <c r="G103" s="50"/>
      <c r="H103" s="32"/>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row>
    <row r="104" spans="2:41" s="16" customFormat="1" ht="15" customHeight="1">
      <c r="B104" s="61" t="s">
        <v>104</v>
      </c>
      <c r="D104" s="50"/>
      <c r="E104" s="50"/>
      <c r="F104" s="50"/>
      <c r="G104" s="50"/>
      <c r="H104" s="32"/>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row>
    <row r="105" spans="2:41" s="16" customFormat="1" ht="15" customHeight="1">
      <c r="B105" s="61" t="s">
        <v>105</v>
      </c>
      <c r="D105" s="50"/>
      <c r="E105" s="50"/>
      <c r="F105" s="50"/>
      <c r="G105" s="50"/>
      <c r="H105" s="32"/>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row>
    <row r="106" spans="2:41" s="16" customFormat="1" ht="15" customHeight="1" thickBot="1">
      <c r="B106" s="61" t="s">
        <v>106</v>
      </c>
      <c r="D106" s="50"/>
      <c r="E106" s="50"/>
      <c r="F106" s="50"/>
      <c r="G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row>
    <row r="107" spans="2:41" s="50" customFormat="1" ht="22.5" customHeight="1" thickBot="1">
      <c r="B107" s="16"/>
      <c r="C107" s="16"/>
      <c r="D107" s="16"/>
      <c r="E107" s="16"/>
      <c r="F107" s="16"/>
      <c r="G107" s="110" t="s">
        <v>90</v>
      </c>
      <c r="H107" s="111"/>
      <c r="I107" s="111"/>
      <c r="J107" s="111"/>
      <c r="K107" s="111"/>
      <c r="L107" s="111"/>
      <c r="M107" s="111"/>
      <c r="N107" s="111"/>
      <c r="O107" s="112"/>
    </row>
    <row r="108" spans="2:41" s="50" customFormat="1" ht="22.5" customHeight="1" thickBot="1">
      <c r="B108" s="47" t="s">
        <v>8</v>
      </c>
      <c r="C108" s="48" t="s">
        <v>9</v>
      </c>
      <c r="D108" s="47" t="s">
        <v>10</v>
      </c>
      <c r="E108" s="64" t="s">
        <v>11</v>
      </c>
      <c r="F108" s="16"/>
      <c r="G108" s="47" t="s">
        <v>12</v>
      </c>
      <c r="H108" s="47" t="s">
        <v>13</v>
      </c>
      <c r="I108" s="47" t="s">
        <v>14</v>
      </c>
      <c r="J108" s="47" t="s">
        <v>15</v>
      </c>
      <c r="K108" s="47" t="s">
        <v>16</v>
      </c>
      <c r="L108" s="47" t="s">
        <v>17</v>
      </c>
      <c r="M108" s="47" t="s">
        <v>18</v>
      </c>
      <c r="N108" s="47" t="s">
        <v>19</v>
      </c>
      <c r="O108" s="47" t="s">
        <v>20</v>
      </c>
    </row>
    <row r="109" spans="2:41" s="32" customFormat="1" ht="15" customHeight="1">
      <c r="J109" s="33"/>
      <c r="K109" s="33"/>
      <c r="L109" s="33"/>
      <c r="M109" s="33"/>
      <c r="N109" s="33"/>
      <c r="O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row>
    <row r="110" spans="2:41" s="32" customFormat="1" ht="24.95" customHeight="1">
      <c r="B110" s="65" t="s">
        <v>37</v>
      </c>
      <c r="C110" s="51">
        <v>2</v>
      </c>
      <c r="D110" s="52">
        <v>0</v>
      </c>
      <c r="E110" s="55">
        <v>5</v>
      </c>
      <c r="F110" s="131">
        <f>IF(ISBLANK(E110),0,IF(E110=Answers!E110,1,-1))</f>
        <v>1</v>
      </c>
      <c r="G110" s="66">
        <v>3</v>
      </c>
      <c r="H110" s="66">
        <v>5</v>
      </c>
      <c r="I110" s="66">
        <v>3</v>
      </c>
      <c r="J110" s="66">
        <v>4</v>
      </c>
      <c r="K110" s="66">
        <v>3</v>
      </c>
      <c r="L110" s="66">
        <v>3</v>
      </c>
      <c r="M110" s="66">
        <v>2</v>
      </c>
      <c r="N110" s="66">
        <v>3</v>
      </c>
      <c r="O110" s="66">
        <v>3</v>
      </c>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row>
    <row r="111" spans="2:41" s="32" customFormat="1" ht="15" customHeight="1">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row>
    <row r="112" spans="2:41" s="32" customFormat="1" ht="24.95" customHeight="1">
      <c r="B112" s="51">
        <v>21</v>
      </c>
      <c r="C112" s="51">
        <v>2</v>
      </c>
      <c r="D112" s="67">
        <v>5</v>
      </c>
      <c r="E112" s="55" cm="1">
        <f t="array" ref="E112:E131">_xlfn.BYROW(G112:O131, _xleta.MAX)</f>
        <v>5</v>
      </c>
      <c r="F112" s="131">
        <f>IF(ISBLANK(E112),0,IF(E112=Answers!E112,1,-1))</f>
        <v>1</v>
      </c>
      <c r="G112" s="68">
        <v>3</v>
      </c>
      <c r="H112" s="68">
        <v>5</v>
      </c>
      <c r="I112" s="68">
        <v>2</v>
      </c>
      <c r="J112" s="68">
        <v>3</v>
      </c>
      <c r="K112" s="68">
        <v>2</v>
      </c>
      <c r="L112" s="68">
        <v>2</v>
      </c>
      <c r="M112" s="68">
        <v>5</v>
      </c>
      <c r="N112" s="68">
        <v>2</v>
      </c>
      <c r="O112" s="68">
        <v>5</v>
      </c>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row>
    <row r="113" spans="2:41" s="32" customFormat="1" ht="24.95" customHeight="1">
      <c r="B113" s="51">
        <v>22</v>
      </c>
      <c r="C113" s="51">
        <v>2</v>
      </c>
      <c r="D113" s="67">
        <v>5</v>
      </c>
      <c r="E113" s="55">
        <v>4</v>
      </c>
      <c r="F113" s="131">
        <f>IF(ISBLANK(E113),0,IF(E113=Answers!E113,1,-1))</f>
        <v>1</v>
      </c>
      <c r="G113" s="66">
        <v>2</v>
      </c>
      <c r="H113" s="66">
        <v>2</v>
      </c>
      <c r="I113" s="66">
        <v>4</v>
      </c>
      <c r="J113" s="66">
        <v>4</v>
      </c>
      <c r="K113" s="66">
        <v>4</v>
      </c>
      <c r="L113" s="66">
        <v>3</v>
      </c>
      <c r="M113" s="66">
        <v>2</v>
      </c>
      <c r="N113" s="66">
        <v>2</v>
      </c>
      <c r="O113" s="66">
        <v>4</v>
      </c>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row>
    <row r="114" spans="2:41" s="32" customFormat="1" ht="24.95" customHeight="1">
      <c r="B114" s="51">
        <v>23</v>
      </c>
      <c r="C114" s="51">
        <v>2</v>
      </c>
      <c r="D114" s="67">
        <v>5</v>
      </c>
      <c r="E114" s="55">
        <v>5</v>
      </c>
      <c r="F114" s="131">
        <f>IF(ISBLANK(E114),0,IF(E114=Answers!E114,1,-1))</f>
        <v>1</v>
      </c>
      <c r="G114" s="66">
        <v>4</v>
      </c>
      <c r="H114" s="66">
        <v>4</v>
      </c>
      <c r="I114" s="66">
        <v>5</v>
      </c>
      <c r="J114" s="66">
        <v>2</v>
      </c>
      <c r="K114" s="66">
        <v>2</v>
      </c>
      <c r="L114" s="66">
        <v>5</v>
      </c>
      <c r="M114" s="66">
        <v>3</v>
      </c>
      <c r="N114" s="66">
        <v>3</v>
      </c>
      <c r="O114" s="66">
        <v>2</v>
      </c>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row>
    <row r="115" spans="2:41" s="32" customFormat="1" ht="24.95" customHeight="1">
      <c r="B115" s="51">
        <v>24</v>
      </c>
      <c r="C115" s="51">
        <v>2</v>
      </c>
      <c r="D115" s="67">
        <v>5</v>
      </c>
      <c r="E115" s="55">
        <v>5</v>
      </c>
      <c r="F115" s="131">
        <f>IF(ISBLANK(E115),0,IF(E115=Answers!E115,1,-1))</f>
        <v>1</v>
      </c>
      <c r="G115" s="66">
        <v>3</v>
      </c>
      <c r="H115" s="66">
        <v>5</v>
      </c>
      <c r="I115" s="66">
        <v>3</v>
      </c>
      <c r="J115" s="66">
        <v>3</v>
      </c>
      <c r="K115" s="66">
        <v>3</v>
      </c>
      <c r="L115" s="66">
        <v>5</v>
      </c>
      <c r="M115" s="66">
        <v>5</v>
      </c>
      <c r="N115" s="66">
        <v>4</v>
      </c>
      <c r="O115" s="66">
        <v>5</v>
      </c>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row>
    <row r="116" spans="2:41" s="32" customFormat="1" ht="24.95" customHeight="1">
      <c r="B116" s="51">
        <v>25</v>
      </c>
      <c r="C116" s="51">
        <v>2</v>
      </c>
      <c r="D116" s="67">
        <v>5</v>
      </c>
      <c r="E116" s="55">
        <v>5</v>
      </c>
      <c r="F116" s="131">
        <f>IF(ISBLANK(E116),0,IF(E116=Answers!E116,1,-1))</f>
        <v>1</v>
      </c>
      <c r="G116" s="66">
        <v>2</v>
      </c>
      <c r="H116" s="66">
        <v>5</v>
      </c>
      <c r="I116" s="66">
        <v>4</v>
      </c>
      <c r="J116" s="66">
        <v>3</v>
      </c>
      <c r="K116" s="66">
        <v>3</v>
      </c>
      <c r="L116" s="66">
        <v>5</v>
      </c>
      <c r="M116" s="66">
        <v>2</v>
      </c>
      <c r="N116" s="66">
        <v>2</v>
      </c>
      <c r="O116" s="66">
        <v>4</v>
      </c>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row>
    <row r="117" spans="2:41" s="32" customFormat="1" ht="24.95" customHeight="1">
      <c r="B117" s="51">
        <v>26</v>
      </c>
      <c r="C117" s="51">
        <v>2</v>
      </c>
      <c r="D117" s="67">
        <v>5</v>
      </c>
      <c r="E117" s="55">
        <v>5</v>
      </c>
      <c r="F117" s="131">
        <f>IF(ISBLANK(E117),0,IF(E117=Answers!E117,1,-1))</f>
        <v>1</v>
      </c>
      <c r="G117" s="66">
        <v>4</v>
      </c>
      <c r="H117" s="66">
        <v>3</v>
      </c>
      <c r="I117" s="66">
        <v>4</v>
      </c>
      <c r="J117" s="66">
        <v>5</v>
      </c>
      <c r="K117" s="66">
        <v>2</v>
      </c>
      <c r="L117" s="66">
        <v>2</v>
      </c>
      <c r="M117" s="66">
        <v>5</v>
      </c>
      <c r="N117" s="66">
        <v>2</v>
      </c>
      <c r="O117" s="66">
        <v>2</v>
      </c>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row>
    <row r="118" spans="2:41" s="32" customFormat="1" ht="24.95" customHeight="1">
      <c r="B118" s="51">
        <v>27</v>
      </c>
      <c r="C118" s="51">
        <v>2</v>
      </c>
      <c r="D118" s="67">
        <v>5</v>
      </c>
      <c r="E118" s="55">
        <v>3</v>
      </c>
      <c r="F118" s="131">
        <f>IF(ISBLANK(E118),0,IF(E118=Answers!E118,1,-1))</f>
        <v>1</v>
      </c>
      <c r="G118" s="66">
        <v>2</v>
      </c>
      <c r="H118" s="66">
        <v>3</v>
      </c>
      <c r="I118" s="66">
        <v>2</v>
      </c>
      <c r="J118" s="66">
        <v>2</v>
      </c>
      <c r="K118" s="66">
        <v>3</v>
      </c>
      <c r="L118" s="66">
        <v>2</v>
      </c>
      <c r="M118" s="66">
        <v>3</v>
      </c>
      <c r="N118" s="66">
        <v>3</v>
      </c>
      <c r="O118" s="66">
        <v>3</v>
      </c>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row>
    <row r="119" spans="2:41" s="32" customFormat="1" ht="24.95" customHeight="1">
      <c r="B119" s="51">
        <v>28</v>
      </c>
      <c r="C119" s="51">
        <v>2</v>
      </c>
      <c r="D119" s="67">
        <v>5</v>
      </c>
      <c r="E119" s="55">
        <v>5</v>
      </c>
      <c r="F119" s="131">
        <f>IF(ISBLANK(E119),0,IF(E119=Answers!E119,1,-1))</f>
        <v>1</v>
      </c>
      <c r="G119" s="66">
        <v>5</v>
      </c>
      <c r="H119" s="66">
        <v>2</v>
      </c>
      <c r="I119" s="66">
        <v>5</v>
      </c>
      <c r="J119" s="66">
        <v>2</v>
      </c>
      <c r="K119" s="66">
        <v>4</v>
      </c>
      <c r="L119" s="66">
        <v>2</v>
      </c>
      <c r="M119" s="66">
        <v>5</v>
      </c>
      <c r="N119" s="66">
        <v>3</v>
      </c>
      <c r="O119" s="66">
        <v>5</v>
      </c>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row>
    <row r="120" spans="2:41" s="32" customFormat="1" ht="24.95" customHeight="1">
      <c r="B120" s="51">
        <v>29</v>
      </c>
      <c r="C120" s="51">
        <v>2</v>
      </c>
      <c r="D120" s="67">
        <v>5</v>
      </c>
      <c r="E120" s="55">
        <v>5</v>
      </c>
      <c r="F120" s="131">
        <f>IF(ISBLANK(E120),0,IF(E120=Answers!E120,1,-1))</f>
        <v>1</v>
      </c>
      <c r="G120" s="66">
        <v>5</v>
      </c>
      <c r="H120" s="66">
        <v>2</v>
      </c>
      <c r="I120" s="66">
        <v>2</v>
      </c>
      <c r="J120" s="66">
        <v>4</v>
      </c>
      <c r="K120" s="66">
        <v>5</v>
      </c>
      <c r="L120" s="66">
        <v>2</v>
      </c>
      <c r="M120" s="66">
        <v>2</v>
      </c>
      <c r="N120" s="66">
        <v>3</v>
      </c>
      <c r="O120" s="66">
        <v>3</v>
      </c>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row>
    <row r="121" spans="2:41" s="32" customFormat="1" ht="24.95" customHeight="1">
      <c r="B121" s="51">
        <v>30</v>
      </c>
      <c r="C121" s="51">
        <v>2</v>
      </c>
      <c r="D121" s="67">
        <v>5</v>
      </c>
      <c r="E121" s="55">
        <v>5</v>
      </c>
      <c r="F121" s="131">
        <f>IF(ISBLANK(E121),0,IF(E121=Answers!E121,1,-1))</f>
        <v>1</v>
      </c>
      <c r="G121" s="66">
        <v>2</v>
      </c>
      <c r="H121" s="66">
        <v>5</v>
      </c>
      <c r="I121" s="66">
        <v>5</v>
      </c>
      <c r="J121" s="66">
        <v>2</v>
      </c>
      <c r="K121" s="66">
        <v>3</v>
      </c>
      <c r="L121" s="66">
        <v>5</v>
      </c>
      <c r="M121" s="66">
        <v>3</v>
      </c>
      <c r="N121" s="66">
        <v>3</v>
      </c>
      <c r="O121" s="66">
        <v>4</v>
      </c>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row>
    <row r="122" spans="2:41" s="32" customFormat="1" ht="24.95" customHeight="1">
      <c r="B122" s="51">
        <v>31</v>
      </c>
      <c r="C122" s="51">
        <v>2</v>
      </c>
      <c r="D122" s="67">
        <v>5</v>
      </c>
      <c r="E122" s="55">
        <v>5</v>
      </c>
      <c r="F122" s="131">
        <f>IF(ISBLANK(E122),0,IF(E122=Answers!E122,1,-1))</f>
        <v>1</v>
      </c>
      <c r="G122" s="66">
        <v>2</v>
      </c>
      <c r="H122" s="66">
        <v>2</v>
      </c>
      <c r="I122" s="66">
        <v>5</v>
      </c>
      <c r="J122" s="66">
        <v>5</v>
      </c>
      <c r="K122" s="66">
        <v>5</v>
      </c>
      <c r="L122" s="66">
        <v>2</v>
      </c>
      <c r="M122" s="66">
        <v>2</v>
      </c>
      <c r="N122" s="66">
        <v>3</v>
      </c>
      <c r="O122" s="66">
        <v>5</v>
      </c>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row>
    <row r="123" spans="2:41" s="32" customFormat="1" ht="24.95" customHeight="1">
      <c r="B123" s="51">
        <v>32</v>
      </c>
      <c r="C123" s="51">
        <v>2</v>
      </c>
      <c r="D123" s="67">
        <v>5</v>
      </c>
      <c r="E123" s="55">
        <v>5</v>
      </c>
      <c r="F123" s="131">
        <f>IF(ISBLANK(E123),0,IF(E123=Answers!E123,1,-1))</f>
        <v>1</v>
      </c>
      <c r="G123" s="66">
        <v>2</v>
      </c>
      <c r="H123" s="66">
        <v>2</v>
      </c>
      <c r="I123" s="66">
        <v>3</v>
      </c>
      <c r="J123" s="66">
        <v>5</v>
      </c>
      <c r="K123" s="66">
        <v>3</v>
      </c>
      <c r="L123" s="66">
        <v>5</v>
      </c>
      <c r="M123" s="66">
        <v>3</v>
      </c>
      <c r="N123" s="66">
        <v>3</v>
      </c>
      <c r="O123" s="66">
        <v>2</v>
      </c>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row>
    <row r="124" spans="2:41" s="32" customFormat="1" ht="24.95" customHeight="1">
      <c r="B124" s="51">
        <v>33</v>
      </c>
      <c r="C124" s="51">
        <v>2</v>
      </c>
      <c r="D124" s="67">
        <v>5</v>
      </c>
      <c r="E124" s="55">
        <v>5</v>
      </c>
      <c r="F124" s="131">
        <f>IF(ISBLANK(E124),0,IF(E124=Answers!E124,1,-1))</f>
        <v>1</v>
      </c>
      <c r="G124" s="66">
        <v>5</v>
      </c>
      <c r="H124" s="66">
        <v>4</v>
      </c>
      <c r="I124" s="66">
        <v>3</v>
      </c>
      <c r="J124" s="66">
        <v>3</v>
      </c>
      <c r="K124" s="66">
        <v>5</v>
      </c>
      <c r="L124" s="66">
        <v>5</v>
      </c>
      <c r="M124" s="66">
        <v>5</v>
      </c>
      <c r="N124" s="66">
        <v>5</v>
      </c>
      <c r="O124" s="66">
        <v>3</v>
      </c>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row>
    <row r="125" spans="2:41" s="32" customFormat="1" ht="24.95" customHeight="1">
      <c r="B125" s="51">
        <v>34</v>
      </c>
      <c r="C125" s="51">
        <v>2</v>
      </c>
      <c r="D125" s="67">
        <v>5</v>
      </c>
      <c r="E125" s="55">
        <v>4</v>
      </c>
      <c r="F125" s="131">
        <f>IF(ISBLANK(E125),0,IF(E125=Answers!E125,1,-1))</f>
        <v>1</v>
      </c>
      <c r="G125" s="66">
        <v>4</v>
      </c>
      <c r="H125" s="66">
        <v>4</v>
      </c>
      <c r="I125" s="66">
        <v>4</v>
      </c>
      <c r="J125" s="66">
        <v>4</v>
      </c>
      <c r="K125" s="66">
        <v>4</v>
      </c>
      <c r="L125" s="66">
        <v>4</v>
      </c>
      <c r="M125" s="66">
        <v>4</v>
      </c>
      <c r="N125" s="66">
        <v>4</v>
      </c>
      <c r="O125" s="66">
        <v>4</v>
      </c>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row>
    <row r="126" spans="2:41" s="32" customFormat="1" ht="24.95" customHeight="1">
      <c r="B126" s="51">
        <v>35</v>
      </c>
      <c r="C126" s="51">
        <v>2</v>
      </c>
      <c r="D126" s="67">
        <v>5</v>
      </c>
      <c r="E126" s="55">
        <v>4</v>
      </c>
      <c r="F126" s="131">
        <f>IF(ISBLANK(E126),0,IF(E126=Answers!E126,1,-1))</f>
        <v>1</v>
      </c>
      <c r="G126" s="66">
        <v>2</v>
      </c>
      <c r="H126" s="66">
        <v>4</v>
      </c>
      <c r="I126" s="66">
        <v>3</v>
      </c>
      <c r="J126" s="66">
        <v>3</v>
      </c>
      <c r="K126" s="66">
        <v>2</v>
      </c>
      <c r="L126" s="66">
        <v>2</v>
      </c>
      <c r="M126" s="66">
        <v>4</v>
      </c>
      <c r="N126" s="66">
        <v>4</v>
      </c>
      <c r="O126" s="66">
        <v>4</v>
      </c>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row>
    <row r="127" spans="2:41" s="32" customFormat="1" ht="24.95" customHeight="1">
      <c r="B127" s="51">
        <v>36</v>
      </c>
      <c r="C127" s="51">
        <v>2</v>
      </c>
      <c r="D127" s="67">
        <v>5</v>
      </c>
      <c r="E127" s="55">
        <v>5</v>
      </c>
      <c r="F127" s="131">
        <f>IF(ISBLANK(E127),0,IF(E127=Answers!E127,1,-1))</f>
        <v>1</v>
      </c>
      <c r="G127" s="66">
        <v>5</v>
      </c>
      <c r="H127" s="66">
        <v>2</v>
      </c>
      <c r="I127" s="66">
        <v>5</v>
      </c>
      <c r="J127" s="66">
        <v>4</v>
      </c>
      <c r="K127" s="66">
        <v>3</v>
      </c>
      <c r="L127" s="66">
        <v>2</v>
      </c>
      <c r="M127" s="66">
        <v>5</v>
      </c>
      <c r="N127" s="66">
        <v>5</v>
      </c>
      <c r="O127" s="66">
        <v>4</v>
      </c>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row>
    <row r="128" spans="2:41" s="32" customFormat="1" ht="24.95" customHeight="1">
      <c r="B128" s="51">
        <v>37</v>
      </c>
      <c r="C128" s="51">
        <v>2</v>
      </c>
      <c r="D128" s="67">
        <v>5</v>
      </c>
      <c r="E128" s="55">
        <v>5</v>
      </c>
      <c r="F128" s="131">
        <f>IF(ISBLANK(E128),0,IF(E128=Answers!E128,1,-1))</f>
        <v>1</v>
      </c>
      <c r="G128" s="66">
        <v>2</v>
      </c>
      <c r="H128" s="66">
        <v>2</v>
      </c>
      <c r="I128" s="66">
        <v>5</v>
      </c>
      <c r="J128" s="66">
        <v>5</v>
      </c>
      <c r="K128" s="66">
        <v>2</v>
      </c>
      <c r="L128" s="66">
        <v>5</v>
      </c>
      <c r="M128" s="66">
        <v>4</v>
      </c>
      <c r="N128" s="66">
        <v>5</v>
      </c>
      <c r="O128" s="66">
        <v>5</v>
      </c>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row>
    <row r="129" spans="2:41" s="32" customFormat="1" ht="24.95" customHeight="1">
      <c r="B129" s="51">
        <v>38</v>
      </c>
      <c r="C129" s="51">
        <v>2</v>
      </c>
      <c r="D129" s="67">
        <v>5</v>
      </c>
      <c r="E129" s="55">
        <v>5</v>
      </c>
      <c r="F129" s="131">
        <f>IF(ISBLANK(E129),0,IF(E129=Answers!E129,1,-1))</f>
        <v>1</v>
      </c>
      <c r="G129" s="66">
        <v>3</v>
      </c>
      <c r="H129" s="66">
        <v>2</v>
      </c>
      <c r="I129" s="66">
        <v>2</v>
      </c>
      <c r="J129" s="66">
        <v>3</v>
      </c>
      <c r="K129" s="66">
        <v>2</v>
      </c>
      <c r="L129" s="66">
        <v>5</v>
      </c>
      <c r="M129" s="66">
        <v>5</v>
      </c>
      <c r="N129" s="66">
        <v>4</v>
      </c>
      <c r="O129" s="66">
        <v>3</v>
      </c>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row>
    <row r="130" spans="2:41" s="32" customFormat="1" ht="24.95" customHeight="1">
      <c r="B130" s="51">
        <v>39</v>
      </c>
      <c r="C130" s="51">
        <v>2</v>
      </c>
      <c r="D130" s="67">
        <v>5</v>
      </c>
      <c r="E130" s="55">
        <v>4</v>
      </c>
      <c r="F130" s="131">
        <f>IF(ISBLANK(E130),0,IF(E130=Answers!E130,1,-1))</f>
        <v>1</v>
      </c>
      <c r="G130" s="66">
        <v>3</v>
      </c>
      <c r="H130" s="66">
        <v>4</v>
      </c>
      <c r="I130" s="66">
        <v>2</v>
      </c>
      <c r="J130" s="66">
        <v>3</v>
      </c>
      <c r="K130" s="66">
        <v>3</v>
      </c>
      <c r="L130" s="66">
        <v>3</v>
      </c>
      <c r="M130" s="66">
        <v>2</v>
      </c>
      <c r="N130" s="66">
        <v>4</v>
      </c>
      <c r="O130" s="66">
        <v>4</v>
      </c>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row>
    <row r="131" spans="2:41" s="32" customFormat="1" ht="24.95" customHeight="1">
      <c r="B131" s="51">
        <v>40</v>
      </c>
      <c r="C131" s="51">
        <v>2</v>
      </c>
      <c r="D131" s="67">
        <v>5</v>
      </c>
      <c r="E131" s="55">
        <v>5</v>
      </c>
      <c r="F131" s="131">
        <f>IF(ISBLANK(E131),0,IF(E131=Answers!E131,1,-1))</f>
        <v>1</v>
      </c>
      <c r="G131" s="66">
        <v>5</v>
      </c>
      <c r="H131" s="66">
        <v>4</v>
      </c>
      <c r="I131" s="66">
        <v>2</v>
      </c>
      <c r="J131" s="66">
        <v>2</v>
      </c>
      <c r="K131" s="66">
        <v>4</v>
      </c>
      <c r="L131" s="66">
        <v>4</v>
      </c>
      <c r="M131" s="66">
        <v>3</v>
      </c>
      <c r="N131" s="66">
        <v>4</v>
      </c>
      <c r="O131" s="66">
        <v>3</v>
      </c>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row>
    <row r="132" spans="2:41" s="32" customFormat="1" ht="15" customHeight="1" thickBot="1">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row>
    <row r="133" spans="2:41" s="32" customFormat="1" ht="22.5" customHeight="1" thickBot="1">
      <c r="B133" s="57" t="s">
        <v>38</v>
      </c>
      <c r="C133" s="70" t="s">
        <v>39</v>
      </c>
      <c r="D133" s="59"/>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row>
    <row r="134" spans="2:41" s="16" customFormat="1" ht="15" customHeight="1">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row>
    <row r="135" spans="2:41" s="16" customFormat="1" ht="15" customHeight="1">
      <c r="B135" s="60" t="s">
        <v>103</v>
      </c>
      <c r="C135" s="61"/>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row>
    <row r="136" spans="2:41" s="16" customFormat="1" ht="15" customHeight="1">
      <c r="B136" s="60"/>
      <c r="C136" s="61"/>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row>
    <row r="137" spans="2:41" s="16" customFormat="1" ht="15" customHeight="1">
      <c r="B137" s="60" t="s">
        <v>112</v>
      </c>
      <c r="C137" s="61"/>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row>
    <row r="138" spans="2:41" s="16" customFormat="1" ht="15" customHeight="1">
      <c r="C138" s="61"/>
      <c r="D138" s="50"/>
      <c r="E138" s="50"/>
      <c r="F138" s="50"/>
      <c r="G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row>
    <row r="139" spans="2:41" s="16" customFormat="1" ht="15" customHeight="1">
      <c r="B139" s="63" t="s">
        <v>34</v>
      </c>
      <c r="C139" s="61"/>
      <c r="D139" s="50"/>
      <c r="E139" s="50"/>
      <c r="F139" s="50"/>
      <c r="G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row>
    <row r="140" spans="2:41" s="16" customFormat="1" ht="15" customHeight="1">
      <c r="B140" s="61" t="s">
        <v>40</v>
      </c>
      <c r="D140" s="50"/>
      <c r="E140" s="50"/>
      <c r="F140" s="50"/>
      <c r="G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row>
    <row r="141" spans="2:41" s="16" customFormat="1" ht="15" customHeight="1">
      <c r="B141" s="61" t="s">
        <v>107</v>
      </c>
      <c r="D141" s="50"/>
      <c r="E141" s="50"/>
      <c r="F141" s="50"/>
      <c r="G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row>
    <row r="142" spans="2:41" s="16" customFormat="1" ht="15" customHeight="1" thickBot="1">
      <c r="B142" s="61" t="s">
        <v>41</v>
      </c>
      <c r="D142" s="50"/>
      <c r="E142" s="50"/>
      <c r="F142" s="50"/>
      <c r="G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row>
    <row r="143" spans="2:41" s="50" customFormat="1" ht="22.5" customHeight="1" thickBot="1">
      <c r="B143" s="16"/>
      <c r="C143" s="16"/>
      <c r="D143" s="16"/>
      <c r="E143" s="16"/>
      <c r="F143" s="16"/>
      <c r="G143" s="110" t="s">
        <v>90</v>
      </c>
      <c r="H143" s="111"/>
      <c r="I143" s="111"/>
      <c r="J143" s="111"/>
      <c r="K143" s="111"/>
      <c r="L143" s="111"/>
      <c r="M143" s="111"/>
      <c r="N143" s="111"/>
      <c r="O143" s="112"/>
    </row>
    <row r="144" spans="2:41" s="50" customFormat="1" ht="22.5" customHeight="1" thickBot="1">
      <c r="B144" s="47" t="s">
        <v>8</v>
      </c>
      <c r="C144" s="48" t="s">
        <v>9</v>
      </c>
      <c r="D144" s="47" t="s">
        <v>10</v>
      </c>
      <c r="E144" s="64" t="s">
        <v>11</v>
      </c>
      <c r="F144" s="16"/>
      <c r="G144" s="47" t="s">
        <v>12</v>
      </c>
      <c r="H144" s="47" t="s">
        <v>13</v>
      </c>
      <c r="I144" s="47" t="s">
        <v>14</v>
      </c>
      <c r="J144" s="47" t="s">
        <v>15</v>
      </c>
      <c r="K144" s="47" t="s">
        <v>16</v>
      </c>
      <c r="L144" s="47" t="s">
        <v>17</v>
      </c>
      <c r="M144" s="47" t="s">
        <v>18</v>
      </c>
      <c r="N144" s="47" t="s">
        <v>19</v>
      </c>
      <c r="O144" s="47" t="s">
        <v>20</v>
      </c>
    </row>
    <row r="145" spans="2:41" s="32" customFormat="1" ht="15" customHeight="1">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row>
    <row r="146" spans="2:41" s="32" customFormat="1" ht="24.95" customHeight="1">
      <c r="B146" s="65" t="s">
        <v>42</v>
      </c>
      <c r="C146" s="51">
        <v>3</v>
      </c>
      <c r="D146" s="52">
        <v>0</v>
      </c>
      <c r="E146" s="55">
        <v>9</v>
      </c>
      <c r="F146" s="131">
        <f>IF(ISBLANK(E146),0,IF(E146=Answers!E146,1,-1))</f>
        <v>1</v>
      </c>
      <c r="G146" s="66">
        <v>3</v>
      </c>
      <c r="H146" s="66">
        <v>5</v>
      </c>
      <c r="I146" s="66">
        <v>3</v>
      </c>
      <c r="J146" s="66">
        <v>4</v>
      </c>
      <c r="K146" s="66">
        <v>3</v>
      </c>
      <c r="L146" s="66">
        <v>3</v>
      </c>
      <c r="M146" s="66">
        <v>2</v>
      </c>
      <c r="N146" s="66">
        <v>3</v>
      </c>
      <c r="O146" s="66">
        <v>3</v>
      </c>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row>
    <row r="147" spans="2:41" s="32" customFormat="1" ht="15" customHeight="1">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row>
    <row r="148" spans="2:41" s="32" customFormat="1" ht="24.95" customHeight="1">
      <c r="B148" s="51">
        <v>41</v>
      </c>
      <c r="C148" s="51">
        <v>3</v>
      </c>
      <c r="D148" s="67">
        <v>6</v>
      </c>
      <c r="E148" s="55" cm="1">
        <f t="array" ref="E148:E167">_xlfn.BYROW(G148:O167, _xlfn.LAMBDA(_xlpm.r, SUM(MAX(_xlpm.r) + LARGE(_xlpm.r, 2))))</f>
        <v>8</v>
      </c>
      <c r="F148" s="131">
        <f>IF(ISBLANK(E148),0,IF(E148=Answers!E148,1,-1))</f>
        <v>1</v>
      </c>
      <c r="G148" s="68">
        <v>5</v>
      </c>
      <c r="H148" s="68">
        <v>3</v>
      </c>
      <c r="I148" s="68">
        <v>3</v>
      </c>
      <c r="J148" s="68">
        <v>3</v>
      </c>
      <c r="K148" s="68">
        <v>3</v>
      </c>
      <c r="L148" s="68">
        <v>3</v>
      </c>
      <c r="M148" s="68">
        <v>2</v>
      </c>
      <c r="N148" s="68">
        <v>2</v>
      </c>
      <c r="O148" s="68">
        <v>2</v>
      </c>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row>
    <row r="149" spans="2:41" s="32" customFormat="1" ht="24.95" customHeight="1">
      <c r="B149" s="51">
        <v>42</v>
      </c>
      <c r="C149" s="51">
        <v>3</v>
      </c>
      <c r="D149" s="67">
        <v>6</v>
      </c>
      <c r="E149" s="55">
        <v>10</v>
      </c>
      <c r="F149" s="131">
        <f>IF(ISBLANK(E149),0,IF(E149=Answers!E149,1,-1))</f>
        <v>1</v>
      </c>
      <c r="G149" s="66">
        <v>5</v>
      </c>
      <c r="H149" s="66">
        <v>5</v>
      </c>
      <c r="I149" s="66">
        <v>3</v>
      </c>
      <c r="J149" s="66">
        <v>5</v>
      </c>
      <c r="K149" s="66">
        <v>3</v>
      </c>
      <c r="L149" s="66">
        <v>4</v>
      </c>
      <c r="M149" s="66">
        <v>3</v>
      </c>
      <c r="N149" s="66">
        <v>5</v>
      </c>
      <c r="O149" s="66">
        <v>3</v>
      </c>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row>
    <row r="150" spans="2:41" s="32" customFormat="1" ht="24.95" customHeight="1">
      <c r="B150" s="51">
        <v>43</v>
      </c>
      <c r="C150" s="51">
        <v>3</v>
      </c>
      <c r="D150" s="67">
        <v>6</v>
      </c>
      <c r="E150" s="55">
        <v>9</v>
      </c>
      <c r="F150" s="131">
        <f>IF(ISBLANK(E150),0,IF(E150=Answers!E150,1,-1))</f>
        <v>1</v>
      </c>
      <c r="G150" s="66">
        <v>3</v>
      </c>
      <c r="H150" s="66">
        <v>2</v>
      </c>
      <c r="I150" s="66">
        <v>3</v>
      </c>
      <c r="J150" s="66">
        <v>4</v>
      </c>
      <c r="K150" s="66">
        <v>3</v>
      </c>
      <c r="L150" s="66">
        <v>2</v>
      </c>
      <c r="M150" s="66">
        <v>5</v>
      </c>
      <c r="N150" s="66">
        <v>2</v>
      </c>
      <c r="O150" s="66">
        <v>3</v>
      </c>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row>
    <row r="151" spans="2:41" s="32" customFormat="1" ht="24.95" customHeight="1">
      <c r="B151" s="51">
        <v>44</v>
      </c>
      <c r="C151" s="51">
        <v>3</v>
      </c>
      <c r="D151" s="67">
        <v>6</v>
      </c>
      <c r="E151" s="55">
        <v>10</v>
      </c>
      <c r="F151" s="131">
        <f>IF(ISBLANK(E151),0,IF(E151=Answers!E151,1,-1))</f>
        <v>1</v>
      </c>
      <c r="G151" s="66">
        <v>5</v>
      </c>
      <c r="H151" s="66">
        <v>4</v>
      </c>
      <c r="I151" s="66">
        <v>2</v>
      </c>
      <c r="J151" s="66">
        <v>2</v>
      </c>
      <c r="K151" s="66">
        <v>2</v>
      </c>
      <c r="L151" s="66">
        <v>2</v>
      </c>
      <c r="M151" s="66">
        <v>2</v>
      </c>
      <c r="N151" s="66">
        <v>5</v>
      </c>
      <c r="O151" s="66">
        <v>3</v>
      </c>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row>
    <row r="152" spans="2:41" s="32" customFormat="1" ht="24.95" customHeight="1">
      <c r="B152" s="51">
        <v>45</v>
      </c>
      <c r="C152" s="51">
        <v>3</v>
      </c>
      <c r="D152" s="67">
        <v>6</v>
      </c>
      <c r="E152" s="55">
        <v>10</v>
      </c>
      <c r="F152" s="131">
        <f>IF(ISBLANK(E152),0,IF(E152=Answers!E152,1,-1))</f>
        <v>1</v>
      </c>
      <c r="G152" s="66">
        <v>5</v>
      </c>
      <c r="H152" s="66">
        <v>5</v>
      </c>
      <c r="I152" s="66">
        <v>5</v>
      </c>
      <c r="J152" s="66">
        <v>4</v>
      </c>
      <c r="K152" s="66">
        <v>5</v>
      </c>
      <c r="L152" s="66">
        <v>3</v>
      </c>
      <c r="M152" s="66">
        <v>4</v>
      </c>
      <c r="N152" s="66">
        <v>3</v>
      </c>
      <c r="O152" s="66">
        <v>4</v>
      </c>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row>
    <row r="153" spans="2:41" s="32" customFormat="1" ht="24.95" customHeight="1">
      <c r="B153" s="51">
        <v>46</v>
      </c>
      <c r="C153" s="51">
        <v>3</v>
      </c>
      <c r="D153" s="67">
        <v>6</v>
      </c>
      <c r="E153" s="55">
        <v>10</v>
      </c>
      <c r="F153" s="131">
        <f>IF(ISBLANK(E153),0,IF(E153=Answers!E153,1,-1))</f>
        <v>1</v>
      </c>
      <c r="G153" s="66">
        <v>5</v>
      </c>
      <c r="H153" s="66">
        <v>4</v>
      </c>
      <c r="I153" s="66">
        <v>3</v>
      </c>
      <c r="J153" s="66">
        <v>5</v>
      </c>
      <c r="K153" s="66">
        <v>2</v>
      </c>
      <c r="L153" s="66">
        <v>2</v>
      </c>
      <c r="M153" s="66">
        <v>4</v>
      </c>
      <c r="N153" s="66">
        <v>3</v>
      </c>
      <c r="O153" s="66">
        <v>5</v>
      </c>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row>
    <row r="154" spans="2:41" s="32" customFormat="1" ht="24.95" customHeight="1">
      <c r="B154" s="51">
        <v>47</v>
      </c>
      <c r="C154" s="51">
        <v>3</v>
      </c>
      <c r="D154" s="67">
        <v>6</v>
      </c>
      <c r="E154" s="55">
        <v>10</v>
      </c>
      <c r="F154" s="131">
        <f>IF(ISBLANK(E154),0,IF(E154=Answers!E154,1,-1))</f>
        <v>1</v>
      </c>
      <c r="G154" s="66">
        <v>5</v>
      </c>
      <c r="H154" s="66">
        <v>3</v>
      </c>
      <c r="I154" s="66">
        <v>3</v>
      </c>
      <c r="J154" s="66">
        <v>3</v>
      </c>
      <c r="K154" s="66">
        <v>3</v>
      </c>
      <c r="L154" s="66">
        <v>5</v>
      </c>
      <c r="M154" s="66">
        <v>5</v>
      </c>
      <c r="N154" s="66">
        <v>4</v>
      </c>
      <c r="O154" s="66">
        <v>5</v>
      </c>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row>
    <row r="155" spans="2:41" s="32" customFormat="1" ht="24.95" customHeight="1">
      <c r="B155" s="51">
        <v>48</v>
      </c>
      <c r="C155" s="51">
        <v>3</v>
      </c>
      <c r="D155" s="67">
        <v>6</v>
      </c>
      <c r="E155" s="55">
        <v>10</v>
      </c>
      <c r="F155" s="131">
        <f>IF(ISBLANK(E155),0,IF(E155=Answers!E155,1,-1))</f>
        <v>1</v>
      </c>
      <c r="G155" s="66">
        <v>2</v>
      </c>
      <c r="H155" s="66">
        <v>2</v>
      </c>
      <c r="I155" s="66">
        <v>2</v>
      </c>
      <c r="J155" s="66">
        <v>5</v>
      </c>
      <c r="K155" s="66">
        <v>5</v>
      </c>
      <c r="L155" s="66">
        <v>2</v>
      </c>
      <c r="M155" s="66">
        <v>2</v>
      </c>
      <c r="N155" s="66">
        <v>5</v>
      </c>
      <c r="O155" s="66">
        <v>2</v>
      </c>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row>
    <row r="156" spans="2:41" s="32" customFormat="1" ht="24.95" customHeight="1">
      <c r="B156" s="51">
        <v>49</v>
      </c>
      <c r="C156" s="51">
        <v>3</v>
      </c>
      <c r="D156" s="67">
        <v>6</v>
      </c>
      <c r="E156" s="55">
        <v>10</v>
      </c>
      <c r="F156" s="131">
        <f>IF(ISBLANK(E156),0,IF(E156=Answers!E156,1,-1))</f>
        <v>1</v>
      </c>
      <c r="G156" s="66">
        <v>3</v>
      </c>
      <c r="H156" s="66">
        <v>5</v>
      </c>
      <c r="I156" s="66">
        <v>3</v>
      </c>
      <c r="J156" s="66">
        <v>5</v>
      </c>
      <c r="K156" s="66">
        <v>4</v>
      </c>
      <c r="L156" s="66">
        <v>3</v>
      </c>
      <c r="M156" s="66">
        <v>3</v>
      </c>
      <c r="N156" s="66">
        <v>2</v>
      </c>
      <c r="O156" s="66">
        <v>4</v>
      </c>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row>
    <row r="157" spans="2:41" s="32" customFormat="1" ht="24.95" customHeight="1">
      <c r="B157" s="51">
        <v>50</v>
      </c>
      <c r="C157" s="51">
        <v>3</v>
      </c>
      <c r="D157" s="67">
        <v>6</v>
      </c>
      <c r="E157" s="55">
        <v>9</v>
      </c>
      <c r="F157" s="131">
        <f>IF(ISBLANK(E157),0,IF(E157=Answers!E157,1,-1))</f>
        <v>1</v>
      </c>
      <c r="G157" s="66">
        <v>4</v>
      </c>
      <c r="H157" s="66">
        <v>2</v>
      </c>
      <c r="I157" s="66">
        <v>3</v>
      </c>
      <c r="J157" s="66">
        <v>4</v>
      </c>
      <c r="K157" s="66">
        <v>5</v>
      </c>
      <c r="L157" s="66">
        <v>2</v>
      </c>
      <c r="M157" s="66">
        <v>2</v>
      </c>
      <c r="N157" s="66">
        <v>4</v>
      </c>
      <c r="O157" s="66">
        <v>4</v>
      </c>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row>
    <row r="158" spans="2:41" s="32" customFormat="1" ht="24.95" customHeight="1">
      <c r="B158" s="51">
        <v>51</v>
      </c>
      <c r="C158" s="51">
        <v>3</v>
      </c>
      <c r="D158" s="67">
        <v>6</v>
      </c>
      <c r="E158" s="55">
        <v>10</v>
      </c>
      <c r="F158" s="131">
        <f>IF(ISBLANK(E158),0,IF(E158=Answers!E158,1,-1))</f>
        <v>1</v>
      </c>
      <c r="G158" s="66">
        <v>2</v>
      </c>
      <c r="H158" s="66">
        <v>3</v>
      </c>
      <c r="I158" s="66">
        <v>3</v>
      </c>
      <c r="J158" s="66">
        <v>5</v>
      </c>
      <c r="K158" s="66">
        <v>4</v>
      </c>
      <c r="L158" s="66">
        <v>5</v>
      </c>
      <c r="M158" s="66">
        <v>3</v>
      </c>
      <c r="N158" s="66">
        <v>3</v>
      </c>
      <c r="O158" s="66">
        <v>2</v>
      </c>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row>
    <row r="159" spans="2:41" s="32" customFormat="1" ht="24.95" customHeight="1">
      <c r="B159" s="51">
        <v>52</v>
      </c>
      <c r="C159" s="51">
        <v>3</v>
      </c>
      <c r="D159" s="67">
        <v>6</v>
      </c>
      <c r="E159" s="55">
        <v>9</v>
      </c>
      <c r="F159" s="131">
        <f>IF(ISBLANK(E159),0,IF(E159=Answers!E159,1,-1))</f>
        <v>1</v>
      </c>
      <c r="G159" s="66">
        <v>2</v>
      </c>
      <c r="H159" s="66">
        <v>2</v>
      </c>
      <c r="I159" s="66">
        <v>5</v>
      </c>
      <c r="J159" s="66">
        <v>3</v>
      </c>
      <c r="K159" s="66">
        <v>4</v>
      </c>
      <c r="L159" s="66">
        <v>4</v>
      </c>
      <c r="M159" s="66">
        <v>2</v>
      </c>
      <c r="N159" s="66">
        <v>2</v>
      </c>
      <c r="O159" s="66">
        <v>2</v>
      </c>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row>
    <row r="160" spans="2:41" s="32" customFormat="1" ht="24.95" customHeight="1">
      <c r="B160" s="51">
        <v>53</v>
      </c>
      <c r="C160" s="51">
        <v>3</v>
      </c>
      <c r="D160" s="67">
        <v>6</v>
      </c>
      <c r="E160" s="55">
        <v>10</v>
      </c>
      <c r="F160" s="131">
        <f>IF(ISBLANK(E160),0,IF(E160=Answers!E160,1,-1))</f>
        <v>1</v>
      </c>
      <c r="G160" s="66">
        <v>5</v>
      </c>
      <c r="H160" s="66">
        <v>5</v>
      </c>
      <c r="I160" s="66">
        <v>5</v>
      </c>
      <c r="J160" s="66">
        <v>5</v>
      </c>
      <c r="K160" s="66">
        <v>4</v>
      </c>
      <c r="L160" s="66">
        <v>5</v>
      </c>
      <c r="M160" s="66">
        <v>4</v>
      </c>
      <c r="N160" s="66">
        <v>5</v>
      </c>
      <c r="O160" s="66">
        <v>5</v>
      </c>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row>
    <row r="161" spans="2:41" s="32" customFormat="1" ht="24.95" customHeight="1">
      <c r="B161" s="51">
        <v>54</v>
      </c>
      <c r="C161" s="51">
        <v>3</v>
      </c>
      <c r="D161" s="67">
        <v>6</v>
      </c>
      <c r="E161" s="55">
        <v>10</v>
      </c>
      <c r="F161" s="131">
        <f>IF(ISBLANK(E161),0,IF(E161=Answers!E161,1,-1))</f>
        <v>1</v>
      </c>
      <c r="G161" s="66">
        <v>5</v>
      </c>
      <c r="H161" s="66">
        <v>5</v>
      </c>
      <c r="I161" s="66">
        <v>3</v>
      </c>
      <c r="J161" s="66">
        <v>3</v>
      </c>
      <c r="K161" s="66">
        <v>4</v>
      </c>
      <c r="L161" s="66">
        <v>2</v>
      </c>
      <c r="M161" s="66">
        <v>5</v>
      </c>
      <c r="N161" s="66">
        <v>4</v>
      </c>
      <c r="O161" s="66">
        <v>3</v>
      </c>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row>
    <row r="162" spans="2:41" s="32" customFormat="1" ht="24.95" customHeight="1">
      <c r="B162" s="51">
        <v>55</v>
      </c>
      <c r="C162" s="51">
        <v>3</v>
      </c>
      <c r="D162" s="67">
        <v>6</v>
      </c>
      <c r="E162" s="55">
        <v>10</v>
      </c>
      <c r="F162" s="131">
        <f>IF(ISBLANK(E162),0,IF(E162=Answers!E162,1,-1))</f>
        <v>1</v>
      </c>
      <c r="G162" s="66">
        <v>3</v>
      </c>
      <c r="H162" s="66">
        <v>4</v>
      </c>
      <c r="I162" s="66">
        <v>4</v>
      </c>
      <c r="J162" s="66">
        <v>5</v>
      </c>
      <c r="K162" s="66">
        <v>2</v>
      </c>
      <c r="L162" s="66">
        <v>5</v>
      </c>
      <c r="M162" s="66">
        <v>4</v>
      </c>
      <c r="N162" s="66">
        <v>2</v>
      </c>
      <c r="O162" s="66">
        <v>4</v>
      </c>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row>
    <row r="163" spans="2:41" s="32" customFormat="1" ht="24.95" customHeight="1">
      <c r="B163" s="51">
        <v>56</v>
      </c>
      <c r="C163" s="51">
        <v>3</v>
      </c>
      <c r="D163" s="67">
        <v>6</v>
      </c>
      <c r="E163" s="55">
        <v>10</v>
      </c>
      <c r="F163" s="131">
        <f>IF(ISBLANK(E163),0,IF(E163=Answers!E163,1,-1))</f>
        <v>1</v>
      </c>
      <c r="G163" s="66">
        <v>2</v>
      </c>
      <c r="H163" s="66">
        <v>3</v>
      </c>
      <c r="I163" s="66">
        <v>4</v>
      </c>
      <c r="J163" s="66">
        <v>2</v>
      </c>
      <c r="K163" s="66">
        <v>5</v>
      </c>
      <c r="L163" s="66">
        <v>4</v>
      </c>
      <c r="M163" s="66">
        <v>5</v>
      </c>
      <c r="N163" s="66">
        <v>2</v>
      </c>
      <c r="O163" s="66">
        <v>5</v>
      </c>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row>
    <row r="164" spans="2:41" s="32" customFormat="1" ht="24.95" customHeight="1">
      <c r="B164" s="51">
        <v>57</v>
      </c>
      <c r="C164" s="51">
        <v>3</v>
      </c>
      <c r="D164" s="67">
        <v>6</v>
      </c>
      <c r="E164" s="55">
        <v>10</v>
      </c>
      <c r="F164" s="131">
        <f>IF(ISBLANK(E164),0,IF(E164=Answers!E164,1,-1))</f>
        <v>1</v>
      </c>
      <c r="G164" s="66">
        <v>5</v>
      </c>
      <c r="H164" s="66">
        <v>4</v>
      </c>
      <c r="I164" s="66">
        <v>2</v>
      </c>
      <c r="J164" s="66">
        <v>5</v>
      </c>
      <c r="K164" s="66">
        <v>3</v>
      </c>
      <c r="L164" s="66">
        <v>4</v>
      </c>
      <c r="M164" s="66">
        <v>5</v>
      </c>
      <c r="N164" s="66">
        <v>3</v>
      </c>
      <c r="O164" s="66">
        <v>2</v>
      </c>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row>
    <row r="165" spans="2:41" s="32" customFormat="1" ht="24.95" customHeight="1">
      <c r="B165" s="51">
        <v>58</v>
      </c>
      <c r="C165" s="51">
        <v>3</v>
      </c>
      <c r="D165" s="67">
        <v>6</v>
      </c>
      <c r="E165" s="55">
        <v>10</v>
      </c>
      <c r="F165" s="131">
        <f>IF(ISBLANK(E165),0,IF(E165=Answers!E165,1,-1))</f>
        <v>1</v>
      </c>
      <c r="G165" s="66">
        <v>4</v>
      </c>
      <c r="H165" s="66">
        <v>2</v>
      </c>
      <c r="I165" s="66">
        <v>5</v>
      </c>
      <c r="J165" s="66">
        <v>2</v>
      </c>
      <c r="K165" s="66">
        <v>5</v>
      </c>
      <c r="L165" s="66">
        <v>2</v>
      </c>
      <c r="M165" s="66">
        <v>4</v>
      </c>
      <c r="N165" s="66">
        <v>5</v>
      </c>
      <c r="O165" s="66">
        <v>2</v>
      </c>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row>
    <row r="166" spans="2:41" s="32" customFormat="1" ht="24.95" customHeight="1">
      <c r="B166" s="51">
        <v>59</v>
      </c>
      <c r="C166" s="51">
        <v>3</v>
      </c>
      <c r="D166" s="67">
        <v>6</v>
      </c>
      <c r="E166" s="55">
        <v>9</v>
      </c>
      <c r="F166" s="131">
        <f>IF(ISBLANK(E166),0,IF(E166=Answers!E166,1,-1))</f>
        <v>1</v>
      </c>
      <c r="G166" s="66">
        <v>3</v>
      </c>
      <c r="H166" s="66">
        <v>2</v>
      </c>
      <c r="I166" s="66">
        <v>3</v>
      </c>
      <c r="J166" s="66">
        <v>3</v>
      </c>
      <c r="K166" s="66">
        <v>4</v>
      </c>
      <c r="L166" s="66">
        <v>2</v>
      </c>
      <c r="M166" s="66">
        <v>3</v>
      </c>
      <c r="N166" s="66">
        <v>2</v>
      </c>
      <c r="O166" s="66">
        <v>5</v>
      </c>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row>
    <row r="167" spans="2:41" s="32" customFormat="1" ht="24.95" customHeight="1">
      <c r="B167" s="51">
        <v>60</v>
      </c>
      <c r="C167" s="51">
        <v>3</v>
      </c>
      <c r="D167" s="67">
        <v>6</v>
      </c>
      <c r="E167" s="55">
        <v>10</v>
      </c>
      <c r="F167" s="131">
        <f>IF(ISBLANK(E167),0,IF(E167=Answers!E167,1,-1))</f>
        <v>1</v>
      </c>
      <c r="G167" s="66">
        <v>5</v>
      </c>
      <c r="H167" s="66">
        <v>4</v>
      </c>
      <c r="I167" s="66">
        <v>5</v>
      </c>
      <c r="J167" s="66">
        <v>2</v>
      </c>
      <c r="K167" s="66">
        <v>2</v>
      </c>
      <c r="L167" s="66">
        <v>5</v>
      </c>
      <c r="M167" s="66">
        <v>2</v>
      </c>
      <c r="N167" s="66">
        <v>3</v>
      </c>
      <c r="O167" s="66">
        <v>5</v>
      </c>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row>
    <row r="168" spans="2:41" s="32" customFormat="1" ht="15" customHeight="1" thickBot="1">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row>
    <row r="169" spans="2:41" s="32" customFormat="1" ht="22.5" customHeight="1" thickBot="1">
      <c r="B169" s="57" t="s">
        <v>43</v>
      </c>
      <c r="C169" s="73" t="s">
        <v>46</v>
      </c>
      <c r="D169" s="59"/>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row>
    <row r="170" spans="2:41" s="16" customFormat="1" ht="15" customHeight="1">
      <c r="I170" s="32"/>
      <c r="J170" s="32"/>
      <c r="K170" s="33"/>
      <c r="L170" s="33"/>
      <c r="M170" s="33"/>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row>
    <row r="171" spans="2:41" s="16" customFormat="1" ht="15" customHeight="1">
      <c r="B171" s="60" t="s">
        <v>129</v>
      </c>
      <c r="C171" s="71"/>
      <c r="I171" s="32"/>
      <c r="J171" s="32"/>
      <c r="K171" s="33"/>
      <c r="L171" s="33"/>
      <c r="M171" s="33"/>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row>
    <row r="172" spans="2:41" s="16" customFormat="1" ht="15" customHeight="1">
      <c r="B172" s="115" t="s">
        <v>147</v>
      </c>
      <c r="C172" s="71"/>
      <c r="I172" s="32"/>
      <c r="J172" s="32"/>
      <c r="K172" s="33"/>
      <c r="L172" s="33"/>
      <c r="M172" s="33"/>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row>
    <row r="173" spans="2:41" s="16" customFormat="1" ht="15" customHeight="1">
      <c r="B173" s="61"/>
      <c r="C173" s="71"/>
      <c r="I173" s="32"/>
      <c r="J173" s="32"/>
      <c r="K173" s="33"/>
      <c r="L173" s="33"/>
      <c r="M173" s="33"/>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row>
    <row r="174" spans="2:41" s="16" customFormat="1" ht="15" customHeight="1">
      <c r="B174" s="60" t="s">
        <v>111</v>
      </c>
      <c r="C174" s="71"/>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row>
    <row r="175" spans="2:41" s="16" customFormat="1" ht="15" customHeight="1">
      <c r="B175" s="60"/>
      <c r="C175" s="71"/>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row>
    <row r="176" spans="2:41" s="16" customFormat="1" ht="15" customHeight="1">
      <c r="B176" s="63" t="s">
        <v>34</v>
      </c>
      <c r="C176" s="71"/>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row>
    <row r="177" spans="2:41" s="16" customFormat="1" ht="15" customHeight="1">
      <c r="B177" s="61" t="s">
        <v>108</v>
      </c>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row>
    <row r="178" spans="2:41" s="16" customFormat="1" ht="15" customHeight="1">
      <c r="B178" s="61" t="s">
        <v>109</v>
      </c>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row>
    <row r="179" spans="2:41" s="16" customFormat="1" ht="15" customHeight="1" thickBot="1">
      <c r="B179" s="61" t="s">
        <v>110</v>
      </c>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row>
    <row r="180" spans="2:41" s="50" customFormat="1" ht="22.5" customHeight="1" thickBot="1">
      <c r="B180" s="16"/>
      <c r="C180" s="16"/>
      <c r="D180" s="16"/>
      <c r="E180" s="16"/>
      <c r="F180" s="16"/>
      <c r="G180" s="110" t="s">
        <v>90</v>
      </c>
      <c r="H180" s="111"/>
      <c r="I180" s="111"/>
      <c r="J180" s="111"/>
      <c r="K180" s="111"/>
      <c r="L180" s="111"/>
      <c r="M180" s="111"/>
      <c r="N180" s="111"/>
      <c r="O180" s="112"/>
    </row>
    <row r="181" spans="2:41" s="50" customFormat="1" ht="22.5" customHeight="1" thickBot="1">
      <c r="B181" s="47" t="s">
        <v>8</v>
      </c>
      <c r="C181" s="48" t="s">
        <v>9</v>
      </c>
      <c r="D181" s="47" t="s">
        <v>10</v>
      </c>
      <c r="E181" s="64" t="s">
        <v>11</v>
      </c>
      <c r="F181" s="16"/>
      <c r="G181" s="47" t="s">
        <v>12</v>
      </c>
      <c r="H181" s="47" t="s">
        <v>13</v>
      </c>
      <c r="I181" s="47" t="s">
        <v>14</v>
      </c>
      <c r="J181" s="47" t="s">
        <v>15</v>
      </c>
      <c r="K181" s="47" t="s">
        <v>16</v>
      </c>
      <c r="L181" s="47" t="s">
        <v>17</v>
      </c>
      <c r="M181" s="47" t="s">
        <v>18</v>
      </c>
      <c r="N181" s="47" t="s">
        <v>19</v>
      </c>
      <c r="O181" s="47" t="s">
        <v>20</v>
      </c>
      <c r="Q181" s="47" t="s">
        <v>56</v>
      </c>
    </row>
    <row r="182" spans="2:41">
      <c r="J182" s="33"/>
      <c r="Q182" s="69"/>
    </row>
    <row r="183" spans="2:41" s="32" customFormat="1" ht="24.95" customHeight="1">
      <c r="B183" s="65" t="s">
        <v>44</v>
      </c>
      <c r="C183" s="51">
        <v>4</v>
      </c>
      <c r="D183" s="52">
        <v>0</v>
      </c>
      <c r="E183" s="55">
        <v>15</v>
      </c>
      <c r="F183" s="131">
        <f>IF(ISBLANK(E183),0,IF(E183=Answers!E183,1,-1))</f>
        <v>1</v>
      </c>
      <c r="G183" s="66">
        <v>3</v>
      </c>
      <c r="H183" s="66">
        <v>5</v>
      </c>
      <c r="I183" s="66">
        <v>3</v>
      </c>
      <c r="J183" s="66">
        <v>4</v>
      </c>
      <c r="K183" s="66">
        <v>3</v>
      </c>
      <c r="L183" s="66">
        <v>3</v>
      </c>
      <c r="M183" s="66">
        <v>2</v>
      </c>
      <c r="N183" s="66">
        <v>3</v>
      </c>
      <c r="O183" s="66">
        <v>3</v>
      </c>
      <c r="P183" s="33"/>
      <c r="Q183" s="68">
        <v>4</v>
      </c>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row>
    <row r="184" spans="2:41" s="32" customFormat="1" ht="15" customHeight="1">
      <c r="P184" s="33"/>
      <c r="Q184" s="72"/>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row>
    <row r="185" spans="2:41" s="32" customFormat="1" ht="24.95" customHeight="1">
      <c r="B185" s="51">
        <v>61</v>
      </c>
      <c r="C185" s="51">
        <v>4</v>
      </c>
      <c r="D185" s="67">
        <v>7</v>
      </c>
      <c r="E185" s="55">
        <f>SUM(_xlfn.TAKE(_xlfn._xlws.SORT(G185:O185,1,-1,1),,Q185))</f>
        <v>25</v>
      </c>
      <c r="F185" s="131">
        <f>IF(ISBLANK(E185),0,IF(E185=Answers!E185,1,-1))</f>
        <v>1</v>
      </c>
      <c r="G185" s="68">
        <v>2</v>
      </c>
      <c r="H185" s="68">
        <v>3</v>
      </c>
      <c r="I185" s="68">
        <v>4</v>
      </c>
      <c r="J185" s="68">
        <v>4</v>
      </c>
      <c r="K185" s="68">
        <v>4</v>
      </c>
      <c r="L185" s="68">
        <v>3</v>
      </c>
      <c r="M185" s="68">
        <v>5</v>
      </c>
      <c r="N185" s="68">
        <v>3</v>
      </c>
      <c r="O185" s="68">
        <v>5</v>
      </c>
      <c r="P185" s="33"/>
      <c r="Q185" s="68">
        <v>6</v>
      </c>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row>
    <row r="186" spans="2:41" s="32" customFormat="1" ht="24.95" customHeight="1">
      <c r="B186" s="51">
        <v>62</v>
      </c>
      <c r="C186" s="51">
        <v>4</v>
      </c>
      <c r="D186" s="67">
        <v>7</v>
      </c>
      <c r="E186" s="55">
        <f t="shared" ref="E186:E204" si="0">SUM(_xlfn.TAKE(_xlfn._xlws.SORT(G186:O186,1,-1,1),,Q186))</f>
        <v>30</v>
      </c>
      <c r="F186" s="131">
        <f>IF(ISBLANK(E186),0,IF(E186=Answers!E186,1,-1))</f>
        <v>1</v>
      </c>
      <c r="G186" s="66">
        <v>5</v>
      </c>
      <c r="H186" s="66">
        <v>5</v>
      </c>
      <c r="I186" s="66">
        <v>2</v>
      </c>
      <c r="J186" s="66">
        <v>3</v>
      </c>
      <c r="K186" s="66">
        <v>2</v>
      </c>
      <c r="L186" s="66">
        <v>5</v>
      </c>
      <c r="M186" s="66">
        <v>4</v>
      </c>
      <c r="N186" s="66">
        <v>4</v>
      </c>
      <c r="O186" s="66">
        <v>4</v>
      </c>
      <c r="P186" s="33"/>
      <c r="Q186" s="68">
        <v>7</v>
      </c>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row>
    <row r="187" spans="2:41" s="32" customFormat="1" ht="24.95" customHeight="1">
      <c r="B187" s="51">
        <v>63</v>
      </c>
      <c r="C187" s="51">
        <v>4</v>
      </c>
      <c r="D187" s="67">
        <v>7</v>
      </c>
      <c r="E187" s="55">
        <f t="shared" si="0"/>
        <v>12</v>
      </c>
      <c r="F187" s="131">
        <f>IF(ISBLANK(E187),0,IF(E187=Answers!E187,1,-1))</f>
        <v>1</v>
      </c>
      <c r="G187" s="66">
        <v>2</v>
      </c>
      <c r="H187" s="66">
        <v>2</v>
      </c>
      <c r="I187" s="66">
        <v>2</v>
      </c>
      <c r="J187" s="66">
        <v>3</v>
      </c>
      <c r="K187" s="66">
        <v>4</v>
      </c>
      <c r="L187" s="66">
        <v>2</v>
      </c>
      <c r="M187" s="66">
        <v>5</v>
      </c>
      <c r="N187" s="66">
        <v>3</v>
      </c>
      <c r="O187" s="66">
        <v>2</v>
      </c>
      <c r="P187" s="33"/>
      <c r="Q187" s="68">
        <v>3</v>
      </c>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row>
    <row r="188" spans="2:41" s="32" customFormat="1" ht="24.95" customHeight="1">
      <c r="B188" s="51">
        <v>64</v>
      </c>
      <c r="C188" s="51">
        <v>4</v>
      </c>
      <c r="D188" s="67">
        <v>7</v>
      </c>
      <c r="E188" s="55">
        <f t="shared" si="0"/>
        <v>29</v>
      </c>
      <c r="F188" s="131">
        <f>IF(ISBLANK(E188),0,IF(E188=Answers!E188,1,-1))</f>
        <v>1</v>
      </c>
      <c r="G188" s="66">
        <v>5</v>
      </c>
      <c r="H188" s="66">
        <v>3</v>
      </c>
      <c r="I188" s="66">
        <v>4</v>
      </c>
      <c r="J188" s="66">
        <v>4</v>
      </c>
      <c r="K188" s="66">
        <v>5</v>
      </c>
      <c r="L188" s="66">
        <v>3</v>
      </c>
      <c r="M188" s="66">
        <v>4</v>
      </c>
      <c r="N188" s="66">
        <v>4</v>
      </c>
      <c r="O188" s="66">
        <v>2</v>
      </c>
      <c r="P188" s="33"/>
      <c r="Q188" s="68">
        <v>7</v>
      </c>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row>
    <row r="189" spans="2:41" s="32" customFormat="1" ht="24.95" customHeight="1">
      <c r="B189" s="51">
        <v>65</v>
      </c>
      <c r="C189" s="51">
        <v>4</v>
      </c>
      <c r="D189" s="67">
        <v>7</v>
      </c>
      <c r="E189" s="55">
        <f t="shared" si="0"/>
        <v>25</v>
      </c>
      <c r="F189" s="131">
        <f>IF(ISBLANK(E189),0,IF(E189=Answers!E189,1,-1))</f>
        <v>1</v>
      </c>
      <c r="G189" s="66">
        <v>2</v>
      </c>
      <c r="H189" s="66">
        <v>4</v>
      </c>
      <c r="I189" s="66">
        <v>4</v>
      </c>
      <c r="J189" s="66">
        <v>2</v>
      </c>
      <c r="K189" s="66">
        <v>2</v>
      </c>
      <c r="L189" s="66">
        <v>4</v>
      </c>
      <c r="M189" s="66">
        <v>4</v>
      </c>
      <c r="N189" s="66">
        <v>3</v>
      </c>
      <c r="O189" s="66">
        <v>2</v>
      </c>
      <c r="P189" s="33"/>
      <c r="Q189" s="68">
        <v>8</v>
      </c>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row>
    <row r="190" spans="2:41" s="32" customFormat="1" ht="24.95" customHeight="1">
      <c r="B190" s="51">
        <v>66</v>
      </c>
      <c r="C190" s="51">
        <v>4</v>
      </c>
      <c r="D190" s="67">
        <v>7</v>
      </c>
      <c r="E190" s="55">
        <f t="shared" si="0"/>
        <v>15</v>
      </c>
      <c r="F190" s="131">
        <f>IF(ISBLANK(E190),0,IF(E190=Answers!E190,1,-1))</f>
        <v>1</v>
      </c>
      <c r="G190" s="66">
        <v>4</v>
      </c>
      <c r="H190" s="66">
        <v>5</v>
      </c>
      <c r="I190" s="66">
        <v>4</v>
      </c>
      <c r="J190" s="66">
        <v>4</v>
      </c>
      <c r="K190" s="66">
        <v>3</v>
      </c>
      <c r="L190" s="66">
        <v>5</v>
      </c>
      <c r="M190" s="66">
        <v>5</v>
      </c>
      <c r="N190" s="66">
        <v>3</v>
      </c>
      <c r="O190" s="66">
        <v>5</v>
      </c>
      <c r="P190" s="33"/>
      <c r="Q190" s="68">
        <v>3</v>
      </c>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row>
    <row r="191" spans="2:41" s="32" customFormat="1" ht="24.95" customHeight="1">
      <c r="B191" s="51">
        <v>67</v>
      </c>
      <c r="C191" s="51">
        <v>4</v>
      </c>
      <c r="D191" s="67">
        <v>7</v>
      </c>
      <c r="E191" s="55">
        <f t="shared" si="0"/>
        <v>28</v>
      </c>
      <c r="F191" s="131">
        <f>IF(ISBLANK(E191),0,IF(E191=Answers!E191,1,-1))</f>
        <v>1</v>
      </c>
      <c r="G191" s="66">
        <v>3</v>
      </c>
      <c r="H191" s="66">
        <v>4</v>
      </c>
      <c r="I191" s="66">
        <v>3</v>
      </c>
      <c r="J191" s="66">
        <v>4</v>
      </c>
      <c r="K191" s="66">
        <v>2</v>
      </c>
      <c r="L191" s="66">
        <v>5</v>
      </c>
      <c r="M191" s="66">
        <v>4</v>
      </c>
      <c r="N191" s="66">
        <v>3</v>
      </c>
      <c r="O191" s="66">
        <v>5</v>
      </c>
      <c r="P191" s="33"/>
      <c r="Q191" s="68">
        <v>7</v>
      </c>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row>
    <row r="192" spans="2:41" s="32" customFormat="1" ht="24.95" customHeight="1">
      <c r="B192" s="51">
        <v>68</v>
      </c>
      <c r="C192" s="51">
        <v>4</v>
      </c>
      <c r="D192" s="67">
        <v>7</v>
      </c>
      <c r="E192" s="55">
        <f t="shared" si="0"/>
        <v>29</v>
      </c>
      <c r="F192" s="131">
        <f>IF(ISBLANK(E192),0,IF(E192=Answers!E192,1,-1))</f>
        <v>1</v>
      </c>
      <c r="G192" s="66">
        <v>4</v>
      </c>
      <c r="H192" s="66">
        <v>4</v>
      </c>
      <c r="I192" s="66">
        <v>5</v>
      </c>
      <c r="J192" s="66">
        <v>2</v>
      </c>
      <c r="K192" s="66">
        <v>4</v>
      </c>
      <c r="L192" s="66">
        <v>3</v>
      </c>
      <c r="M192" s="66">
        <v>5</v>
      </c>
      <c r="N192" s="66">
        <v>4</v>
      </c>
      <c r="O192" s="66">
        <v>2</v>
      </c>
      <c r="P192" s="33"/>
      <c r="Q192" s="68">
        <v>7</v>
      </c>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row>
    <row r="193" spans="2:41" s="32" customFormat="1" ht="24.95" customHeight="1">
      <c r="B193" s="51">
        <v>69</v>
      </c>
      <c r="C193" s="51">
        <v>4</v>
      </c>
      <c r="D193" s="67">
        <v>7</v>
      </c>
      <c r="E193" s="55">
        <f t="shared" si="0"/>
        <v>31</v>
      </c>
      <c r="F193" s="131">
        <f>IF(ISBLANK(E193),0,IF(E193=Answers!E193,1,-1))</f>
        <v>1</v>
      </c>
      <c r="G193" s="66">
        <v>3</v>
      </c>
      <c r="H193" s="66">
        <v>2</v>
      </c>
      <c r="I193" s="66">
        <v>5</v>
      </c>
      <c r="J193" s="66">
        <v>4</v>
      </c>
      <c r="K193" s="66">
        <v>4</v>
      </c>
      <c r="L193" s="66">
        <v>2</v>
      </c>
      <c r="M193" s="66">
        <v>5</v>
      </c>
      <c r="N193" s="66">
        <v>5</v>
      </c>
      <c r="O193" s="66">
        <v>5</v>
      </c>
      <c r="P193" s="33"/>
      <c r="Q193" s="68">
        <v>7</v>
      </c>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row>
    <row r="194" spans="2:41" s="32" customFormat="1" ht="24.95" customHeight="1">
      <c r="B194" s="51">
        <v>70</v>
      </c>
      <c r="C194" s="51">
        <v>4</v>
      </c>
      <c r="D194" s="67">
        <v>7</v>
      </c>
      <c r="E194" s="55">
        <f t="shared" si="0"/>
        <v>20</v>
      </c>
      <c r="F194" s="131">
        <f>IF(ISBLANK(E194),0,IF(E194=Answers!E194,1,-1))</f>
        <v>1</v>
      </c>
      <c r="G194" s="66">
        <v>5</v>
      </c>
      <c r="H194" s="66">
        <v>2</v>
      </c>
      <c r="I194" s="66">
        <v>4</v>
      </c>
      <c r="J194" s="66">
        <v>5</v>
      </c>
      <c r="K194" s="66">
        <v>3</v>
      </c>
      <c r="L194" s="66">
        <v>2</v>
      </c>
      <c r="M194" s="66">
        <v>2</v>
      </c>
      <c r="N194" s="66">
        <v>3</v>
      </c>
      <c r="O194" s="66">
        <v>3</v>
      </c>
      <c r="P194" s="33"/>
      <c r="Q194" s="68">
        <v>5</v>
      </c>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row>
    <row r="195" spans="2:41" s="32" customFormat="1" ht="24.95" customHeight="1">
      <c r="B195" s="51">
        <v>71</v>
      </c>
      <c r="C195" s="51">
        <v>4</v>
      </c>
      <c r="D195" s="67">
        <v>7</v>
      </c>
      <c r="E195" s="55">
        <f t="shared" si="0"/>
        <v>19</v>
      </c>
      <c r="F195" s="131">
        <f>IF(ISBLANK(E195),0,IF(E195=Answers!E195,1,-1))</f>
        <v>1</v>
      </c>
      <c r="G195" s="66">
        <v>5</v>
      </c>
      <c r="H195" s="66">
        <v>2</v>
      </c>
      <c r="I195" s="66">
        <v>2</v>
      </c>
      <c r="J195" s="66">
        <v>4</v>
      </c>
      <c r="K195" s="66">
        <v>5</v>
      </c>
      <c r="L195" s="66">
        <v>2</v>
      </c>
      <c r="M195" s="66">
        <v>5</v>
      </c>
      <c r="N195" s="66">
        <v>4</v>
      </c>
      <c r="O195" s="66">
        <v>4</v>
      </c>
      <c r="P195" s="33"/>
      <c r="Q195" s="68">
        <v>4</v>
      </c>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row>
    <row r="196" spans="2:41" s="32" customFormat="1" ht="24.95" customHeight="1">
      <c r="B196" s="51">
        <v>72</v>
      </c>
      <c r="C196" s="51">
        <v>4</v>
      </c>
      <c r="D196" s="67">
        <v>7</v>
      </c>
      <c r="E196" s="55">
        <f t="shared" si="0"/>
        <v>26</v>
      </c>
      <c r="F196" s="131">
        <f>IF(ISBLANK(E196),0,IF(E196=Answers!E196,1,-1))</f>
        <v>1</v>
      </c>
      <c r="G196" s="66">
        <v>2</v>
      </c>
      <c r="H196" s="66">
        <v>5</v>
      </c>
      <c r="I196" s="66">
        <v>3</v>
      </c>
      <c r="J196" s="66">
        <v>5</v>
      </c>
      <c r="K196" s="66">
        <v>3</v>
      </c>
      <c r="L196" s="66">
        <v>3</v>
      </c>
      <c r="M196" s="66">
        <v>5</v>
      </c>
      <c r="N196" s="66">
        <v>2</v>
      </c>
      <c r="O196" s="66">
        <v>2</v>
      </c>
      <c r="P196" s="33"/>
      <c r="Q196" s="68">
        <v>7</v>
      </c>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row>
    <row r="197" spans="2:41" s="32" customFormat="1" ht="24.95" customHeight="1">
      <c r="B197" s="51">
        <v>73</v>
      </c>
      <c r="C197" s="51">
        <v>4</v>
      </c>
      <c r="D197" s="67">
        <v>7</v>
      </c>
      <c r="E197" s="55">
        <f t="shared" si="0"/>
        <v>18</v>
      </c>
      <c r="F197" s="131">
        <f>IF(ISBLANK(E197),0,IF(E197=Answers!E197,1,-1))</f>
        <v>1</v>
      </c>
      <c r="G197" s="66">
        <v>4</v>
      </c>
      <c r="H197" s="66">
        <v>4</v>
      </c>
      <c r="I197" s="66">
        <v>5</v>
      </c>
      <c r="J197" s="66">
        <v>5</v>
      </c>
      <c r="K197" s="66">
        <v>3</v>
      </c>
      <c r="L197" s="66">
        <v>3</v>
      </c>
      <c r="M197" s="66">
        <v>2</v>
      </c>
      <c r="N197" s="66">
        <v>4</v>
      </c>
      <c r="O197" s="66">
        <v>4</v>
      </c>
      <c r="P197" s="33"/>
      <c r="Q197" s="68">
        <v>4</v>
      </c>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row>
    <row r="198" spans="2:41" s="32" customFormat="1" ht="24.95" customHeight="1">
      <c r="B198" s="51">
        <v>74</v>
      </c>
      <c r="C198" s="51">
        <v>4</v>
      </c>
      <c r="D198" s="67">
        <v>7</v>
      </c>
      <c r="E198" s="55">
        <f t="shared" si="0"/>
        <v>15</v>
      </c>
      <c r="F198" s="131">
        <f>IF(ISBLANK(E198),0,IF(E198=Answers!E198,1,-1))</f>
        <v>1</v>
      </c>
      <c r="G198" s="66">
        <v>3</v>
      </c>
      <c r="H198" s="66">
        <v>5</v>
      </c>
      <c r="I198" s="66">
        <v>3</v>
      </c>
      <c r="J198" s="66">
        <v>5</v>
      </c>
      <c r="K198" s="66">
        <v>4</v>
      </c>
      <c r="L198" s="66">
        <v>3</v>
      </c>
      <c r="M198" s="66">
        <v>2</v>
      </c>
      <c r="N198" s="66">
        <v>3</v>
      </c>
      <c r="O198" s="66">
        <v>5</v>
      </c>
      <c r="P198" s="33"/>
      <c r="Q198" s="68">
        <v>3</v>
      </c>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row>
    <row r="199" spans="2:41" s="32" customFormat="1" ht="24.95" customHeight="1">
      <c r="B199" s="51">
        <v>75</v>
      </c>
      <c r="C199" s="51">
        <v>4</v>
      </c>
      <c r="D199" s="67">
        <v>7</v>
      </c>
      <c r="E199" s="55">
        <f t="shared" si="0"/>
        <v>15</v>
      </c>
      <c r="F199" s="131">
        <f>IF(ISBLANK(E199),0,IF(E199=Answers!E199,1,-1))</f>
        <v>1</v>
      </c>
      <c r="G199" s="66">
        <v>5</v>
      </c>
      <c r="H199" s="66">
        <v>4</v>
      </c>
      <c r="I199" s="66">
        <v>5</v>
      </c>
      <c r="J199" s="66">
        <v>5</v>
      </c>
      <c r="K199" s="66">
        <v>5</v>
      </c>
      <c r="L199" s="66">
        <v>5</v>
      </c>
      <c r="M199" s="66">
        <v>5</v>
      </c>
      <c r="N199" s="66">
        <v>4</v>
      </c>
      <c r="O199" s="66">
        <v>2</v>
      </c>
      <c r="P199" s="33"/>
      <c r="Q199" s="68">
        <v>3</v>
      </c>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row>
    <row r="200" spans="2:41" s="32" customFormat="1" ht="24.95" customHeight="1">
      <c r="B200" s="51">
        <v>76</v>
      </c>
      <c r="C200" s="51">
        <v>4</v>
      </c>
      <c r="D200" s="67">
        <v>7</v>
      </c>
      <c r="E200" s="55">
        <f t="shared" si="0"/>
        <v>28</v>
      </c>
      <c r="F200" s="131">
        <f>IF(ISBLANK(E200),0,IF(E200=Answers!E200,1,-1))</f>
        <v>1</v>
      </c>
      <c r="G200" s="66">
        <v>4</v>
      </c>
      <c r="H200" s="66">
        <v>5</v>
      </c>
      <c r="I200" s="66">
        <v>4</v>
      </c>
      <c r="J200" s="66">
        <v>5</v>
      </c>
      <c r="K200" s="66">
        <v>5</v>
      </c>
      <c r="L200" s="66">
        <v>4</v>
      </c>
      <c r="M200" s="66">
        <v>2</v>
      </c>
      <c r="N200" s="66">
        <v>2</v>
      </c>
      <c r="O200" s="66">
        <v>5</v>
      </c>
      <c r="P200" s="33"/>
      <c r="Q200" s="68">
        <v>6</v>
      </c>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row>
    <row r="201" spans="2:41" s="32" customFormat="1" ht="24.95" customHeight="1">
      <c r="B201" s="51">
        <v>77</v>
      </c>
      <c r="C201" s="51">
        <v>4</v>
      </c>
      <c r="D201" s="67">
        <v>7</v>
      </c>
      <c r="E201" s="55">
        <f t="shared" si="0"/>
        <v>20</v>
      </c>
      <c r="F201" s="131">
        <f>IF(ISBLANK(E201),0,IF(E201=Answers!E201,1,-1))</f>
        <v>1</v>
      </c>
      <c r="G201" s="66">
        <v>4</v>
      </c>
      <c r="H201" s="66">
        <v>4</v>
      </c>
      <c r="I201" s="66">
        <v>3</v>
      </c>
      <c r="J201" s="66">
        <v>3</v>
      </c>
      <c r="K201" s="66">
        <v>4</v>
      </c>
      <c r="L201" s="66">
        <v>5</v>
      </c>
      <c r="M201" s="66">
        <v>3</v>
      </c>
      <c r="N201" s="66">
        <v>2</v>
      </c>
      <c r="O201" s="66">
        <v>3</v>
      </c>
      <c r="P201" s="33"/>
      <c r="Q201" s="68">
        <v>5</v>
      </c>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row>
    <row r="202" spans="2:41" s="32" customFormat="1" ht="24.95" customHeight="1">
      <c r="B202" s="51">
        <v>78</v>
      </c>
      <c r="C202" s="51">
        <v>4</v>
      </c>
      <c r="D202" s="67">
        <v>7</v>
      </c>
      <c r="E202" s="55">
        <f t="shared" si="0"/>
        <v>25</v>
      </c>
      <c r="F202" s="131">
        <f>IF(ISBLANK(E202),0,IF(E202=Answers!E202,1,-1))</f>
        <v>1</v>
      </c>
      <c r="G202" s="66">
        <v>3</v>
      </c>
      <c r="H202" s="66">
        <v>5</v>
      </c>
      <c r="I202" s="66">
        <v>5</v>
      </c>
      <c r="J202" s="66">
        <v>3</v>
      </c>
      <c r="K202" s="66">
        <v>2</v>
      </c>
      <c r="L202" s="66">
        <v>5</v>
      </c>
      <c r="M202" s="66">
        <v>2</v>
      </c>
      <c r="N202" s="66">
        <v>2</v>
      </c>
      <c r="O202" s="66">
        <v>4</v>
      </c>
      <c r="P202" s="33"/>
      <c r="Q202" s="68">
        <v>6</v>
      </c>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row>
    <row r="203" spans="2:41" s="32" customFormat="1" ht="24.95" customHeight="1">
      <c r="B203" s="51">
        <v>79</v>
      </c>
      <c r="C203" s="51">
        <v>4</v>
      </c>
      <c r="D203" s="67">
        <v>7</v>
      </c>
      <c r="E203" s="55">
        <f t="shared" si="0"/>
        <v>26</v>
      </c>
      <c r="F203" s="131">
        <f>IF(ISBLANK(E203),0,IF(E203=Answers!E203,1,-1))</f>
        <v>1</v>
      </c>
      <c r="G203" s="66">
        <v>4</v>
      </c>
      <c r="H203" s="66">
        <v>3</v>
      </c>
      <c r="I203" s="66">
        <v>2</v>
      </c>
      <c r="J203" s="66">
        <v>4</v>
      </c>
      <c r="K203" s="66">
        <v>5</v>
      </c>
      <c r="L203" s="66">
        <v>5</v>
      </c>
      <c r="M203" s="66">
        <v>3</v>
      </c>
      <c r="N203" s="66">
        <v>2</v>
      </c>
      <c r="O203" s="66">
        <v>5</v>
      </c>
      <c r="P203" s="33"/>
      <c r="Q203" s="68">
        <v>6</v>
      </c>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row>
    <row r="204" spans="2:41" s="32" customFormat="1" ht="24.95" customHeight="1">
      <c r="B204" s="51">
        <v>80</v>
      </c>
      <c r="C204" s="51">
        <v>4</v>
      </c>
      <c r="D204" s="67">
        <v>7</v>
      </c>
      <c r="E204" s="55">
        <f t="shared" si="0"/>
        <v>34</v>
      </c>
      <c r="F204" s="131">
        <f>IF(ISBLANK(E204),0,IF(E204=Answers!E204,1,-1))</f>
        <v>1</v>
      </c>
      <c r="G204" s="66">
        <v>5</v>
      </c>
      <c r="H204" s="66">
        <v>4</v>
      </c>
      <c r="I204" s="66">
        <v>3</v>
      </c>
      <c r="J204" s="66">
        <v>4</v>
      </c>
      <c r="K204" s="66">
        <v>5</v>
      </c>
      <c r="L204" s="66">
        <v>4</v>
      </c>
      <c r="M204" s="66">
        <v>4</v>
      </c>
      <c r="N204" s="66">
        <v>3</v>
      </c>
      <c r="O204" s="66">
        <v>5</v>
      </c>
      <c r="P204" s="33"/>
      <c r="Q204" s="68">
        <v>8</v>
      </c>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row>
    <row r="205" spans="2:41" s="32" customFormat="1" ht="15" customHeight="1" thickBot="1">
      <c r="B205" s="16"/>
      <c r="H205" s="16"/>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row>
    <row r="206" spans="2:41" s="32" customFormat="1" ht="22.5" customHeight="1" thickBot="1">
      <c r="B206" s="57" t="s">
        <v>45</v>
      </c>
      <c r="C206" s="73" t="s">
        <v>46</v>
      </c>
      <c r="D206" s="59"/>
      <c r="H206" s="16"/>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row>
    <row r="207" spans="2:41" s="50" customFormat="1" ht="15" customHeight="1">
      <c r="B207" s="16"/>
      <c r="C207" s="16"/>
      <c r="D207" s="16"/>
      <c r="E207" s="16"/>
      <c r="F207" s="16"/>
      <c r="G207" s="16"/>
      <c r="H207" s="16"/>
    </row>
    <row r="208" spans="2:41" s="32" customFormat="1" ht="15" customHeight="1">
      <c r="B208" s="60" t="s">
        <v>113</v>
      </c>
      <c r="C208" s="61"/>
      <c r="D208" s="16"/>
      <c r="E208" s="16"/>
      <c r="F208" s="16"/>
      <c r="G208" s="16"/>
      <c r="I208" s="16"/>
      <c r="J208" s="50"/>
      <c r="K208" s="50"/>
      <c r="L208" s="50"/>
      <c r="M208" s="50"/>
      <c r="N208" s="50"/>
      <c r="O208" s="50"/>
      <c r="P208" s="50"/>
      <c r="Q208" s="50"/>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row>
    <row r="209" spans="2:41" s="32" customFormat="1" ht="15" customHeight="1">
      <c r="B209" s="61"/>
      <c r="C209" s="61"/>
      <c r="D209" s="16"/>
      <c r="E209" s="16"/>
      <c r="F209" s="16"/>
      <c r="G209" s="16"/>
      <c r="I209" s="16"/>
      <c r="J209" s="50"/>
      <c r="K209" s="50"/>
      <c r="L209" s="50"/>
      <c r="M209" s="50"/>
      <c r="N209" s="50"/>
      <c r="O209" s="50"/>
      <c r="P209" s="50"/>
      <c r="Q209" s="50"/>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row>
    <row r="210" spans="2:41" s="32" customFormat="1" ht="15" customHeight="1">
      <c r="B210" s="60" t="s">
        <v>117</v>
      </c>
      <c r="C210" s="61"/>
      <c r="D210" s="16"/>
      <c r="E210" s="16"/>
      <c r="F210" s="16"/>
      <c r="G210" s="16"/>
      <c r="I210" s="16"/>
      <c r="J210" s="50"/>
      <c r="K210" s="50"/>
      <c r="L210" s="50"/>
      <c r="M210" s="50"/>
      <c r="N210" s="50"/>
      <c r="O210" s="50"/>
      <c r="P210" s="50"/>
      <c r="Q210" s="50"/>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row>
    <row r="211" spans="2:41" s="32" customFormat="1" ht="15" customHeight="1">
      <c r="B211" s="62" t="s">
        <v>118</v>
      </c>
      <c r="C211" s="61"/>
      <c r="D211" s="16"/>
      <c r="E211" s="16"/>
      <c r="F211" s="16"/>
      <c r="G211" s="16"/>
      <c r="I211" s="16"/>
      <c r="J211" s="50"/>
      <c r="K211" s="50"/>
      <c r="L211" s="50"/>
      <c r="M211" s="50"/>
      <c r="N211" s="50"/>
      <c r="O211" s="50"/>
      <c r="P211" s="50"/>
      <c r="Q211" s="50"/>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row>
    <row r="212" spans="2:41" s="32" customFormat="1" ht="15" customHeight="1">
      <c r="B212" s="16"/>
      <c r="C212" s="16"/>
      <c r="D212" s="16"/>
      <c r="E212" s="16"/>
      <c r="F212" s="16"/>
      <c r="G212" s="16"/>
      <c r="I212" s="16"/>
      <c r="J212" s="50"/>
      <c r="K212" s="50"/>
      <c r="L212" s="50"/>
      <c r="M212" s="50"/>
      <c r="N212" s="50"/>
      <c r="O212" s="50"/>
      <c r="P212" s="50"/>
      <c r="Q212" s="50"/>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row>
    <row r="213" spans="2:41" s="32" customFormat="1" ht="15" customHeight="1">
      <c r="B213" s="63" t="s">
        <v>34</v>
      </c>
      <c r="C213" s="61"/>
      <c r="D213" s="50"/>
      <c r="E213" s="50"/>
      <c r="F213" s="50"/>
      <c r="G213" s="50"/>
      <c r="I213" s="16"/>
      <c r="J213" s="50"/>
      <c r="K213" s="50"/>
      <c r="L213" s="50"/>
      <c r="M213" s="50"/>
      <c r="N213" s="50"/>
      <c r="O213" s="50"/>
      <c r="P213" s="50"/>
      <c r="Q213" s="50"/>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row>
    <row r="214" spans="2:41" s="32" customFormat="1" ht="15" customHeight="1">
      <c r="B214" s="61" t="s">
        <v>114</v>
      </c>
      <c r="C214" s="16"/>
      <c r="D214" s="50"/>
      <c r="E214" s="50"/>
      <c r="F214" s="50"/>
      <c r="G214" s="50"/>
      <c r="I214" s="16"/>
      <c r="J214" s="50"/>
      <c r="K214" s="50"/>
      <c r="L214" s="50"/>
      <c r="M214" s="50"/>
      <c r="N214" s="50"/>
      <c r="O214" s="50"/>
      <c r="P214" s="50"/>
      <c r="Q214" s="50"/>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row>
    <row r="215" spans="2:41" s="32" customFormat="1" ht="15" customHeight="1">
      <c r="B215" s="61" t="s">
        <v>115</v>
      </c>
      <c r="C215" s="16"/>
      <c r="D215" s="50"/>
      <c r="E215" s="50"/>
      <c r="F215" s="50"/>
      <c r="G215" s="50"/>
      <c r="I215" s="16"/>
      <c r="J215" s="50"/>
      <c r="K215" s="50"/>
      <c r="L215" s="50"/>
      <c r="M215" s="50"/>
      <c r="N215" s="50"/>
      <c r="O215" s="50"/>
      <c r="P215" s="50"/>
      <c r="Q215" s="50"/>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row>
    <row r="216" spans="2:41" s="32" customFormat="1" ht="15" customHeight="1" thickBot="1">
      <c r="B216" s="61" t="s">
        <v>116</v>
      </c>
      <c r="C216" s="16"/>
      <c r="D216" s="50"/>
      <c r="E216" s="50"/>
      <c r="F216" s="50"/>
      <c r="G216" s="50"/>
      <c r="H216" s="16"/>
      <c r="I216" s="16"/>
      <c r="J216" s="16"/>
      <c r="K216" s="50"/>
      <c r="L216" s="50"/>
      <c r="M216" s="50"/>
      <c r="N216" s="50"/>
      <c r="O216" s="50"/>
      <c r="P216" s="50"/>
      <c r="Q216" s="50"/>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row>
    <row r="217" spans="2:41" s="50" customFormat="1" ht="22.5" customHeight="1" thickBot="1">
      <c r="B217" s="16"/>
      <c r="C217" s="16"/>
      <c r="D217" s="16"/>
      <c r="E217" s="16"/>
      <c r="F217" s="16"/>
      <c r="G217" s="110" t="s">
        <v>90</v>
      </c>
      <c r="H217" s="111"/>
      <c r="I217" s="111"/>
      <c r="J217" s="111"/>
      <c r="K217" s="111"/>
      <c r="L217" s="111"/>
      <c r="M217" s="111"/>
      <c r="N217" s="111"/>
      <c r="O217" s="112"/>
    </row>
    <row r="218" spans="2:41" s="50" customFormat="1" ht="22.5" customHeight="1" thickBot="1">
      <c r="B218" s="47" t="s">
        <v>8</v>
      </c>
      <c r="C218" s="48" t="s">
        <v>9</v>
      </c>
      <c r="D218" s="47" t="s">
        <v>10</v>
      </c>
      <c r="E218" s="64" t="s">
        <v>11</v>
      </c>
      <c r="F218" s="16"/>
      <c r="G218" s="47" t="s">
        <v>12</v>
      </c>
      <c r="H218" s="47" t="s">
        <v>13</v>
      </c>
      <c r="I218" s="47" t="s">
        <v>14</v>
      </c>
      <c r="J218" s="47" t="s">
        <v>15</v>
      </c>
      <c r="K218" s="47" t="s">
        <v>16</v>
      </c>
      <c r="L218" s="47" t="s">
        <v>17</v>
      </c>
      <c r="M218" s="47" t="s">
        <v>18</v>
      </c>
      <c r="N218" s="47" t="s">
        <v>19</v>
      </c>
      <c r="O218" s="47" t="s">
        <v>20</v>
      </c>
      <c r="Q218" s="47" t="s">
        <v>58</v>
      </c>
    </row>
    <row r="219" spans="2:41" s="32" customFormat="1" ht="15" customHeight="1">
      <c r="J219" s="33"/>
      <c r="K219" s="33"/>
      <c r="L219" s="33"/>
      <c r="M219" s="33"/>
      <c r="N219" s="33"/>
      <c r="O219" s="33"/>
      <c r="P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row>
    <row r="220" spans="2:41" s="32" customFormat="1" ht="24.95" customHeight="1">
      <c r="B220" s="65" t="s">
        <v>47</v>
      </c>
      <c r="C220" s="51">
        <v>5</v>
      </c>
      <c r="D220" s="52">
        <v>0</v>
      </c>
      <c r="E220" s="55">
        <v>7</v>
      </c>
      <c r="F220" s="131">
        <f>IF(ISBLANK(E220),0,IF(E220=Answers!E220,1,-1))</f>
        <v>1</v>
      </c>
      <c r="G220" s="66">
        <v>3</v>
      </c>
      <c r="H220" s="66">
        <v>5</v>
      </c>
      <c r="I220" s="66">
        <v>3</v>
      </c>
      <c r="J220" s="66">
        <v>4</v>
      </c>
      <c r="K220" s="66">
        <v>3</v>
      </c>
      <c r="L220" s="66">
        <v>3</v>
      </c>
      <c r="M220" s="66">
        <v>2</v>
      </c>
      <c r="N220" s="66">
        <v>3</v>
      </c>
      <c r="O220" s="66">
        <v>3</v>
      </c>
      <c r="P220" s="33"/>
      <c r="Q220" s="66">
        <v>4</v>
      </c>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row>
    <row r="221" spans="2:41" s="32" customFormat="1" ht="15" customHeight="1">
      <c r="P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row>
    <row r="222" spans="2:41" s="32" customFormat="1" ht="24.95" customHeight="1">
      <c r="B222" s="51">
        <v>81</v>
      </c>
      <c r="C222" s="51">
        <v>5</v>
      </c>
      <c r="D222" s="67">
        <v>8</v>
      </c>
      <c r="E222" s="55">
        <f>SUM(_xlfn.TAKE(_xlfn._xlws.SORT(G222:O222,1,-1,1),,Q222)) - 2 * Q222</f>
        <v>9</v>
      </c>
      <c r="F222" s="131">
        <f>IF(ISBLANK(E222),0,IF(E222=Answers!E222,1,-1))</f>
        <v>1</v>
      </c>
      <c r="G222" s="68">
        <v>2</v>
      </c>
      <c r="H222" s="68">
        <v>5</v>
      </c>
      <c r="I222" s="68">
        <v>4</v>
      </c>
      <c r="J222" s="68">
        <v>5</v>
      </c>
      <c r="K222" s="68">
        <v>4</v>
      </c>
      <c r="L222" s="68">
        <v>2</v>
      </c>
      <c r="M222" s="68">
        <v>3</v>
      </c>
      <c r="N222" s="68">
        <v>3</v>
      </c>
      <c r="O222" s="68">
        <v>5</v>
      </c>
      <c r="P222" s="33"/>
      <c r="Q222" s="68">
        <v>3</v>
      </c>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row>
    <row r="223" spans="2:41" s="32" customFormat="1" ht="24.95" customHeight="1">
      <c r="B223" s="51">
        <v>82</v>
      </c>
      <c r="C223" s="51">
        <v>5</v>
      </c>
      <c r="D223" s="67">
        <v>8</v>
      </c>
      <c r="E223" s="55">
        <f t="shared" ref="E223:E241" si="1">SUM(_xlfn.TAKE(_xlfn._xlws.SORT(G223:O223,1,-1,1),,Q223)) - 2 * Q223</f>
        <v>13</v>
      </c>
      <c r="F223" s="131">
        <f>IF(ISBLANK(E223),0,IF(E223=Answers!E223,1,-1))</f>
        <v>1</v>
      </c>
      <c r="G223" s="66">
        <v>2</v>
      </c>
      <c r="H223" s="66">
        <v>5</v>
      </c>
      <c r="I223" s="66">
        <v>2</v>
      </c>
      <c r="J223" s="66">
        <v>3</v>
      </c>
      <c r="K223" s="66">
        <v>4</v>
      </c>
      <c r="L223" s="66">
        <v>4</v>
      </c>
      <c r="M223" s="66">
        <v>5</v>
      </c>
      <c r="N223" s="66">
        <v>5</v>
      </c>
      <c r="O223" s="66">
        <v>2</v>
      </c>
      <c r="P223" s="33"/>
      <c r="Q223" s="68">
        <v>5</v>
      </c>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row>
    <row r="224" spans="2:41" s="32" customFormat="1" ht="24.95" customHeight="1">
      <c r="B224" s="51">
        <v>83</v>
      </c>
      <c r="C224" s="51">
        <v>5</v>
      </c>
      <c r="D224" s="67">
        <v>8</v>
      </c>
      <c r="E224" s="55">
        <f t="shared" si="1"/>
        <v>13</v>
      </c>
      <c r="F224" s="131">
        <f>IF(ISBLANK(E224),0,IF(E224=Answers!E224,1,-1))</f>
        <v>1</v>
      </c>
      <c r="G224" s="66">
        <v>4</v>
      </c>
      <c r="H224" s="66">
        <v>2</v>
      </c>
      <c r="I224" s="66">
        <v>3</v>
      </c>
      <c r="J224" s="66">
        <v>5</v>
      </c>
      <c r="K224" s="66">
        <v>2</v>
      </c>
      <c r="L224" s="66">
        <v>4</v>
      </c>
      <c r="M224" s="66">
        <v>5</v>
      </c>
      <c r="N224" s="66">
        <v>5</v>
      </c>
      <c r="O224" s="66">
        <v>4</v>
      </c>
      <c r="P224" s="33"/>
      <c r="Q224" s="68">
        <v>5</v>
      </c>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row>
    <row r="225" spans="2:41" s="32" customFormat="1" ht="24.95" customHeight="1">
      <c r="B225" s="51">
        <v>84</v>
      </c>
      <c r="C225" s="51">
        <v>5</v>
      </c>
      <c r="D225" s="67">
        <v>8</v>
      </c>
      <c r="E225" s="55">
        <f t="shared" si="1"/>
        <v>10</v>
      </c>
      <c r="F225" s="131">
        <f>IF(ISBLANK(E225),0,IF(E225=Answers!E225,1,-1))</f>
        <v>1</v>
      </c>
      <c r="G225" s="66">
        <v>5</v>
      </c>
      <c r="H225" s="66">
        <v>4</v>
      </c>
      <c r="I225" s="66">
        <v>4</v>
      </c>
      <c r="J225" s="66">
        <v>3</v>
      </c>
      <c r="K225" s="66">
        <v>3</v>
      </c>
      <c r="L225" s="66">
        <v>5</v>
      </c>
      <c r="M225" s="66">
        <v>4</v>
      </c>
      <c r="N225" s="66">
        <v>3</v>
      </c>
      <c r="O225" s="66">
        <v>2</v>
      </c>
      <c r="P225" s="33"/>
      <c r="Q225" s="68">
        <v>4</v>
      </c>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row>
    <row r="226" spans="2:41" s="32" customFormat="1" ht="24.95" customHeight="1">
      <c r="B226" s="51">
        <v>85</v>
      </c>
      <c r="C226" s="51">
        <v>5</v>
      </c>
      <c r="D226" s="67">
        <v>8</v>
      </c>
      <c r="E226" s="55">
        <f t="shared" si="1"/>
        <v>6</v>
      </c>
      <c r="F226" s="131">
        <f>IF(ISBLANK(E226),0,IF(E226=Answers!E226,1,-1))</f>
        <v>1</v>
      </c>
      <c r="G226" s="66">
        <v>5</v>
      </c>
      <c r="H226" s="66">
        <v>4</v>
      </c>
      <c r="I226" s="66">
        <v>4</v>
      </c>
      <c r="J226" s="66">
        <v>2</v>
      </c>
      <c r="K226" s="66">
        <v>3</v>
      </c>
      <c r="L226" s="66">
        <v>4</v>
      </c>
      <c r="M226" s="66">
        <v>2</v>
      </c>
      <c r="N226" s="66">
        <v>3</v>
      </c>
      <c r="O226" s="66">
        <v>5</v>
      </c>
      <c r="P226" s="33"/>
      <c r="Q226" s="68">
        <v>2</v>
      </c>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row>
    <row r="227" spans="2:41" s="32" customFormat="1" ht="24.95" customHeight="1">
      <c r="B227" s="51">
        <v>86</v>
      </c>
      <c r="C227" s="51">
        <v>5</v>
      </c>
      <c r="D227" s="67">
        <v>8</v>
      </c>
      <c r="E227" s="55">
        <f t="shared" si="1"/>
        <v>12</v>
      </c>
      <c r="F227" s="131">
        <f>IF(ISBLANK(E227),0,IF(E227=Answers!E227,1,-1))</f>
        <v>1</v>
      </c>
      <c r="G227" s="66">
        <v>5</v>
      </c>
      <c r="H227" s="66">
        <v>2</v>
      </c>
      <c r="I227" s="66">
        <v>3</v>
      </c>
      <c r="J227" s="66">
        <v>5</v>
      </c>
      <c r="K227" s="66">
        <v>3</v>
      </c>
      <c r="L227" s="66">
        <v>4</v>
      </c>
      <c r="M227" s="66">
        <v>4</v>
      </c>
      <c r="N227" s="66">
        <v>3</v>
      </c>
      <c r="O227" s="66">
        <v>4</v>
      </c>
      <c r="P227" s="33"/>
      <c r="Q227" s="68">
        <v>5</v>
      </c>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row>
    <row r="228" spans="2:41" s="32" customFormat="1" ht="24.95" customHeight="1">
      <c r="B228" s="51">
        <v>87</v>
      </c>
      <c r="C228" s="51">
        <v>5</v>
      </c>
      <c r="D228" s="67">
        <v>8</v>
      </c>
      <c r="E228" s="55">
        <f t="shared" si="1"/>
        <v>3</v>
      </c>
      <c r="F228" s="131">
        <f>IF(ISBLANK(E228),0,IF(E228=Answers!E228,1,-1))</f>
        <v>1</v>
      </c>
      <c r="G228" s="66">
        <v>2</v>
      </c>
      <c r="H228" s="66">
        <v>2</v>
      </c>
      <c r="I228" s="66">
        <v>5</v>
      </c>
      <c r="J228" s="66">
        <v>5</v>
      </c>
      <c r="K228" s="66">
        <v>5</v>
      </c>
      <c r="L228" s="66">
        <v>3</v>
      </c>
      <c r="M228" s="66">
        <v>2</v>
      </c>
      <c r="N228" s="66">
        <v>2</v>
      </c>
      <c r="O228" s="66">
        <v>3</v>
      </c>
      <c r="P228" s="33"/>
      <c r="Q228" s="68">
        <v>1</v>
      </c>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row>
    <row r="229" spans="2:41" s="32" customFormat="1" ht="24.95" customHeight="1">
      <c r="B229" s="51">
        <v>88</v>
      </c>
      <c r="C229" s="51">
        <v>5</v>
      </c>
      <c r="D229" s="67">
        <v>8</v>
      </c>
      <c r="E229" s="55">
        <f t="shared" si="1"/>
        <v>6</v>
      </c>
      <c r="F229" s="131">
        <f>IF(ISBLANK(E229),0,IF(E229=Answers!E229,1,-1))</f>
        <v>1</v>
      </c>
      <c r="G229" s="66">
        <v>2</v>
      </c>
      <c r="H229" s="66">
        <v>4</v>
      </c>
      <c r="I229" s="66">
        <v>5</v>
      </c>
      <c r="J229" s="66">
        <v>5</v>
      </c>
      <c r="K229" s="66">
        <v>4</v>
      </c>
      <c r="L229" s="66">
        <v>5</v>
      </c>
      <c r="M229" s="66">
        <v>3</v>
      </c>
      <c r="N229" s="66">
        <v>4</v>
      </c>
      <c r="O229" s="66">
        <v>5</v>
      </c>
      <c r="P229" s="33"/>
      <c r="Q229" s="68">
        <v>2</v>
      </c>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row>
    <row r="230" spans="2:41" s="32" customFormat="1" ht="24.95" customHeight="1">
      <c r="B230" s="51">
        <v>89</v>
      </c>
      <c r="C230" s="51">
        <v>5</v>
      </c>
      <c r="D230" s="67">
        <v>8</v>
      </c>
      <c r="E230" s="55">
        <f t="shared" si="1"/>
        <v>9</v>
      </c>
      <c r="F230" s="131">
        <f>IF(ISBLANK(E230),0,IF(E230=Answers!E230,1,-1))</f>
        <v>1</v>
      </c>
      <c r="G230" s="66">
        <v>4</v>
      </c>
      <c r="H230" s="66">
        <v>4</v>
      </c>
      <c r="I230" s="66">
        <v>4</v>
      </c>
      <c r="J230" s="66">
        <v>3</v>
      </c>
      <c r="K230" s="66">
        <v>2</v>
      </c>
      <c r="L230" s="66">
        <v>4</v>
      </c>
      <c r="M230" s="66">
        <v>4</v>
      </c>
      <c r="N230" s="66">
        <v>4</v>
      </c>
      <c r="O230" s="66">
        <v>5</v>
      </c>
      <c r="P230" s="33"/>
      <c r="Q230" s="68">
        <v>4</v>
      </c>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row>
    <row r="231" spans="2:41" s="32" customFormat="1" ht="24.95" customHeight="1">
      <c r="B231" s="51">
        <v>90</v>
      </c>
      <c r="C231" s="51">
        <v>5</v>
      </c>
      <c r="D231" s="67">
        <v>8</v>
      </c>
      <c r="E231" s="55">
        <f t="shared" si="1"/>
        <v>15</v>
      </c>
      <c r="F231" s="131">
        <f>IF(ISBLANK(E231),0,IF(E231=Answers!E231,1,-1))</f>
        <v>1</v>
      </c>
      <c r="G231" s="66">
        <v>4</v>
      </c>
      <c r="H231" s="66">
        <v>5</v>
      </c>
      <c r="I231" s="66">
        <v>2</v>
      </c>
      <c r="J231" s="66">
        <v>5</v>
      </c>
      <c r="K231" s="66">
        <v>5</v>
      </c>
      <c r="L231" s="66">
        <v>5</v>
      </c>
      <c r="M231" s="66">
        <v>3</v>
      </c>
      <c r="N231" s="66">
        <v>5</v>
      </c>
      <c r="O231" s="66">
        <v>5</v>
      </c>
      <c r="P231" s="33"/>
      <c r="Q231" s="68">
        <v>5</v>
      </c>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row>
    <row r="232" spans="2:41" s="32" customFormat="1" ht="24.95" customHeight="1">
      <c r="B232" s="51">
        <v>91</v>
      </c>
      <c r="C232" s="51">
        <v>5</v>
      </c>
      <c r="D232" s="67">
        <v>8</v>
      </c>
      <c r="E232" s="55">
        <f t="shared" si="1"/>
        <v>6</v>
      </c>
      <c r="F232" s="131">
        <f>IF(ISBLANK(E232),0,IF(E232=Answers!E232,1,-1))</f>
        <v>1</v>
      </c>
      <c r="G232" s="66">
        <v>5</v>
      </c>
      <c r="H232" s="66">
        <v>5</v>
      </c>
      <c r="I232" s="66">
        <v>2</v>
      </c>
      <c r="J232" s="66">
        <v>2</v>
      </c>
      <c r="K232" s="66">
        <v>4</v>
      </c>
      <c r="L232" s="66">
        <v>3</v>
      </c>
      <c r="M232" s="66">
        <v>3</v>
      </c>
      <c r="N232" s="66">
        <v>2</v>
      </c>
      <c r="O232" s="66">
        <v>4</v>
      </c>
      <c r="P232" s="33"/>
      <c r="Q232" s="68">
        <v>2</v>
      </c>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row>
    <row r="233" spans="2:41" s="32" customFormat="1" ht="24.95" customHeight="1">
      <c r="B233" s="51">
        <v>92</v>
      </c>
      <c r="C233" s="51">
        <v>5</v>
      </c>
      <c r="D233" s="67">
        <v>8</v>
      </c>
      <c r="E233" s="55">
        <f t="shared" si="1"/>
        <v>15</v>
      </c>
      <c r="F233" s="131">
        <f>IF(ISBLANK(E233),0,IF(E233=Answers!E233,1,-1))</f>
        <v>1</v>
      </c>
      <c r="G233" s="66">
        <v>3</v>
      </c>
      <c r="H233" s="66">
        <v>5</v>
      </c>
      <c r="I233" s="66">
        <v>5</v>
      </c>
      <c r="J233" s="66">
        <v>5</v>
      </c>
      <c r="K233" s="66">
        <v>3</v>
      </c>
      <c r="L233" s="66">
        <v>4</v>
      </c>
      <c r="M233" s="66">
        <v>3</v>
      </c>
      <c r="N233" s="66">
        <v>5</v>
      </c>
      <c r="O233" s="66">
        <v>2</v>
      </c>
      <c r="P233" s="33"/>
      <c r="Q233" s="68">
        <v>6</v>
      </c>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row>
    <row r="234" spans="2:41" s="32" customFormat="1" ht="24.95" customHeight="1">
      <c r="B234" s="51">
        <v>93</v>
      </c>
      <c r="C234" s="51">
        <v>5</v>
      </c>
      <c r="D234" s="67">
        <v>8</v>
      </c>
      <c r="E234" s="55">
        <f t="shared" si="1"/>
        <v>11</v>
      </c>
      <c r="F234" s="131">
        <f>IF(ISBLANK(E234),0,IF(E234=Answers!E234,1,-1))</f>
        <v>1</v>
      </c>
      <c r="G234" s="66">
        <v>4</v>
      </c>
      <c r="H234" s="66">
        <v>4</v>
      </c>
      <c r="I234" s="66">
        <v>2</v>
      </c>
      <c r="J234" s="66">
        <v>2</v>
      </c>
      <c r="K234" s="66">
        <v>5</v>
      </c>
      <c r="L234" s="66">
        <v>4</v>
      </c>
      <c r="M234" s="66">
        <v>4</v>
      </c>
      <c r="N234" s="66">
        <v>4</v>
      </c>
      <c r="O234" s="66">
        <v>4</v>
      </c>
      <c r="P234" s="33"/>
      <c r="Q234" s="68">
        <v>5</v>
      </c>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row>
    <row r="235" spans="2:41" s="32" customFormat="1" ht="24.95" customHeight="1">
      <c r="B235" s="51">
        <v>94</v>
      </c>
      <c r="C235" s="51">
        <v>5</v>
      </c>
      <c r="D235" s="67">
        <v>8</v>
      </c>
      <c r="E235" s="55">
        <f t="shared" si="1"/>
        <v>9</v>
      </c>
      <c r="F235" s="131">
        <f>IF(ISBLANK(E235),0,IF(E235=Answers!E235,1,-1))</f>
        <v>1</v>
      </c>
      <c r="G235" s="66">
        <v>2</v>
      </c>
      <c r="H235" s="66">
        <v>5</v>
      </c>
      <c r="I235" s="66">
        <v>5</v>
      </c>
      <c r="J235" s="66">
        <v>3</v>
      </c>
      <c r="K235" s="66">
        <v>3</v>
      </c>
      <c r="L235" s="66">
        <v>3</v>
      </c>
      <c r="M235" s="66">
        <v>3</v>
      </c>
      <c r="N235" s="66">
        <v>3</v>
      </c>
      <c r="O235" s="66">
        <v>5</v>
      </c>
      <c r="P235" s="33"/>
      <c r="Q235" s="68">
        <v>3</v>
      </c>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row>
    <row r="236" spans="2:41" s="32" customFormat="1" ht="24.95" customHeight="1">
      <c r="B236" s="51">
        <v>95</v>
      </c>
      <c r="C236" s="51">
        <v>5</v>
      </c>
      <c r="D236" s="67">
        <v>8</v>
      </c>
      <c r="E236" s="55">
        <f t="shared" si="1"/>
        <v>11</v>
      </c>
      <c r="F236" s="131">
        <f>IF(ISBLANK(E236),0,IF(E236=Answers!E236,1,-1))</f>
        <v>1</v>
      </c>
      <c r="G236" s="66">
        <v>2</v>
      </c>
      <c r="H236" s="66">
        <v>5</v>
      </c>
      <c r="I236" s="66">
        <v>4</v>
      </c>
      <c r="J236" s="66">
        <v>5</v>
      </c>
      <c r="K236" s="66">
        <v>2</v>
      </c>
      <c r="L236" s="66">
        <v>2</v>
      </c>
      <c r="M236" s="66">
        <v>2</v>
      </c>
      <c r="N236" s="66">
        <v>2</v>
      </c>
      <c r="O236" s="66">
        <v>5</v>
      </c>
      <c r="P236" s="33"/>
      <c r="Q236" s="68">
        <v>4</v>
      </c>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row>
    <row r="237" spans="2:41" s="32" customFormat="1" ht="24.95" customHeight="1">
      <c r="B237" s="51">
        <v>96</v>
      </c>
      <c r="C237" s="51">
        <v>5</v>
      </c>
      <c r="D237" s="67">
        <v>8</v>
      </c>
      <c r="E237" s="55">
        <f t="shared" si="1"/>
        <v>3</v>
      </c>
      <c r="F237" s="131">
        <f>IF(ISBLANK(E237),0,IF(E237=Answers!E237,1,-1))</f>
        <v>1</v>
      </c>
      <c r="G237" s="66">
        <v>5</v>
      </c>
      <c r="H237" s="66">
        <v>3</v>
      </c>
      <c r="I237" s="66">
        <v>2</v>
      </c>
      <c r="J237" s="66">
        <v>3</v>
      </c>
      <c r="K237" s="66">
        <v>3</v>
      </c>
      <c r="L237" s="66">
        <v>2</v>
      </c>
      <c r="M237" s="66">
        <v>5</v>
      </c>
      <c r="N237" s="66">
        <v>2</v>
      </c>
      <c r="O237" s="66">
        <v>3</v>
      </c>
      <c r="P237" s="33"/>
      <c r="Q237" s="68">
        <v>1</v>
      </c>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row>
    <row r="238" spans="2:41" s="32" customFormat="1" ht="24.95" customHeight="1">
      <c r="B238" s="51">
        <v>97</v>
      </c>
      <c r="C238" s="51">
        <v>5</v>
      </c>
      <c r="D238" s="67">
        <v>8</v>
      </c>
      <c r="E238" s="55">
        <f t="shared" si="1"/>
        <v>6</v>
      </c>
      <c r="F238" s="131">
        <f>IF(ISBLANK(E238),0,IF(E238=Answers!E238,1,-1))</f>
        <v>1</v>
      </c>
      <c r="G238" s="66">
        <v>3</v>
      </c>
      <c r="H238" s="66">
        <v>2</v>
      </c>
      <c r="I238" s="66">
        <v>3</v>
      </c>
      <c r="J238" s="66">
        <v>4</v>
      </c>
      <c r="K238" s="66">
        <v>2</v>
      </c>
      <c r="L238" s="66">
        <v>5</v>
      </c>
      <c r="M238" s="66">
        <v>5</v>
      </c>
      <c r="N238" s="66">
        <v>5</v>
      </c>
      <c r="O238" s="66">
        <v>4</v>
      </c>
      <c r="P238" s="33"/>
      <c r="Q238" s="68">
        <v>2</v>
      </c>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row>
    <row r="239" spans="2:41" s="32" customFormat="1" ht="24.95" customHeight="1">
      <c r="B239" s="51">
        <v>98</v>
      </c>
      <c r="C239" s="51">
        <v>5</v>
      </c>
      <c r="D239" s="67">
        <v>8</v>
      </c>
      <c r="E239" s="55">
        <f t="shared" si="1"/>
        <v>10</v>
      </c>
      <c r="F239" s="131">
        <f>IF(ISBLANK(E239),0,IF(E239=Answers!E239,1,-1))</f>
        <v>1</v>
      </c>
      <c r="G239" s="66">
        <v>2</v>
      </c>
      <c r="H239" s="66">
        <v>2</v>
      </c>
      <c r="I239" s="66">
        <v>2</v>
      </c>
      <c r="J239" s="66">
        <v>3</v>
      </c>
      <c r="K239" s="66">
        <v>5</v>
      </c>
      <c r="L239" s="66">
        <v>5</v>
      </c>
      <c r="M239" s="66">
        <v>4</v>
      </c>
      <c r="N239" s="66">
        <v>4</v>
      </c>
      <c r="O239" s="66">
        <v>4</v>
      </c>
      <c r="P239" s="33"/>
      <c r="Q239" s="68">
        <v>4</v>
      </c>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row>
    <row r="240" spans="2:41" s="32" customFormat="1" ht="24.95" customHeight="1">
      <c r="B240" s="51">
        <v>99</v>
      </c>
      <c r="C240" s="51">
        <v>5</v>
      </c>
      <c r="D240" s="67">
        <v>8</v>
      </c>
      <c r="E240" s="55">
        <f t="shared" si="1"/>
        <v>3</v>
      </c>
      <c r="F240" s="131">
        <f>IF(ISBLANK(E240),0,IF(E240=Answers!E240,1,-1))</f>
        <v>1</v>
      </c>
      <c r="G240" s="66">
        <v>2</v>
      </c>
      <c r="H240" s="66">
        <v>3</v>
      </c>
      <c r="I240" s="66">
        <v>3</v>
      </c>
      <c r="J240" s="66">
        <v>5</v>
      </c>
      <c r="K240" s="66">
        <v>3</v>
      </c>
      <c r="L240" s="66">
        <v>2</v>
      </c>
      <c r="M240" s="66">
        <v>4</v>
      </c>
      <c r="N240" s="66">
        <v>3</v>
      </c>
      <c r="O240" s="66">
        <v>3</v>
      </c>
      <c r="P240" s="33"/>
      <c r="Q240" s="68">
        <v>1</v>
      </c>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row>
    <row r="241" spans="2:90" s="32" customFormat="1" ht="24.95" customHeight="1">
      <c r="B241" s="51">
        <v>100</v>
      </c>
      <c r="C241" s="51">
        <v>5</v>
      </c>
      <c r="D241" s="67">
        <v>8</v>
      </c>
      <c r="E241" s="55">
        <f t="shared" si="1"/>
        <v>3</v>
      </c>
      <c r="F241" s="131">
        <f>IF(ISBLANK(E241),0,IF(E241=Answers!E241,1,-1))</f>
        <v>1</v>
      </c>
      <c r="G241" s="66">
        <v>4</v>
      </c>
      <c r="H241" s="66">
        <v>4</v>
      </c>
      <c r="I241" s="66">
        <v>3</v>
      </c>
      <c r="J241" s="66">
        <v>5</v>
      </c>
      <c r="K241" s="66">
        <v>4</v>
      </c>
      <c r="L241" s="66">
        <v>2</v>
      </c>
      <c r="M241" s="66">
        <v>4</v>
      </c>
      <c r="N241" s="66">
        <v>4</v>
      </c>
      <c r="O241" s="66">
        <v>4</v>
      </c>
      <c r="P241" s="33"/>
      <c r="Q241" s="68">
        <v>1</v>
      </c>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row>
    <row r="242" spans="2:90" s="32" customFormat="1" ht="16.5" thickBot="1">
      <c r="H242" s="16"/>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row>
    <row r="243" spans="2:90" s="32" customFormat="1" ht="22.5" customHeight="1" thickBot="1">
      <c r="B243" s="57" t="s">
        <v>48</v>
      </c>
      <c r="C243" s="74" t="s">
        <v>49</v>
      </c>
      <c r="D243" s="75"/>
      <c r="H243" s="16"/>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row>
    <row r="244" spans="2:90" s="32" customFormat="1" ht="15" customHeight="1">
      <c r="H244" s="16"/>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row>
    <row r="245" spans="2:90" s="32" customFormat="1" ht="15" customHeight="1">
      <c r="B245" s="60" t="s">
        <v>135</v>
      </c>
      <c r="C245" s="71"/>
      <c r="H245" s="16"/>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row>
    <row r="246" spans="2:90" s="32" customFormat="1" ht="15" customHeight="1">
      <c r="B246" s="62" t="s">
        <v>119</v>
      </c>
      <c r="C246" s="71"/>
      <c r="H246" s="16"/>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row>
    <row r="247" spans="2:90" s="32" customFormat="1" ht="15" customHeight="1">
      <c r="B247" s="60"/>
      <c r="C247" s="71"/>
      <c r="H247" s="16"/>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row>
    <row r="248" spans="2:90" s="32" customFormat="1" ht="15" customHeight="1">
      <c r="B248" s="60" t="s">
        <v>120</v>
      </c>
      <c r="C248" s="62"/>
      <c r="H248" s="16"/>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row>
    <row r="249" spans="2:90" s="32" customFormat="1" ht="15" customHeight="1">
      <c r="B249" s="76" t="s">
        <v>121</v>
      </c>
      <c r="H249" s="16"/>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row>
    <row r="250" spans="2:90" s="32" customFormat="1" ht="15" customHeight="1">
      <c r="B250" s="60"/>
      <c r="C250" s="71"/>
      <c r="H250" s="16"/>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row>
    <row r="251" spans="2:90" s="32" customFormat="1" ht="15" customHeight="1">
      <c r="B251" s="63" t="s">
        <v>34</v>
      </c>
      <c r="H251" s="16"/>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row>
    <row r="252" spans="2:90" s="32" customFormat="1" ht="15" customHeight="1">
      <c r="B252" s="61" t="s">
        <v>122</v>
      </c>
      <c r="H252" s="16"/>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row>
    <row r="253" spans="2:90" s="32" customFormat="1" ht="15" customHeight="1">
      <c r="B253" s="61" t="s">
        <v>136</v>
      </c>
      <c r="H253" s="16"/>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row>
    <row r="254" spans="2:90" s="32" customFormat="1" ht="15" customHeight="1" thickBot="1">
      <c r="B254" s="61" t="s">
        <v>127</v>
      </c>
      <c r="C254" s="61"/>
      <c r="D254" s="50"/>
      <c r="E254" s="33"/>
      <c r="F254" s="33"/>
      <c r="G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row>
    <row r="255" spans="2:90" s="50" customFormat="1" ht="22.5" customHeight="1" thickBot="1">
      <c r="B255" s="16"/>
      <c r="C255" s="16"/>
      <c r="D255" s="16"/>
      <c r="E255" s="16"/>
      <c r="F255" s="16"/>
      <c r="G255" s="110" t="s">
        <v>90</v>
      </c>
      <c r="H255" s="111"/>
      <c r="I255" s="111"/>
      <c r="J255" s="111"/>
      <c r="K255" s="111"/>
      <c r="L255" s="111"/>
      <c r="M255" s="111"/>
      <c r="N255" s="111"/>
      <c r="O255" s="112"/>
    </row>
    <row r="256" spans="2:90" s="50" customFormat="1" ht="22.5" customHeight="1" thickBot="1">
      <c r="B256" s="47" t="s">
        <v>8</v>
      </c>
      <c r="C256" s="48" t="s">
        <v>9</v>
      </c>
      <c r="D256" s="47" t="s">
        <v>10</v>
      </c>
      <c r="E256" s="64" t="s">
        <v>11</v>
      </c>
      <c r="F256" s="16"/>
      <c r="G256" s="47" t="s">
        <v>12</v>
      </c>
      <c r="H256" s="47" t="s">
        <v>13</v>
      </c>
      <c r="I256" s="47" t="s">
        <v>14</v>
      </c>
      <c r="J256" s="47" t="s">
        <v>15</v>
      </c>
      <c r="K256" s="47" t="s">
        <v>16</v>
      </c>
      <c r="L256" s="47" t="s">
        <v>17</v>
      </c>
      <c r="M256" s="47" t="s">
        <v>18</v>
      </c>
      <c r="N256" s="47" t="s">
        <v>19</v>
      </c>
      <c r="O256" s="47" t="s">
        <v>20</v>
      </c>
      <c r="P256" s="77"/>
      <c r="Q256" s="47" t="s">
        <v>57</v>
      </c>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c r="BW256" s="77"/>
      <c r="BX256" s="77"/>
      <c r="BY256" s="77"/>
      <c r="BZ256" s="77"/>
      <c r="CA256" s="77"/>
      <c r="CB256" s="77"/>
      <c r="CC256" s="77"/>
      <c r="CD256" s="77"/>
      <c r="CE256" s="77"/>
      <c r="CF256" s="77"/>
      <c r="CG256" s="77"/>
      <c r="CH256" s="77"/>
      <c r="CI256" s="77"/>
      <c r="CJ256" s="77"/>
      <c r="CK256" s="77"/>
      <c r="CL256" s="77"/>
    </row>
    <row r="257" spans="2:90" s="32" customFormat="1" ht="15" customHeight="1">
      <c r="J257" s="33"/>
      <c r="K257" s="33"/>
      <c r="L257" s="33"/>
      <c r="M257" s="33"/>
      <c r="N257" s="33"/>
      <c r="O257" s="33"/>
      <c r="P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row>
    <row r="258" spans="2:90" s="32" customFormat="1" ht="24.95" customHeight="1">
      <c r="B258" s="65" t="s">
        <v>50</v>
      </c>
      <c r="C258" s="51">
        <v>6</v>
      </c>
      <c r="D258" s="52">
        <v>0</v>
      </c>
      <c r="E258" s="55">
        <v>9</v>
      </c>
      <c r="F258" s="131">
        <f>IF(ISBLANK(E258),0,IF(E258=Answers!E258,1,-1))</f>
        <v>1</v>
      </c>
      <c r="G258" s="66">
        <v>3</v>
      </c>
      <c r="H258" s="66">
        <v>5</v>
      </c>
      <c r="I258" s="66">
        <v>3</v>
      </c>
      <c r="J258" s="66">
        <v>4</v>
      </c>
      <c r="K258" s="66">
        <v>3</v>
      </c>
      <c r="L258" s="66">
        <v>3</v>
      </c>
      <c r="M258" s="66">
        <v>2</v>
      </c>
      <c r="N258" s="66">
        <v>3</v>
      </c>
      <c r="O258" s="66">
        <v>3</v>
      </c>
      <c r="P258" s="78"/>
      <c r="Q258" s="66">
        <v>3</v>
      </c>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row>
    <row r="259" spans="2:90" s="32" customFormat="1" ht="15" customHeight="1">
      <c r="P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row>
    <row r="260" spans="2:90" s="32" customFormat="1" ht="24.95" customHeight="1">
      <c r="B260" s="51">
        <v>101</v>
      </c>
      <c r="C260" s="51">
        <v>6</v>
      </c>
      <c r="D260" s="67">
        <v>9</v>
      </c>
      <c r="E260" s="55">
        <f>SUM(_xlfn.TAKE(_xlfn._xlws.SORT(G260:O260,1,-1,1),,1)) - 2 * Q260</f>
        <v>3</v>
      </c>
      <c r="F260" s="131">
        <f>IF(ISBLANK(E260),0,IF(E260=Answers!E260,1,-1))</f>
        <v>1</v>
      </c>
      <c r="G260" s="68">
        <v>3</v>
      </c>
      <c r="H260" s="68">
        <v>2</v>
      </c>
      <c r="I260" s="68">
        <v>2</v>
      </c>
      <c r="J260" s="68">
        <v>4</v>
      </c>
      <c r="K260" s="68">
        <v>3</v>
      </c>
      <c r="L260" s="68">
        <v>3</v>
      </c>
      <c r="M260" s="68">
        <v>5</v>
      </c>
      <c r="N260" s="68">
        <v>5</v>
      </c>
      <c r="O260" s="68">
        <v>5</v>
      </c>
      <c r="P260" s="78"/>
      <c r="Q260" s="68">
        <v>1</v>
      </c>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row>
    <row r="261" spans="2:90" s="32" customFormat="1" ht="24.95" customHeight="1">
      <c r="B261" s="51">
        <v>102</v>
      </c>
      <c r="C261" s="51">
        <v>6</v>
      </c>
      <c r="D261" s="67">
        <v>9</v>
      </c>
      <c r="E261" s="55">
        <f t="shared" ref="E261:E262" si="2">SUM(_xlfn.TAKE(_xlfn._xlws.SORT(G261:O261,1,-1,1),,1)) - 2 * Q261</f>
        <v>-1</v>
      </c>
      <c r="F261" s="131">
        <f>IF(ISBLANK(E261),0,IF(E261=Answers!E261,1,-1))</f>
        <v>-1</v>
      </c>
      <c r="G261" s="66">
        <v>2</v>
      </c>
      <c r="H261" s="66">
        <v>5</v>
      </c>
      <c r="I261" s="66">
        <v>4</v>
      </c>
      <c r="J261" s="66">
        <v>3</v>
      </c>
      <c r="K261" s="66">
        <v>5</v>
      </c>
      <c r="L261" s="66">
        <v>3</v>
      </c>
      <c r="M261" s="66">
        <v>3</v>
      </c>
      <c r="N261" s="66">
        <v>2</v>
      </c>
      <c r="O261" s="66">
        <v>2</v>
      </c>
      <c r="P261" s="78"/>
      <c r="Q261" s="68">
        <v>3</v>
      </c>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row>
    <row r="262" spans="2:90" s="32" customFormat="1" ht="24.95" customHeight="1">
      <c r="B262" s="51">
        <v>103</v>
      </c>
      <c r="C262" s="51">
        <v>6</v>
      </c>
      <c r="D262" s="67">
        <v>9</v>
      </c>
      <c r="E262" s="55">
        <f t="shared" si="2"/>
        <v>1</v>
      </c>
      <c r="F262" s="131">
        <f>IF(ISBLANK(E262),0,IF(E262=Answers!E262,1,-1))</f>
        <v>-1</v>
      </c>
      <c r="G262" s="66">
        <v>4</v>
      </c>
      <c r="H262" s="66">
        <v>4</v>
      </c>
      <c r="I262" s="66">
        <v>5</v>
      </c>
      <c r="J262" s="66">
        <v>2</v>
      </c>
      <c r="K262" s="66">
        <v>5</v>
      </c>
      <c r="L262" s="66">
        <v>5</v>
      </c>
      <c r="M262" s="66">
        <v>4</v>
      </c>
      <c r="N262" s="66">
        <v>5</v>
      </c>
      <c r="O262" s="66">
        <v>5</v>
      </c>
      <c r="P262" s="78"/>
      <c r="Q262" s="68">
        <v>2</v>
      </c>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row>
    <row r="263" spans="2:90" s="32" customFormat="1" ht="24.95" customHeight="1">
      <c r="B263" s="51">
        <v>104</v>
      </c>
      <c r="C263" s="51">
        <v>6</v>
      </c>
      <c r="D263" s="67">
        <v>9</v>
      </c>
      <c r="E263" s="55"/>
      <c r="F263" s="131">
        <f>IF(ISBLANK(E263),0,IF(E263=Answers!E263,1,-1))</f>
        <v>0</v>
      </c>
      <c r="G263" s="66">
        <v>3</v>
      </c>
      <c r="H263" s="66">
        <v>3</v>
      </c>
      <c r="I263" s="66">
        <v>2</v>
      </c>
      <c r="J263" s="66">
        <v>4</v>
      </c>
      <c r="K263" s="66">
        <v>5</v>
      </c>
      <c r="L263" s="66">
        <v>4</v>
      </c>
      <c r="M263" s="66">
        <v>4</v>
      </c>
      <c r="N263" s="66">
        <v>4</v>
      </c>
      <c r="O263" s="66">
        <v>4</v>
      </c>
      <c r="P263" s="78"/>
      <c r="Q263" s="68">
        <v>3</v>
      </c>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row>
    <row r="264" spans="2:90" s="32" customFormat="1" ht="24.95" customHeight="1">
      <c r="B264" s="51">
        <v>105</v>
      </c>
      <c r="C264" s="51">
        <v>6</v>
      </c>
      <c r="D264" s="67">
        <v>9</v>
      </c>
      <c r="E264" s="55"/>
      <c r="F264" s="131">
        <f>IF(ISBLANK(E264),0,IF(E264=Answers!E264,1,-1))</f>
        <v>0</v>
      </c>
      <c r="G264" s="66">
        <v>4</v>
      </c>
      <c r="H264" s="66">
        <v>5</v>
      </c>
      <c r="I264" s="66">
        <v>4</v>
      </c>
      <c r="J264" s="66">
        <v>5</v>
      </c>
      <c r="K264" s="66">
        <v>4</v>
      </c>
      <c r="L264" s="66">
        <v>3</v>
      </c>
      <c r="M264" s="66">
        <v>3</v>
      </c>
      <c r="N264" s="66">
        <v>3</v>
      </c>
      <c r="O264" s="66">
        <v>3</v>
      </c>
      <c r="P264" s="78"/>
      <c r="Q264" s="68">
        <v>1</v>
      </c>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row>
    <row r="265" spans="2:90" s="32" customFormat="1" ht="24.95" customHeight="1">
      <c r="B265" s="51">
        <v>106</v>
      </c>
      <c r="C265" s="51">
        <v>6</v>
      </c>
      <c r="D265" s="67">
        <v>9</v>
      </c>
      <c r="E265" s="55"/>
      <c r="F265" s="131">
        <f>IF(ISBLANK(E265),0,IF(E265=Answers!E265,1,-1))</f>
        <v>0</v>
      </c>
      <c r="G265" s="66">
        <v>3</v>
      </c>
      <c r="H265" s="66">
        <v>4</v>
      </c>
      <c r="I265" s="66">
        <v>4</v>
      </c>
      <c r="J265" s="66">
        <v>5</v>
      </c>
      <c r="K265" s="66">
        <v>5</v>
      </c>
      <c r="L265" s="66">
        <v>5</v>
      </c>
      <c r="M265" s="66">
        <v>3</v>
      </c>
      <c r="N265" s="66">
        <v>5</v>
      </c>
      <c r="O265" s="66">
        <v>2</v>
      </c>
      <c r="P265" s="78"/>
      <c r="Q265" s="68">
        <v>1</v>
      </c>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row>
    <row r="266" spans="2:90" s="32" customFormat="1" ht="24.95" customHeight="1">
      <c r="B266" s="51">
        <v>107</v>
      </c>
      <c r="C266" s="51">
        <v>6</v>
      </c>
      <c r="D266" s="67">
        <v>9</v>
      </c>
      <c r="E266" s="55"/>
      <c r="F266" s="131">
        <f>IF(ISBLANK(E266),0,IF(E266=Answers!E266,1,-1))</f>
        <v>0</v>
      </c>
      <c r="G266" s="66">
        <v>5</v>
      </c>
      <c r="H266" s="66">
        <v>2</v>
      </c>
      <c r="I266" s="66">
        <v>4</v>
      </c>
      <c r="J266" s="66">
        <v>4</v>
      </c>
      <c r="K266" s="66">
        <v>3</v>
      </c>
      <c r="L266" s="66">
        <v>5</v>
      </c>
      <c r="M266" s="66">
        <v>4</v>
      </c>
      <c r="N266" s="66">
        <v>3</v>
      </c>
      <c r="O266" s="66">
        <v>3</v>
      </c>
      <c r="P266" s="78"/>
      <c r="Q266" s="68">
        <v>3</v>
      </c>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row>
    <row r="267" spans="2:90" s="32" customFormat="1" ht="24.95" customHeight="1">
      <c r="B267" s="51">
        <v>108</v>
      </c>
      <c r="C267" s="51">
        <v>6</v>
      </c>
      <c r="D267" s="67">
        <v>9</v>
      </c>
      <c r="E267" s="55"/>
      <c r="F267" s="131">
        <f>IF(ISBLANK(E267),0,IF(E267=Answers!E267,1,-1))</f>
        <v>0</v>
      </c>
      <c r="G267" s="66">
        <v>4</v>
      </c>
      <c r="H267" s="66">
        <v>2</v>
      </c>
      <c r="I267" s="66">
        <v>4</v>
      </c>
      <c r="J267" s="66">
        <v>2</v>
      </c>
      <c r="K267" s="66">
        <v>3</v>
      </c>
      <c r="L267" s="66">
        <v>4</v>
      </c>
      <c r="M267" s="66">
        <v>3</v>
      </c>
      <c r="N267" s="66">
        <v>2</v>
      </c>
      <c r="O267" s="66">
        <v>2</v>
      </c>
      <c r="P267" s="78"/>
      <c r="Q267" s="68">
        <v>1</v>
      </c>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row>
    <row r="268" spans="2:90" s="32" customFormat="1" ht="24.95" customHeight="1">
      <c r="B268" s="51">
        <v>109</v>
      </c>
      <c r="C268" s="51">
        <v>6</v>
      </c>
      <c r="D268" s="67">
        <v>9</v>
      </c>
      <c r="E268" s="55"/>
      <c r="F268" s="131">
        <f>IF(ISBLANK(E268),0,IF(E268=Answers!E268,1,-1))</f>
        <v>0</v>
      </c>
      <c r="G268" s="66">
        <v>5</v>
      </c>
      <c r="H268" s="66">
        <v>5</v>
      </c>
      <c r="I268" s="66">
        <v>3</v>
      </c>
      <c r="J268" s="66">
        <v>3</v>
      </c>
      <c r="K268" s="66">
        <v>5</v>
      </c>
      <c r="L268" s="66">
        <v>2</v>
      </c>
      <c r="M268" s="66">
        <v>5</v>
      </c>
      <c r="N268" s="66">
        <v>2</v>
      </c>
      <c r="O268" s="66">
        <v>5</v>
      </c>
      <c r="P268" s="78"/>
      <c r="Q268" s="68">
        <v>3</v>
      </c>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row>
    <row r="269" spans="2:90" s="32" customFormat="1" ht="24.95" customHeight="1">
      <c r="B269" s="51">
        <v>110</v>
      </c>
      <c r="C269" s="51">
        <v>6</v>
      </c>
      <c r="D269" s="67">
        <v>9</v>
      </c>
      <c r="E269" s="55"/>
      <c r="F269" s="131">
        <f>IF(ISBLANK(E269),0,IF(E269=Answers!E269,1,-1))</f>
        <v>0</v>
      </c>
      <c r="G269" s="66">
        <v>5</v>
      </c>
      <c r="H269" s="66">
        <v>4</v>
      </c>
      <c r="I269" s="66">
        <v>3</v>
      </c>
      <c r="J269" s="66">
        <v>3</v>
      </c>
      <c r="K269" s="66">
        <v>4</v>
      </c>
      <c r="L269" s="66">
        <v>5</v>
      </c>
      <c r="M269" s="66">
        <v>5</v>
      </c>
      <c r="N269" s="66">
        <v>3</v>
      </c>
      <c r="O269" s="66">
        <v>2</v>
      </c>
      <c r="P269" s="78"/>
      <c r="Q269" s="68">
        <v>3</v>
      </c>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row>
    <row r="270" spans="2:90" s="32" customFormat="1" ht="24.95" customHeight="1">
      <c r="B270" s="51">
        <v>111</v>
      </c>
      <c r="C270" s="51">
        <v>6</v>
      </c>
      <c r="D270" s="67">
        <v>9</v>
      </c>
      <c r="E270" s="55"/>
      <c r="F270" s="131">
        <f>IF(ISBLANK(E270),0,IF(E270=Answers!E270,1,-1))</f>
        <v>0</v>
      </c>
      <c r="G270" s="66">
        <v>5</v>
      </c>
      <c r="H270" s="66">
        <v>2</v>
      </c>
      <c r="I270" s="66">
        <v>3</v>
      </c>
      <c r="J270" s="66">
        <v>3</v>
      </c>
      <c r="K270" s="66">
        <v>5</v>
      </c>
      <c r="L270" s="66">
        <v>3</v>
      </c>
      <c r="M270" s="66">
        <v>5</v>
      </c>
      <c r="N270" s="66">
        <v>3</v>
      </c>
      <c r="O270" s="66">
        <v>4</v>
      </c>
      <c r="P270" s="78"/>
      <c r="Q270" s="68">
        <v>2</v>
      </c>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row>
    <row r="271" spans="2:90" s="32" customFormat="1" ht="24.95" customHeight="1">
      <c r="B271" s="51">
        <v>112</v>
      </c>
      <c r="C271" s="51">
        <v>6</v>
      </c>
      <c r="D271" s="67">
        <v>9</v>
      </c>
      <c r="E271" s="55"/>
      <c r="F271" s="131">
        <f>IF(ISBLANK(E271),0,IF(E271=Answers!E271,1,-1))</f>
        <v>0</v>
      </c>
      <c r="G271" s="66">
        <v>5</v>
      </c>
      <c r="H271" s="66">
        <v>5</v>
      </c>
      <c r="I271" s="66">
        <v>4</v>
      </c>
      <c r="J271" s="66">
        <v>4</v>
      </c>
      <c r="K271" s="66">
        <v>3</v>
      </c>
      <c r="L271" s="66">
        <v>4</v>
      </c>
      <c r="M271" s="66">
        <v>4</v>
      </c>
      <c r="N271" s="66">
        <v>5</v>
      </c>
      <c r="O271" s="66">
        <v>3</v>
      </c>
      <c r="P271" s="78"/>
      <c r="Q271" s="68">
        <v>3</v>
      </c>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row>
    <row r="272" spans="2:90" s="32" customFormat="1" ht="24.95" customHeight="1">
      <c r="B272" s="51">
        <v>113</v>
      </c>
      <c r="C272" s="51">
        <v>6</v>
      </c>
      <c r="D272" s="67">
        <v>9</v>
      </c>
      <c r="E272" s="55"/>
      <c r="F272" s="131">
        <f>IF(ISBLANK(E272),0,IF(E272=Answers!E272,1,-1))</f>
        <v>0</v>
      </c>
      <c r="G272" s="66">
        <v>4</v>
      </c>
      <c r="H272" s="66">
        <v>4</v>
      </c>
      <c r="I272" s="66">
        <v>5</v>
      </c>
      <c r="J272" s="66">
        <v>3</v>
      </c>
      <c r="K272" s="66">
        <v>5</v>
      </c>
      <c r="L272" s="66">
        <v>2</v>
      </c>
      <c r="M272" s="66">
        <v>3</v>
      </c>
      <c r="N272" s="66">
        <v>2</v>
      </c>
      <c r="O272" s="66">
        <v>4</v>
      </c>
      <c r="P272" s="78"/>
      <c r="Q272" s="68">
        <v>3</v>
      </c>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row>
    <row r="273" spans="2:90" s="32" customFormat="1" ht="24.95" customHeight="1">
      <c r="B273" s="51">
        <v>114</v>
      </c>
      <c r="C273" s="51">
        <v>6</v>
      </c>
      <c r="D273" s="67">
        <v>9</v>
      </c>
      <c r="E273" s="55"/>
      <c r="F273" s="131">
        <f>IF(ISBLANK(E273),0,IF(E273=Answers!E273,1,-1))</f>
        <v>0</v>
      </c>
      <c r="G273" s="66">
        <v>2</v>
      </c>
      <c r="H273" s="66">
        <v>3</v>
      </c>
      <c r="I273" s="66">
        <v>5</v>
      </c>
      <c r="J273" s="66">
        <v>5</v>
      </c>
      <c r="K273" s="66">
        <v>2</v>
      </c>
      <c r="L273" s="66">
        <v>2</v>
      </c>
      <c r="M273" s="66">
        <v>2</v>
      </c>
      <c r="N273" s="66">
        <v>2</v>
      </c>
      <c r="O273" s="66">
        <v>5</v>
      </c>
      <c r="P273" s="78"/>
      <c r="Q273" s="68">
        <v>1</v>
      </c>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row>
    <row r="274" spans="2:90" s="32" customFormat="1" ht="24.95" customHeight="1">
      <c r="B274" s="51">
        <v>115</v>
      </c>
      <c r="C274" s="51">
        <v>6</v>
      </c>
      <c r="D274" s="67">
        <v>9</v>
      </c>
      <c r="E274" s="55"/>
      <c r="F274" s="131">
        <f>IF(ISBLANK(E274),0,IF(E274=Answers!E274,1,-1))</f>
        <v>0</v>
      </c>
      <c r="G274" s="66">
        <v>3</v>
      </c>
      <c r="H274" s="66">
        <v>5</v>
      </c>
      <c r="I274" s="66">
        <v>2</v>
      </c>
      <c r="J274" s="66">
        <v>2</v>
      </c>
      <c r="K274" s="66">
        <v>5</v>
      </c>
      <c r="L274" s="66">
        <v>3</v>
      </c>
      <c r="M274" s="66">
        <v>2</v>
      </c>
      <c r="N274" s="66">
        <v>4</v>
      </c>
      <c r="O274" s="66">
        <v>4</v>
      </c>
      <c r="P274" s="78"/>
      <c r="Q274" s="68">
        <v>3</v>
      </c>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row>
    <row r="275" spans="2:90" s="32" customFormat="1" ht="24.95" customHeight="1">
      <c r="B275" s="51">
        <v>116</v>
      </c>
      <c r="C275" s="51">
        <v>6</v>
      </c>
      <c r="D275" s="67">
        <v>9</v>
      </c>
      <c r="E275" s="55"/>
      <c r="F275" s="131">
        <f>IF(ISBLANK(E275),0,IF(E275=Answers!E275,1,-1))</f>
        <v>0</v>
      </c>
      <c r="G275" s="66">
        <v>5</v>
      </c>
      <c r="H275" s="66">
        <v>5</v>
      </c>
      <c r="I275" s="66">
        <v>3</v>
      </c>
      <c r="J275" s="66">
        <v>2</v>
      </c>
      <c r="K275" s="66">
        <v>4</v>
      </c>
      <c r="L275" s="66">
        <v>4</v>
      </c>
      <c r="M275" s="66">
        <v>5</v>
      </c>
      <c r="N275" s="66">
        <v>3</v>
      </c>
      <c r="O275" s="66">
        <v>5</v>
      </c>
      <c r="P275" s="78"/>
      <c r="Q275" s="68">
        <v>3</v>
      </c>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row>
    <row r="276" spans="2:90" s="32" customFormat="1" ht="24.95" customHeight="1">
      <c r="B276" s="51">
        <v>117</v>
      </c>
      <c r="C276" s="51">
        <v>6</v>
      </c>
      <c r="D276" s="67">
        <v>9</v>
      </c>
      <c r="E276" s="55"/>
      <c r="F276" s="131">
        <f>IF(ISBLANK(E276),0,IF(E276=Answers!E276,1,-1))</f>
        <v>0</v>
      </c>
      <c r="G276" s="66">
        <v>2</v>
      </c>
      <c r="H276" s="66">
        <v>5</v>
      </c>
      <c r="I276" s="66">
        <v>4</v>
      </c>
      <c r="J276" s="66">
        <v>3</v>
      </c>
      <c r="K276" s="66">
        <v>3</v>
      </c>
      <c r="L276" s="66">
        <v>5</v>
      </c>
      <c r="M276" s="66">
        <v>5</v>
      </c>
      <c r="N276" s="66">
        <v>5</v>
      </c>
      <c r="O276" s="66">
        <v>3</v>
      </c>
      <c r="P276" s="78"/>
      <c r="Q276" s="68">
        <v>1</v>
      </c>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row>
    <row r="277" spans="2:90" s="32" customFormat="1" ht="24.95" customHeight="1">
      <c r="B277" s="51">
        <v>118</v>
      </c>
      <c r="C277" s="51">
        <v>6</v>
      </c>
      <c r="D277" s="67">
        <v>9</v>
      </c>
      <c r="E277" s="55"/>
      <c r="F277" s="131">
        <f>IF(ISBLANK(E277),0,IF(E277=Answers!E277,1,-1))</f>
        <v>0</v>
      </c>
      <c r="G277" s="66">
        <v>5</v>
      </c>
      <c r="H277" s="66">
        <v>2</v>
      </c>
      <c r="I277" s="66">
        <v>3</v>
      </c>
      <c r="J277" s="66">
        <v>5</v>
      </c>
      <c r="K277" s="66">
        <v>3</v>
      </c>
      <c r="L277" s="66">
        <v>2</v>
      </c>
      <c r="M277" s="66">
        <v>5</v>
      </c>
      <c r="N277" s="66">
        <v>4</v>
      </c>
      <c r="O277" s="66">
        <v>3</v>
      </c>
      <c r="P277" s="78"/>
      <c r="Q277" s="68">
        <v>2</v>
      </c>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row>
    <row r="278" spans="2:90" s="32" customFormat="1" ht="24.95" customHeight="1">
      <c r="B278" s="51">
        <v>119</v>
      </c>
      <c r="C278" s="51">
        <v>6</v>
      </c>
      <c r="D278" s="67">
        <v>9</v>
      </c>
      <c r="E278" s="55"/>
      <c r="F278" s="131">
        <f>IF(ISBLANK(E278),0,IF(E278=Answers!E278,1,-1))</f>
        <v>0</v>
      </c>
      <c r="G278" s="66">
        <v>4</v>
      </c>
      <c r="H278" s="66">
        <v>2</v>
      </c>
      <c r="I278" s="66">
        <v>3</v>
      </c>
      <c r="J278" s="66">
        <v>3</v>
      </c>
      <c r="K278" s="66">
        <v>5</v>
      </c>
      <c r="L278" s="66">
        <v>4</v>
      </c>
      <c r="M278" s="66">
        <v>3</v>
      </c>
      <c r="N278" s="66">
        <v>5</v>
      </c>
      <c r="O278" s="66">
        <v>5</v>
      </c>
      <c r="P278" s="78"/>
      <c r="Q278" s="68">
        <v>2</v>
      </c>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row>
    <row r="279" spans="2:90" s="32" customFormat="1" ht="24.95" customHeight="1">
      <c r="B279" s="51">
        <v>120</v>
      </c>
      <c r="C279" s="51">
        <v>6</v>
      </c>
      <c r="D279" s="67">
        <v>9</v>
      </c>
      <c r="E279" s="55"/>
      <c r="F279" s="131">
        <f>IF(ISBLANK(E279),0,IF(E279=Answers!E279,1,-1))</f>
        <v>0</v>
      </c>
      <c r="G279" s="66">
        <v>2</v>
      </c>
      <c r="H279" s="66">
        <v>5</v>
      </c>
      <c r="I279" s="66">
        <v>3</v>
      </c>
      <c r="J279" s="66">
        <v>3</v>
      </c>
      <c r="K279" s="66">
        <v>4</v>
      </c>
      <c r="L279" s="66">
        <v>2</v>
      </c>
      <c r="M279" s="66">
        <v>3</v>
      </c>
      <c r="N279" s="66">
        <v>3</v>
      </c>
      <c r="O279" s="66">
        <v>5</v>
      </c>
      <c r="P279" s="78"/>
      <c r="Q279" s="68">
        <v>3</v>
      </c>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row>
    <row r="280" spans="2:90" s="32" customFormat="1" ht="15.75" thickBot="1">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row>
    <row r="281" spans="2:90" s="32" customFormat="1" ht="22.5" customHeight="1" thickBot="1">
      <c r="B281" s="57" t="s">
        <v>51</v>
      </c>
      <c r="C281" s="79" t="s">
        <v>52</v>
      </c>
      <c r="D281" s="59"/>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row>
    <row r="282" spans="2:90" s="32" customFormat="1" ht="15" customHeight="1">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row>
    <row r="283" spans="2:90" s="32" customFormat="1" ht="15" customHeight="1">
      <c r="B283" s="60" t="s">
        <v>137</v>
      </c>
      <c r="C283" s="71"/>
      <c r="D283" s="16"/>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row>
    <row r="284" spans="2:90" s="32" customFormat="1" ht="15" customHeight="1">
      <c r="B284" s="62" t="s">
        <v>138</v>
      </c>
      <c r="C284" s="71"/>
      <c r="D284" s="16"/>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row>
    <row r="285" spans="2:90" s="32" customFormat="1" ht="15" customHeight="1">
      <c r="B285" s="62" t="s">
        <v>139</v>
      </c>
      <c r="C285" s="71"/>
      <c r="D285" s="16"/>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row>
    <row r="286" spans="2:90" s="32" customFormat="1" ht="15" customHeight="1">
      <c r="B286" s="62"/>
      <c r="C286" s="71"/>
      <c r="D286" s="16"/>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row>
    <row r="287" spans="2:90" s="32" customFormat="1" ht="15" customHeight="1">
      <c r="B287" s="60" t="s">
        <v>140</v>
      </c>
      <c r="C287" s="71"/>
      <c r="D287" s="16"/>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row>
    <row r="288" spans="2:90" s="32" customFormat="1" ht="15" customHeight="1">
      <c r="B288" s="62" t="s">
        <v>142</v>
      </c>
      <c r="C288" s="71"/>
      <c r="D288" s="16"/>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row>
    <row r="289" spans="2:141" s="32" customFormat="1" ht="15" customHeight="1">
      <c r="B289" s="76" t="s">
        <v>141</v>
      </c>
      <c r="C289" s="71"/>
      <c r="D289" s="16"/>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row>
    <row r="290" spans="2:141" s="32" customFormat="1" ht="15" customHeight="1">
      <c r="B290" s="62" t="s">
        <v>143</v>
      </c>
      <c r="C290" s="71"/>
      <c r="D290" s="16"/>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row>
    <row r="291" spans="2:141" s="32" customFormat="1" ht="15" customHeight="1">
      <c r="B291" s="62" t="s">
        <v>144</v>
      </c>
      <c r="C291" s="71"/>
      <c r="D291" s="16"/>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row>
    <row r="292" spans="2:141" s="32" customFormat="1" ht="15" customHeight="1">
      <c r="C292" s="62"/>
      <c r="D292" s="16"/>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row>
    <row r="293" spans="2:141" s="83" customFormat="1" ht="15" customHeight="1">
      <c r="B293" s="63" t="s">
        <v>34</v>
      </c>
      <c r="C293" s="80"/>
      <c r="D293" s="81"/>
      <c r="E293" s="82"/>
      <c r="F293" s="82"/>
      <c r="G293" s="82"/>
    </row>
    <row r="294" spans="2:141" s="32" customFormat="1" ht="15" customHeight="1">
      <c r="B294" s="61" t="s">
        <v>123</v>
      </c>
      <c r="D294" s="50"/>
      <c r="E294" s="33"/>
      <c r="F294" s="33"/>
      <c r="G294" s="33"/>
      <c r="K294" s="8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row>
    <row r="295" spans="2:141" s="32" customFormat="1" ht="15" customHeight="1">
      <c r="B295" s="61" t="s">
        <v>124</v>
      </c>
      <c r="D295" s="50"/>
      <c r="E295" s="33"/>
      <c r="F295" s="33"/>
      <c r="G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row>
    <row r="296" spans="2:141" s="32" customFormat="1" ht="15" customHeight="1" thickBot="1">
      <c r="B296" s="61" t="s">
        <v>125</v>
      </c>
      <c r="D296" s="50"/>
      <c r="E296" s="33"/>
      <c r="F296" s="33"/>
      <c r="G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row>
    <row r="297" spans="2:141" s="50" customFormat="1" ht="22.5" customHeight="1" thickBot="1">
      <c r="B297" s="16"/>
      <c r="C297" s="16"/>
      <c r="D297" s="16"/>
      <c r="E297" s="16"/>
      <c r="F297" s="16"/>
      <c r="G297" s="110" t="s">
        <v>90</v>
      </c>
      <c r="H297" s="111"/>
      <c r="I297" s="111"/>
      <c r="J297" s="111"/>
      <c r="K297" s="111"/>
      <c r="L297" s="111"/>
      <c r="M297" s="111"/>
      <c r="N297" s="111"/>
      <c r="O297" s="112"/>
      <c r="Q297" s="33"/>
      <c r="R297" s="33"/>
      <c r="S297" s="33"/>
      <c r="T297" s="33"/>
      <c r="U297" s="33"/>
      <c r="V297" s="33"/>
      <c r="W297" s="33"/>
      <c r="X297" s="33"/>
      <c r="Y297" s="33"/>
      <c r="Z297" s="33"/>
      <c r="AA297" s="33"/>
      <c r="AB297" s="33"/>
      <c r="AC297" s="33"/>
      <c r="AD297" s="33"/>
      <c r="AE297" s="33"/>
      <c r="AF297" s="33"/>
      <c r="AG297" s="33"/>
      <c r="AH297" s="33"/>
    </row>
    <row r="298" spans="2:141" s="50" customFormat="1" ht="22.5" customHeight="1" thickBot="1">
      <c r="B298" s="47" t="s">
        <v>8</v>
      </c>
      <c r="C298" s="48" t="s">
        <v>9</v>
      </c>
      <c r="D298" s="47" t="s">
        <v>10</v>
      </c>
      <c r="E298" s="64" t="s">
        <v>11</v>
      </c>
      <c r="F298" s="16"/>
      <c r="G298" s="47" t="s">
        <v>12</v>
      </c>
      <c r="H298" s="47" t="s">
        <v>13</v>
      </c>
      <c r="I298" s="47" t="s">
        <v>14</v>
      </c>
      <c r="J298" s="47" t="s">
        <v>15</v>
      </c>
      <c r="K298" s="47" t="s">
        <v>16</v>
      </c>
      <c r="L298" s="47" t="s">
        <v>17</v>
      </c>
      <c r="M298" s="47" t="s">
        <v>18</v>
      </c>
      <c r="N298" s="47" t="s">
        <v>19</v>
      </c>
      <c r="O298" s="47" t="s">
        <v>20</v>
      </c>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32"/>
      <c r="CK298" s="32"/>
      <c r="CL298" s="32"/>
      <c r="CM298" s="32"/>
      <c r="CN298" s="32"/>
      <c r="CO298" s="32"/>
      <c r="CP298" s="32"/>
      <c r="CQ298" s="32"/>
      <c r="CR298" s="32"/>
      <c r="CS298" s="32"/>
      <c r="CT298" s="32"/>
      <c r="CU298" s="32"/>
      <c r="CV298" s="32"/>
      <c r="CW298" s="32"/>
      <c r="CX298" s="32"/>
      <c r="CY298" s="32"/>
      <c r="CZ298" s="32"/>
      <c r="DA298" s="32"/>
      <c r="DB298" s="32"/>
      <c r="DC298" s="32"/>
      <c r="DD298" s="32"/>
      <c r="DE298" s="32"/>
      <c r="DF298" s="32"/>
      <c r="DG298" s="32"/>
      <c r="DH298" s="32"/>
      <c r="DI298" s="32"/>
      <c r="DJ298" s="32"/>
      <c r="DK298" s="32"/>
      <c r="DL298" s="32"/>
      <c r="DM298" s="32"/>
      <c r="DN298" s="32"/>
      <c r="DO298" s="32"/>
      <c r="DP298" s="32"/>
      <c r="DQ298" s="32"/>
      <c r="DR298" s="32"/>
      <c r="DS298" s="32"/>
      <c r="DT298" s="32"/>
      <c r="DU298" s="32"/>
      <c r="DV298" s="32"/>
      <c r="DW298" s="32"/>
      <c r="DX298" s="32"/>
      <c r="DY298" s="32"/>
      <c r="DZ298" s="32"/>
      <c r="EA298" s="32"/>
      <c r="EB298" s="32"/>
      <c r="EC298" s="32"/>
      <c r="ED298" s="32"/>
      <c r="EE298" s="32"/>
      <c r="EF298" s="32"/>
      <c r="EG298" s="32"/>
      <c r="EH298" s="32"/>
      <c r="EI298" s="32"/>
      <c r="EJ298" s="32"/>
      <c r="EK298" s="32"/>
    </row>
    <row r="299" spans="2:141" s="32" customFormat="1" ht="15" customHeight="1">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row>
    <row r="300" spans="2:141" s="32" customFormat="1" ht="24.95" customHeight="1">
      <c r="B300" s="65" t="s">
        <v>53</v>
      </c>
      <c r="C300" s="51">
        <v>7</v>
      </c>
      <c r="D300" s="52">
        <v>0</v>
      </c>
      <c r="E300" s="55">
        <v>80</v>
      </c>
      <c r="F300" s="131">
        <f>IF(ISBLANK(E300),0,IF(E300=Answers!E300,1,-1))</f>
        <v>1</v>
      </c>
      <c r="G300" s="66">
        <v>3</v>
      </c>
      <c r="H300" s="66">
        <v>5</v>
      </c>
      <c r="I300" s="66">
        <v>3</v>
      </c>
      <c r="J300" s="66">
        <v>4</v>
      </c>
      <c r="K300" s="66">
        <v>3</v>
      </c>
      <c r="L300" s="66">
        <v>3</v>
      </c>
      <c r="M300" s="66">
        <v>2</v>
      </c>
      <c r="N300" s="66">
        <v>3</v>
      </c>
      <c r="O300" s="66">
        <v>3</v>
      </c>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row>
    <row r="301" spans="2:141">
      <c r="K301" s="32"/>
      <c r="L301" s="32"/>
      <c r="M301" s="32"/>
      <c r="N301" s="32"/>
      <c r="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2"/>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c r="EF301" s="32"/>
      <c r="EG301" s="32"/>
      <c r="EH301" s="32"/>
      <c r="EI301" s="32"/>
      <c r="EJ301" s="32"/>
      <c r="EK301" s="32"/>
    </row>
    <row r="302" spans="2:141" s="32" customFormat="1" ht="24.95" customHeight="1">
      <c r="B302" s="51">
        <v>121</v>
      </c>
      <c r="C302" s="51">
        <v>7</v>
      </c>
      <c r="D302" s="67">
        <v>11</v>
      </c>
      <c r="E302" s="55"/>
      <c r="F302" s="131">
        <f>IF(ISBLANK(E302),0,IF(E302=Answers!E302,1,-1))</f>
        <v>0</v>
      </c>
      <c r="G302" s="68">
        <v>4</v>
      </c>
      <c r="H302" s="68">
        <v>4</v>
      </c>
      <c r="I302" s="68">
        <v>2</v>
      </c>
      <c r="J302" s="68">
        <v>5</v>
      </c>
      <c r="K302" s="68">
        <v>2</v>
      </c>
      <c r="L302" s="68">
        <v>4</v>
      </c>
      <c r="M302" s="68">
        <v>5</v>
      </c>
      <c r="N302" s="68">
        <v>5</v>
      </c>
      <c r="O302" s="68">
        <v>4</v>
      </c>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row>
    <row r="303" spans="2:141" s="32" customFormat="1" ht="24.95" customHeight="1">
      <c r="B303" s="51">
        <v>122</v>
      </c>
      <c r="C303" s="51">
        <v>7</v>
      </c>
      <c r="D303" s="67">
        <v>11</v>
      </c>
      <c r="E303" s="55"/>
      <c r="F303" s="131">
        <f>IF(ISBLANK(E303),0,IF(E303=Answers!E303,1,-1))</f>
        <v>0</v>
      </c>
      <c r="G303" s="66">
        <v>2</v>
      </c>
      <c r="H303" s="66">
        <v>5</v>
      </c>
      <c r="I303" s="66">
        <v>2</v>
      </c>
      <c r="J303" s="66">
        <v>3</v>
      </c>
      <c r="K303" s="66">
        <v>2</v>
      </c>
      <c r="L303" s="66">
        <v>2</v>
      </c>
      <c r="M303" s="66">
        <v>2</v>
      </c>
      <c r="N303" s="66">
        <v>3</v>
      </c>
      <c r="O303" s="66">
        <v>5</v>
      </c>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row>
    <row r="304" spans="2:141" s="32" customFormat="1" ht="24.95" customHeight="1">
      <c r="B304" s="51">
        <v>123</v>
      </c>
      <c r="C304" s="51">
        <v>7</v>
      </c>
      <c r="D304" s="67">
        <v>11</v>
      </c>
      <c r="E304" s="55"/>
      <c r="F304" s="131">
        <f>IF(ISBLANK(E304),0,IF(E304=Answers!E304,1,-1))</f>
        <v>0</v>
      </c>
      <c r="G304" s="66">
        <v>3</v>
      </c>
      <c r="H304" s="66">
        <v>4</v>
      </c>
      <c r="I304" s="66">
        <v>2</v>
      </c>
      <c r="J304" s="66">
        <v>3</v>
      </c>
      <c r="K304" s="66">
        <v>2</v>
      </c>
      <c r="L304" s="66">
        <v>5</v>
      </c>
      <c r="M304" s="66">
        <v>2</v>
      </c>
      <c r="N304" s="66">
        <v>3</v>
      </c>
      <c r="O304" s="66">
        <v>4</v>
      </c>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row>
    <row r="305" spans="2:41" s="32" customFormat="1" ht="24.95" customHeight="1">
      <c r="B305" s="51">
        <v>124</v>
      </c>
      <c r="C305" s="51">
        <v>7</v>
      </c>
      <c r="D305" s="67">
        <v>11</v>
      </c>
      <c r="E305" s="55"/>
      <c r="F305" s="131">
        <f>IF(ISBLANK(E305),0,IF(E305=Answers!E305,1,-1))</f>
        <v>0</v>
      </c>
      <c r="G305" s="66">
        <v>2</v>
      </c>
      <c r="H305" s="66">
        <v>4</v>
      </c>
      <c r="I305" s="66">
        <v>4</v>
      </c>
      <c r="J305" s="66">
        <v>2</v>
      </c>
      <c r="K305" s="66">
        <v>5</v>
      </c>
      <c r="L305" s="66">
        <v>4</v>
      </c>
      <c r="M305" s="66">
        <v>4</v>
      </c>
      <c r="N305" s="66">
        <v>4</v>
      </c>
      <c r="O305" s="66">
        <v>2</v>
      </c>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row>
    <row r="306" spans="2:41" s="32" customFormat="1" ht="24.95" customHeight="1">
      <c r="B306" s="51">
        <v>125</v>
      </c>
      <c r="C306" s="51">
        <v>7</v>
      </c>
      <c r="D306" s="67">
        <v>11</v>
      </c>
      <c r="E306" s="55"/>
      <c r="F306" s="131">
        <f>IF(ISBLANK(E306),0,IF(E306=Answers!E306,1,-1))</f>
        <v>0</v>
      </c>
      <c r="G306" s="66">
        <v>4</v>
      </c>
      <c r="H306" s="66">
        <v>5</v>
      </c>
      <c r="I306" s="66">
        <v>3</v>
      </c>
      <c r="J306" s="66">
        <v>3</v>
      </c>
      <c r="K306" s="66">
        <v>5</v>
      </c>
      <c r="L306" s="66">
        <v>3</v>
      </c>
      <c r="M306" s="66">
        <v>5</v>
      </c>
      <c r="N306" s="66">
        <v>2</v>
      </c>
      <c r="O306" s="66">
        <v>5</v>
      </c>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row>
    <row r="307" spans="2:41" s="32" customFormat="1" ht="24.95" customHeight="1">
      <c r="B307" s="51">
        <v>126</v>
      </c>
      <c r="C307" s="51">
        <v>7</v>
      </c>
      <c r="D307" s="67">
        <v>11</v>
      </c>
      <c r="E307" s="55"/>
      <c r="F307" s="131">
        <f>IF(ISBLANK(E307),0,IF(E307=Answers!E307,1,-1))</f>
        <v>0</v>
      </c>
      <c r="G307" s="66">
        <v>2</v>
      </c>
      <c r="H307" s="66">
        <v>4</v>
      </c>
      <c r="I307" s="66">
        <v>2</v>
      </c>
      <c r="J307" s="66">
        <v>3</v>
      </c>
      <c r="K307" s="66">
        <v>2</v>
      </c>
      <c r="L307" s="66">
        <v>4</v>
      </c>
      <c r="M307" s="66">
        <v>3</v>
      </c>
      <c r="N307" s="66">
        <v>3</v>
      </c>
      <c r="O307" s="66">
        <v>2</v>
      </c>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row>
    <row r="308" spans="2:41" s="32" customFormat="1" ht="24.95" customHeight="1">
      <c r="B308" s="51">
        <v>127</v>
      </c>
      <c r="C308" s="51">
        <v>7</v>
      </c>
      <c r="D308" s="67">
        <v>11</v>
      </c>
      <c r="E308" s="55"/>
      <c r="F308" s="131">
        <f>IF(ISBLANK(E308),0,IF(E308=Answers!E308,1,-1))</f>
        <v>0</v>
      </c>
      <c r="G308" s="66">
        <v>3</v>
      </c>
      <c r="H308" s="66">
        <v>2</v>
      </c>
      <c r="I308" s="66">
        <v>4</v>
      </c>
      <c r="J308" s="66">
        <v>2</v>
      </c>
      <c r="K308" s="66">
        <v>5</v>
      </c>
      <c r="L308" s="66">
        <v>4</v>
      </c>
      <c r="M308" s="66">
        <v>2</v>
      </c>
      <c r="N308" s="66">
        <v>3</v>
      </c>
      <c r="O308" s="66">
        <v>5</v>
      </c>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row>
    <row r="309" spans="2:41" s="32" customFormat="1" ht="24.95" customHeight="1">
      <c r="B309" s="51">
        <v>128</v>
      </c>
      <c r="C309" s="51">
        <v>7</v>
      </c>
      <c r="D309" s="67">
        <v>11</v>
      </c>
      <c r="E309" s="55"/>
      <c r="F309" s="131">
        <f>IF(ISBLANK(E309),0,IF(E309=Answers!E309,1,-1))</f>
        <v>0</v>
      </c>
      <c r="G309" s="66">
        <v>3</v>
      </c>
      <c r="H309" s="66">
        <v>2</v>
      </c>
      <c r="I309" s="66">
        <v>5</v>
      </c>
      <c r="J309" s="66">
        <v>3</v>
      </c>
      <c r="K309" s="66">
        <v>5</v>
      </c>
      <c r="L309" s="66">
        <v>2</v>
      </c>
      <c r="M309" s="66">
        <v>4</v>
      </c>
      <c r="N309" s="66">
        <v>5</v>
      </c>
      <c r="O309" s="66">
        <v>3</v>
      </c>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row>
    <row r="310" spans="2:41" s="32" customFormat="1" ht="24.95" customHeight="1">
      <c r="B310" s="51">
        <v>129</v>
      </c>
      <c r="C310" s="51">
        <v>7</v>
      </c>
      <c r="D310" s="67">
        <v>11</v>
      </c>
      <c r="E310" s="55"/>
      <c r="F310" s="131">
        <f>IF(ISBLANK(E310),0,IF(E310=Answers!E310,1,-1))</f>
        <v>0</v>
      </c>
      <c r="G310" s="66">
        <v>5</v>
      </c>
      <c r="H310" s="66">
        <v>5</v>
      </c>
      <c r="I310" s="66">
        <v>3</v>
      </c>
      <c r="J310" s="66">
        <v>4</v>
      </c>
      <c r="K310" s="66">
        <v>2</v>
      </c>
      <c r="L310" s="66">
        <v>4</v>
      </c>
      <c r="M310" s="66">
        <v>5</v>
      </c>
      <c r="N310" s="66">
        <v>4</v>
      </c>
      <c r="O310" s="66">
        <v>2</v>
      </c>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row>
    <row r="311" spans="2:41" s="32" customFormat="1" ht="24.95" customHeight="1">
      <c r="B311" s="51">
        <v>130</v>
      </c>
      <c r="C311" s="51">
        <v>7</v>
      </c>
      <c r="D311" s="67">
        <v>11</v>
      </c>
      <c r="E311" s="55"/>
      <c r="F311" s="131">
        <f>IF(ISBLANK(E311),0,IF(E311=Answers!E311,1,-1))</f>
        <v>0</v>
      </c>
      <c r="G311" s="66">
        <v>5</v>
      </c>
      <c r="H311" s="66">
        <v>2</v>
      </c>
      <c r="I311" s="66">
        <v>3</v>
      </c>
      <c r="J311" s="66">
        <v>5</v>
      </c>
      <c r="K311" s="66">
        <v>3</v>
      </c>
      <c r="L311" s="66">
        <v>4</v>
      </c>
      <c r="M311" s="66">
        <v>5</v>
      </c>
      <c r="N311" s="66">
        <v>4</v>
      </c>
      <c r="O311" s="66">
        <v>2</v>
      </c>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row>
    <row r="312" spans="2:41" s="32" customFormat="1" ht="24.95" customHeight="1">
      <c r="B312" s="51">
        <v>131</v>
      </c>
      <c r="C312" s="51">
        <v>7</v>
      </c>
      <c r="D312" s="67">
        <v>11</v>
      </c>
      <c r="E312" s="55"/>
      <c r="F312" s="131">
        <f>IF(ISBLANK(E312),0,IF(E312=Answers!E312,1,-1))</f>
        <v>0</v>
      </c>
      <c r="G312" s="66">
        <v>4</v>
      </c>
      <c r="H312" s="66">
        <v>4</v>
      </c>
      <c r="I312" s="66">
        <v>5</v>
      </c>
      <c r="J312" s="66">
        <v>2</v>
      </c>
      <c r="K312" s="66">
        <v>4</v>
      </c>
      <c r="L312" s="66">
        <v>5</v>
      </c>
      <c r="M312" s="66">
        <v>5</v>
      </c>
      <c r="N312" s="66">
        <v>3</v>
      </c>
      <c r="O312" s="66">
        <v>5</v>
      </c>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row>
    <row r="313" spans="2:41" s="32" customFormat="1" ht="24.95" customHeight="1">
      <c r="B313" s="51">
        <v>132</v>
      </c>
      <c r="C313" s="51">
        <v>7</v>
      </c>
      <c r="D313" s="67">
        <v>11</v>
      </c>
      <c r="E313" s="55"/>
      <c r="F313" s="131">
        <f>IF(ISBLANK(E313),0,IF(E313=Answers!E313,1,-1))</f>
        <v>0</v>
      </c>
      <c r="G313" s="66">
        <v>5</v>
      </c>
      <c r="H313" s="66">
        <v>5</v>
      </c>
      <c r="I313" s="66">
        <v>2</v>
      </c>
      <c r="J313" s="66">
        <v>3</v>
      </c>
      <c r="K313" s="66">
        <v>4</v>
      </c>
      <c r="L313" s="66">
        <v>5</v>
      </c>
      <c r="M313" s="66">
        <v>4</v>
      </c>
      <c r="N313" s="66">
        <v>5</v>
      </c>
      <c r="O313" s="66">
        <v>2</v>
      </c>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row>
    <row r="314" spans="2:41" s="32" customFormat="1" ht="24.95" customHeight="1">
      <c r="B314" s="51">
        <v>133</v>
      </c>
      <c r="C314" s="51">
        <v>7</v>
      </c>
      <c r="D314" s="67">
        <v>11</v>
      </c>
      <c r="E314" s="55"/>
      <c r="F314" s="131">
        <f>IF(ISBLANK(E314),0,IF(E314=Answers!E314,1,-1))</f>
        <v>0</v>
      </c>
      <c r="G314" s="66">
        <v>2</v>
      </c>
      <c r="H314" s="66">
        <v>3</v>
      </c>
      <c r="I314" s="66">
        <v>5</v>
      </c>
      <c r="J314" s="66">
        <v>2</v>
      </c>
      <c r="K314" s="66">
        <v>5</v>
      </c>
      <c r="L314" s="66">
        <v>4</v>
      </c>
      <c r="M314" s="66">
        <v>3</v>
      </c>
      <c r="N314" s="66">
        <v>2</v>
      </c>
      <c r="O314" s="66">
        <v>2</v>
      </c>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row>
    <row r="315" spans="2:41" s="32" customFormat="1" ht="24.95" customHeight="1">
      <c r="B315" s="51">
        <v>134</v>
      </c>
      <c r="C315" s="51">
        <v>7</v>
      </c>
      <c r="D315" s="67">
        <v>11</v>
      </c>
      <c r="E315" s="55"/>
      <c r="F315" s="131">
        <f>IF(ISBLANK(E315),0,IF(E315=Answers!E315,1,-1))</f>
        <v>0</v>
      </c>
      <c r="G315" s="66">
        <v>5</v>
      </c>
      <c r="H315" s="66">
        <v>2</v>
      </c>
      <c r="I315" s="66">
        <v>4</v>
      </c>
      <c r="J315" s="66">
        <v>2</v>
      </c>
      <c r="K315" s="66">
        <v>5</v>
      </c>
      <c r="L315" s="66">
        <v>3</v>
      </c>
      <c r="M315" s="66">
        <v>4</v>
      </c>
      <c r="N315" s="66">
        <v>5</v>
      </c>
      <c r="O315" s="66">
        <v>4</v>
      </c>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row>
    <row r="316" spans="2:41" s="32" customFormat="1" ht="24.95" customHeight="1">
      <c r="B316" s="51">
        <v>135</v>
      </c>
      <c r="C316" s="51">
        <v>7</v>
      </c>
      <c r="D316" s="67">
        <v>11</v>
      </c>
      <c r="E316" s="55"/>
      <c r="F316" s="131">
        <f>IF(ISBLANK(E316),0,IF(E316=Answers!E316,1,-1))</f>
        <v>0</v>
      </c>
      <c r="G316" s="66">
        <v>4</v>
      </c>
      <c r="H316" s="66">
        <v>2</v>
      </c>
      <c r="I316" s="66">
        <v>5</v>
      </c>
      <c r="J316" s="66">
        <v>5</v>
      </c>
      <c r="K316" s="66">
        <v>3</v>
      </c>
      <c r="L316" s="66">
        <v>2</v>
      </c>
      <c r="M316" s="66">
        <v>2</v>
      </c>
      <c r="N316" s="66">
        <v>5</v>
      </c>
      <c r="O316" s="66">
        <v>2</v>
      </c>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row>
    <row r="317" spans="2:41" s="32" customFormat="1" ht="24.95" customHeight="1">
      <c r="B317" s="51">
        <v>136</v>
      </c>
      <c r="C317" s="51">
        <v>7</v>
      </c>
      <c r="D317" s="67">
        <v>11</v>
      </c>
      <c r="E317" s="55"/>
      <c r="F317" s="131">
        <f>IF(ISBLANK(E317),0,IF(E317=Answers!E317,1,-1))</f>
        <v>0</v>
      </c>
      <c r="G317" s="66">
        <v>4</v>
      </c>
      <c r="H317" s="66">
        <v>3</v>
      </c>
      <c r="I317" s="66">
        <v>4</v>
      </c>
      <c r="J317" s="66">
        <v>3</v>
      </c>
      <c r="K317" s="66">
        <v>2</v>
      </c>
      <c r="L317" s="66">
        <v>3</v>
      </c>
      <c r="M317" s="66">
        <v>5</v>
      </c>
      <c r="N317" s="66">
        <v>4</v>
      </c>
      <c r="O317" s="66">
        <v>3</v>
      </c>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row>
    <row r="318" spans="2:41" s="32" customFormat="1" ht="24.95" customHeight="1">
      <c r="B318" s="51">
        <v>137</v>
      </c>
      <c r="C318" s="51">
        <v>7</v>
      </c>
      <c r="D318" s="67">
        <v>11</v>
      </c>
      <c r="E318" s="55"/>
      <c r="F318" s="131">
        <f>IF(ISBLANK(E318),0,IF(E318=Answers!E318,1,-1))</f>
        <v>0</v>
      </c>
      <c r="G318" s="66">
        <v>5</v>
      </c>
      <c r="H318" s="66">
        <v>5</v>
      </c>
      <c r="I318" s="66">
        <v>2</v>
      </c>
      <c r="J318" s="66">
        <v>4</v>
      </c>
      <c r="K318" s="66">
        <v>3</v>
      </c>
      <c r="L318" s="66">
        <v>4</v>
      </c>
      <c r="M318" s="66">
        <v>5</v>
      </c>
      <c r="N318" s="66">
        <v>2</v>
      </c>
      <c r="O318" s="66">
        <v>3</v>
      </c>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row>
    <row r="319" spans="2:41" s="32" customFormat="1" ht="24.95" customHeight="1">
      <c r="B319" s="51">
        <v>138</v>
      </c>
      <c r="C319" s="51">
        <v>7</v>
      </c>
      <c r="D319" s="67">
        <v>11</v>
      </c>
      <c r="E319" s="55"/>
      <c r="F319" s="131">
        <f>IF(ISBLANK(E319),0,IF(E319=Answers!E319,1,-1))</f>
        <v>0</v>
      </c>
      <c r="G319" s="66">
        <v>3</v>
      </c>
      <c r="H319" s="66">
        <v>3</v>
      </c>
      <c r="I319" s="66">
        <v>2</v>
      </c>
      <c r="J319" s="66">
        <v>5</v>
      </c>
      <c r="K319" s="66">
        <v>4</v>
      </c>
      <c r="L319" s="66">
        <v>4</v>
      </c>
      <c r="M319" s="66">
        <v>5</v>
      </c>
      <c r="N319" s="66">
        <v>2</v>
      </c>
      <c r="O319" s="66">
        <v>4</v>
      </c>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row>
    <row r="320" spans="2:41" s="32" customFormat="1" ht="24.95" customHeight="1">
      <c r="B320" s="51">
        <v>139</v>
      </c>
      <c r="C320" s="51">
        <v>7</v>
      </c>
      <c r="D320" s="67">
        <v>11</v>
      </c>
      <c r="E320" s="55"/>
      <c r="F320" s="131">
        <f>IF(ISBLANK(E320),0,IF(E320=Answers!E320,1,-1))</f>
        <v>0</v>
      </c>
      <c r="G320" s="66">
        <v>5</v>
      </c>
      <c r="H320" s="66">
        <v>2</v>
      </c>
      <c r="I320" s="66">
        <v>4</v>
      </c>
      <c r="J320" s="66">
        <v>2</v>
      </c>
      <c r="K320" s="66">
        <v>3</v>
      </c>
      <c r="L320" s="66">
        <v>3</v>
      </c>
      <c r="M320" s="66">
        <v>2</v>
      </c>
      <c r="N320" s="66">
        <v>4</v>
      </c>
      <c r="O320" s="66">
        <v>5</v>
      </c>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row>
    <row r="321" spans="2:141" s="32" customFormat="1" ht="24.95" customHeight="1">
      <c r="B321" s="51">
        <v>140</v>
      </c>
      <c r="C321" s="51">
        <v>7</v>
      </c>
      <c r="D321" s="67">
        <v>11</v>
      </c>
      <c r="E321" s="55"/>
      <c r="F321" s="131">
        <f>IF(ISBLANK(E321),0,IF(E321=Answers!E321,1,-1))</f>
        <v>0</v>
      </c>
      <c r="G321" s="66">
        <v>2</v>
      </c>
      <c r="H321" s="66">
        <v>5</v>
      </c>
      <c r="I321" s="66">
        <v>5</v>
      </c>
      <c r="J321" s="66">
        <v>4</v>
      </c>
      <c r="K321" s="66">
        <v>4</v>
      </c>
      <c r="L321" s="66">
        <v>2</v>
      </c>
      <c r="M321" s="66">
        <v>5</v>
      </c>
      <c r="N321" s="66">
        <v>2</v>
      </c>
      <c r="O321" s="66">
        <v>4</v>
      </c>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row>
    <row r="322" spans="2:141">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c r="BR322" s="32"/>
      <c r="BS322" s="32"/>
      <c r="BT322" s="32"/>
      <c r="BU322" s="32"/>
      <c r="BV322" s="32"/>
      <c r="BW322" s="32"/>
      <c r="BX322" s="32"/>
      <c r="BY322" s="32"/>
      <c r="BZ322" s="32"/>
      <c r="CA322" s="32"/>
      <c r="CB322" s="32"/>
      <c r="CC322" s="32"/>
      <c r="CD322" s="32"/>
      <c r="CE322" s="32"/>
      <c r="CF322" s="32"/>
      <c r="CG322" s="32"/>
      <c r="CH322" s="32"/>
      <c r="CI322" s="32"/>
      <c r="CJ322" s="32"/>
      <c r="CK322" s="32"/>
      <c r="CL322" s="32"/>
      <c r="CM322" s="32"/>
      <c r="CN322" s="32"/>
      <c r="CO322" s="32"/>
      <c r="CP322" s="32"/>
      <c r="CQ322" s="32"/>
      <c r="CR322" s="32"/>
      <c r="CS322" s="32"/>
      <c r="CT322" s="32"/>
      <c r="CU322" s="32"/>
      <c r="CV322" s="32"/>
      <c r="CW322" s="32"/>
      <c r="CX322" s="32"/>
      <c r="CY322" s="32"/>
      <c r="CZ322" s="32"/>
      <c r="DA322" s="32"/>
      <c r="DB322" s="32"/>
      <c r="DC322" s="32"/>
      <c r="DD322" s="32"/>
      <c r="DE322" s="32"/>
      <c r="DF322" s="32"/>
      <c r="DG322" s="32"/>
      <c r="DH322" s="32"/>
      <c r="DI322" s="32"/>
      <c r="DJ322" s="32"/>
      <c r="DK322" s="32"/>
      <c r="DL322" s="32"/>
      <c r="DM322" s="32"/>
      <c r="DN322" s="32"/>
      <c r="DO322" s="32"/>
      <c r="DP322" s="32"/>
      <c r="DQ322" s="32"/>
      <c r="DR322" s="32"/>
      <c r="DS322" s="32"/>
      <c r="DT322" s="32"/>
      <c r="DU322" s="32"/>
      <c r="DV322" s="32"/>
      <c r="DW322" s="32"/>
      <c r="DX322" s="32"/>
      <c r="DY322" s="32"/>
      <c r="DZ322" s="32"/>
      <c r="EA322" s="32"/>
      <c r="EB322" s="32"/>
      <c r="EC322" s="32"/>
      <c r="ED322" s="32"/>
      <c r="EE322" s="32"/>
      <c r="EF322" s="32"/>
      <c r="EG322" s="32"/>
      <c r="EH322" s="32"/>
      <c r="EI322" s="32"/>
      <c r="EJ322" s="32"/>
      <c r="EK322" s="32"/>
    </row>
    <row r="323" spans="2:141">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c r="BO323" s="32"/>
      <c r="BP323" s="32"/>
      <c r="BQ323" s="32"/>
      <c r="BR323" s="32"/>
      <c r="BS323" s="32"/>
      <c r="BT323" s="32"/>
      <c r="BU323" s="32"/>
      <c r="BV323" s="32"/>
      <c r="BW323" s="32"/>
      <c r="BX323" s="32"/>
      <c r="BY323" s="32"/>
      <c r="BZ323" s="32"/>
      <c r="CA323" s="32"/>
      <c r="CB323" s="32"/>
      <c r="CC323" s="32"/>
      <c r="CD323" s="32"/>
      <c r="CE323" s="32"/>
      <c r="CF323" s="32"/>
      <c r="CG323" s="32"/>
      <c r="CH323" s="32"/>
      <c r="CI323" s="32"/>
      <c r="CJ323" s="32"/>
      <c r="CK323" s="32"/>
      <c r="CL323" s="32"/>
      <c r="CM323" s="32"/>
      <c r="CN323" s="32"/>
      <c r="CO323" s="32"/>
      <c r="CP323" s="32"/>
      <c r="CQ323" s="32"/>
      <c r="CR323" s="32"/>
      <c r="CS323" s="32"/>
      <c r="CT323" s="32"/>
      <c r="CU323" s="32"/>
      <c r="CV323" s="32"/>
      <c r="CW323" s="32"/>
      <c r="CX323" s="32"/>
      <c r="CY323" s="32"/>
      <c r="CZ323" s="32"/>
      <c r="DA323" s="32"/>
      <c r="DB323" s="32"/>
      <c r="DC323" s="32"/>
      <c r="DD323" s="32"/>
      <c r="DE323" s="32"/>
      <c r="DF323" s="32"/>
      <c r="DG323" s="32"/>
      <c r="DH323" s="32"/>
      <c r="DI323" s="32"/>
      <c r="DJ323" s="32"/>
      <c r="DK323" s="32"/>
      <c r="DL323" s="32"/>
      <c r="DM323" s="32"/>
      <c r="DN323" s="32"/>
      <c r="DO323" s="32"/>
      <c r="DP323" s="32"/>
      <c r="DQ323" s="32"/>
      <c r="DR323" s="32"/>
      <c r="DS323" s="32"/>
      <c r="DT323" s="32"/>
      <c r="DU323" s="32"/>
      <c r="DV323" s="32"/>
      <c r="DW323" s="32"/>
      <c r="DX323" s="32"/>
      <c r="DY323" s="32"/>
      <c r="DZ323" s="32"/>
      <c r="EA323" s="32"/>
      <c r="EB323" s="32"/>
      <c r="EC323" s="32"/>
      <c r="ED323" s="32"/>
      <c r="EE323" s="32"/>
      <c r="EF323" s="32"/>
      <c r="EG323" s="32"/>
      <c r="EH323" s="32"/>
      <c r="EI323" s="32"/>
      <c r="EJ323" s="32"/>
      <c r="EK323" s="32"/>
    </row>
    <row r="324" spans="2:141">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c r="BR324" s="32"/>
      <c r="BS324" s="32"/>
      <c r="BT324" s="32"/>
      <c r="BU324" s="32"/>
      <c r="BV324" s="32"/>
      <c r="BW324" s="32"/>
      <c r="BX324" s="32"/>
      <c r="BY324" s="32"/>
      <c r="BZ324" s="32"/>
      <c r="CA324" s="32"/>
      <c r="CB324" s="32"/>
      <c r="CC324" s="32"/>
      <c r="CD324" s="32"/>
      <c r="CE324" s="32"/>
      <c r="CF324" s="32"/>
      <c r="CG324" s="32"/>
      <c r="CH324" s="32"/>
      <c r="CI324" s="32"/>
      <c r="CJ324" s="32"/>
      <c r="CK324" s="32"/>
      <c r="CL324" s="32"/>
      <c r="CM324" s="32"/>
      <c r="CN324" s="32"/>
      <c r="CO324" s="32"/>
      <c r="CP324" s="32"/>
      <c r="CQ324" s="32"/>
      <c r="CR324" s="32"/>
      <c r="CS324" s="32"/>
      <c r="CT324" s="32"/>
      <c r="CU324" s="32"/>
      <c r="CV324" s="32"/>
      <c r="CW324" s="32"/>
      <c r="CX324" s="32"/>
      <c r="CY324" s="32"/>
      <c r="CZ324" s="32"/>
      <c r="DA324" s="32"/>
      <c r="DB324" s="32"/>
      <c r="DC324" s="32"/>
      <c r="DD324" s="32"/>
      <c r="DE324" s="32"/>
      <c r="DF324" s="32"/>
      <c r="DG324" s="32"/>
      <c r="DH324" s="32"/>
      <c r="DI324" s="32"/>
      <c r="DJ324" s="32"/>
      <c r="DK324" s="32"/>
      <c r="DL324" s="32"/>
      <c r="DM324" s="32"/>
      <c r="DN324" s="32"/>
      <c r="DO324" s="32"/>
      <c r="DP324" s="32"/>
      <c r="DQ324" s="32"/>
      <c r="DR324" s="32"/>
      <c r="DS324" s="32"/>
      <c r="DT324" s="32"/>
      <c r="DU324" s="32"/>
      <c r="DV324" s="32"/>
      <c r="DW324" s="32"/>
      <c r="DX324" s="32"/>
      <c r="DY324" s="32"/>
      <c r="DZ324" s="32"/>
      <c r="EA324" s="32"/>
      <c r="EB324" s="32"/>
      <c r="EC324" s="32"/>
      <c r="ED324" s="32"/>
      <c r="EE324" s="32"/>
      <c r="EF324" s="32"/>
      <c r="EG324" s="32"/>
      <c r="EH324" s="32"/>
      <c r="EI324" s="32"/>
      <c r="EJ324" s="32"/>
      <c r="EK324" s="32"/>
    </row>
    <row r="325" spans="2:141">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c r="BO325" s="32"/>
      <c r="BP325" s="32"/>
      <c r="BQ325" s="32"/>
      <c r="BR325" s="32"/>
      <c r="BS325" s="32"/>
      <c r="BT325" s="32"/>
      <c r="BU325" s="32"/>
      <c r="BV325" s="32"/>
      <c r="BW325" s="32"/>
      <c r="BX325" s="32"/>
      <c r="BY325" s="32"/>
      <c r="BZ325" s="32"/>
      <c r="CA325" s="32"/>
      <c r="CB325" s="32"/>
      <c r="CC325" s="32"/>
      <c r="CD325" s="32"/>
      <c r="CE325" s="32"/>
      <c r="CF325" s="32"/>
      <c r="CG325" s="32"/>
      <c r="CH325" s="32"/>
      <c r="CI325" s="32"/>
      <c r="CJ325" s="32"/>
      <c r="CK325" s="32"/>
      <c r="CL325" s="32"/>
      <c r="CM325" s="32"/>
      <c r="CN325" s="32"/>
      <c r="CO325" s="32"/>
      <c r="CP325" s="32"/>
      <c r="CQ325" s="32"/>
      <c r="CR325" s="32"/>
      <c r="CS325" s="32"/>
      <c r="CT325" s="32"/>
      <c r="CU325" s="32"/>
      <c r="CV325" s="32"/>
      <c r="CW325" s="32"/>
      <c r="CX325" s="32"/>
      <c r="CY325" s="32"/>
      <c r="CZ325" s="32"/>
      <c r="DA325" s="32"/>
      <c r="DB325" s="32"/>
      <c r="DC325" s="32"/>
      <c r="DD325" s="32"/>
      <c r="DE325" s="32"/>
      <c r="DF325" s="32"/>
      <c r="DG325" s="32"/>
      <c r="DH325" s="32"/>
      <c r="DI325" s="32"/>
      <c r="DJ325" s="32"/>
      <c r="DK325" s="32"/>
      <c r="DL325" s="32"/>
      <c r="DM325" s="32"/>
      <c r="DN325" s="32"/>
      <c r="DO325" s="32"/>
      <c r="DP325" s="32"/>
      <c r="DQ325" s="32"/>
      <c r="DR325" s="32"/>
      <c r="DS325" s="32"/>
      <c r="DT325" s="32"/>
      <c r="DU325" s="32"/>
      <c r="DV325" s="32"/>
      <c r="DW325" s="32"/>
      <c r="DX325" s="32"/>
      <c r="DY325" s="32"/>
      <c r="DZ325" s="32"/>
      <c r="EA325" s="32"/>
      <c r="EB325" s="32"/>
      <c r="EC325" s="32"/>
      <c r="ED325" s="32"/>
      <c r="EE325" s="32"/>
      <c r="EF325" s="32"/>
      <c r="EG325" s="32"/>
      <c r="EH325" s="32"/>
      <c r="EI325" s="32"/>
      <c r="EJ325" s="32"/>
      <c r="EK325" s="32"/>
    </row>
    <row r="326" spans="2:141">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c r="BO326" s="32"/>
      <c r="BP326" s="32"/>
      <c r="BQ326" s="32"/>
      <c r="BR326" s="32"/>
      <c r="BS326" s="32"/>
      <c r="BT326" s="32"/>
      <c r="BU326" s="32"/>
      <c r="BV326" s="32"/>
      <c r="BW326" s="32"/>
      <c r="BX326" s="32"/>
      <c r="BY326" s="32"/>
      <c r="BZ326" s="32"/>
      <c r="CA326" s="32"/>
      <c r="CB326" s="32"/>
      <c r="CC326" s="32"/>
      <c r="CD326" s="32"/>
      <c r="CE326" s="32"/>
      <c r="CF326" s="32"/>
      <c r="CG326" s="32"/>
      <c r="CH326" s="32"/>
      <c r="CI326" s="32"/>
      <c r="CJ326" s="32"/>
      <c r="CK326" s="32"/>
      <c r="CL326" s="32"/>
      <c r="CM326" s="32"/>
      <c r="CN326" s="32"/>
      <c r="CO326" s="32"/>
      <c r="CP326" s="32"/>
      <c r="CQ326" s="32"/>
      <c r="CR326" s="32"/>
      <c r="CS326" s="32"/>
      <c r="CT326" s="32"/>
      <c r="CU326" s="32"/>
      <c r="CV326" s="32"/>
      <c r="CW326" s="32"/>
      <c r="CX326" s="32"/>
      <c r="CY326" s="32"/>
      <c r="CZ326" s="32"/>
      <c r="DA326" s="32"/>
      <c r="DB326" s="32"/>
      <c r="DC326" s="32"/>
      <c r="DD326" s="32"/>
      <c r="DE326" s="32"/>
      <c r="DF326" s="32"/>
      <c r="DG326" s="32"/>
      <c r="DH326" s="32"/>
      <c r="DI326" s="32"/>
      <c r="DJ326" s="32"/>
      <c r="DK326" s="32"/>
      <c r="DL326" s="32"/>
      <c r="DM326" s="32"/>
      <c r="DN326" s="32"/>
      <c r="DO326" s="32"/>
      <c r="DP326" s="32"/>
      <c r="DQ326" s="32"/>
      <c r="DR326" s="32"/>
      <c r="DS326" s="32"/>
      <c r="DT326" s="32"/>
      <c r="DU326" s="32"/>
      <c r="DV326" s="32"/>
      <c r="DW326" s="32"/>
      <c r="DX326" s="32"/>
      <c r="DY326" s="32"/>
      <c r="DZ326" s="32"/>
      <c r="EA326" s="32"/>
      <c r="EB326" s="32"/>
      <c r="EC326" s="32"/>
      <c r="ED326" s="32"/>
      <c r="EE326" s="32"/>
      <c r="EF326" s="32"/>
      <c r="EG326" s="32"/>
      <c r="EH326" s="32"/>
      <c r="EI326" s="32"/>
      <c r="EJ326" s="32"/>
      <c r="EK326" s="32"/>
    </row>
    <row r="327" spans="2:141">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c r="BO327" s="32"/>
      <c r="BP327" s="32"/>
      <c r="BQ327" s="32"/>
      <c r="BR327" s="32"/>
      <c r="BS327" s="32"/>
      <c r="BT327" s="32"/>
      <c r="BU327" s="32"/>
      <c r="BV327" s="32"/>
      <c r="BW327" s="32"/>
      <c r="BX327" s="32"/>
      <c r="BY327" s="32"/>
      <c r="BZ327" s="32"/>
      <c r="CA327" s="32"/>
      <c r="CB327" s="32"/>
      <c r="CC327" s="32"/>
      <c r="CD327" s="32"/>
      <c r="CE327" s="32"/>
      <c r="CF327" s="32"/>
      <c r="CG327" s="32"/>
      <c r="CH327" s="32"/>
      <c r="CI327" s="32"/>
      <c r="CJ327" s="32"/>
      <c r="CK327" s="32"/>
      <c r="CL327" s="32"/>
      <c r="CM327" s="32"/>
      <c r="CN327" s="32"/>
      <c r="CO327" s="32"/>
      <c r="CP327" s="32"/>
      <c r="CQ327" s="32"/>
      <c r="CR327" s="32"/>
      <c r="CS327" s="32"/>
      <c r="CT327" s="32"/>
      <c r="CU327" s="32"/>
      <c r="CV327" s="32"/>
      <c r="CW327" s="32"/>
      <c r="CX327" s="32"/>
      <c r="CY327" s="32"/>
      <c r="CZ327" s="32"/>
      <c r="DA327" s="32"/>
      <c r="DB327" s="32"/>
      <c r="DC327" s="32"/>
      <c r="DD327" s="32"/>
      <c r="DE327" s="32"/>
      <c r="DF327" s="32"/>
      <c r="DG327" s="32"/>
      <c r="DH327" s="32"/>
      <c r="DI327" s="32"/>
      <c r="DJ327" s="32"/>
      <c r="DK327" s="32"/>
      <c r="DL327" s="32"/>
      <c r="DM327" s="32"/>
      <c r="DN327" s="32"/>
      <c r="DO327" s="32"/>
      <c r="DP327" s="32"/>
      <c r="DQ327" s="32"/>
      <c r="DR327" s="32"/>
      <c r="DS327" s="32"/>
      <c r="DT327" s="32"/>
      <c r="DU327" s="32"/>
      <c r="DV327" s="32"/>
      <c r="DW327" s="32"/>
      <c r="DX327" s="32"/>
      <c r="DY327" s="32"/>
      <c r="DZ327" s="32"/>
      <c r="EA327" s="32"/>
      <c r="EB327" s="32"/>
      <c r="EC327" s="32"/>
      <c r="ED327" s="32"/>
      <c r="EE327" s="32"/>
      <c r="EF327" s="32"/>
      <c r="EG327" s="32"/>
      <c r="EH327" s="32"/>
      <c r="EI327" s="32"/>
      <c r="EJ327" s="32"/>
      <c r="EK327" s="32"/>
    </row>
    <row r="328" spans="2:141">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c r="CA328" s="32"/>
      <c r="CB328" s="32"/>
      <c r="CC328" s="32"/>
      <c r="CD328" s="32"/>
      <c r="CE328" s="32"/>
      <c r="CF328" s="32"/>
      <c r="CG328" s="32"/>
      <c r="CH328" s="32"/>
      <c r="CI328" s="32"/>
      <c r="CJ328" s="32"/>
      <c r="CK328" s="32"/>
      <c r="CL328" s="32"/>
      <c r="CM328" s="32"/>
      <c r="CN328" s="32"/>
      <c r="CO328" s="32"/>
      <c r="CP328" s="32"/>
      <c r="CQ328" s="32"/>
      <c r="CR328" s="32"/>
      <c r="CS328" s="32"/>
      <c r="CT328" s="32"/>
      <c r="CU328" s="32"/>
      <c r="CV328" s="32"/>
      <c r="CW328" s="32"/>
      <c r="CX328" s="32"/>
      <c r="CY328" s="32"/>
      <c r="CZ328" s="32"/>
      <c r="DA328" s="32"/>
      <c r="DB328" s="32"/>
      <c r="DC328" s="32"/>
      <c r="DD328" s="32"/>
      <c r="DE328" s="32"/>
      <c r="DF328" s="32"/>
      <c r="DG328" s="32"/>
      <c r="DH328" s="32"/>
      <c r="DI328" s="32"/>
      <c r="DJ328" s="32"/>
      <c r="DK328" s="32"/>
      <c r="DL328" s="32"/>
      <c r="DM328" s="32"/>
      <c r="DN328" s="32"/>
      <c r="DO328" s="32"/>
      <c r="DP328" s="32"/>
      <c r="DQ328" s="32"/>
      <c r="DR328" s="32"/>
      <c r="DS328" s="32"/>
      <c r="DT328" s="32"/>
      <c r="DU328" s="32"/>
      <c r="DV328" s="32"/>
      <c r="DW328" s="32"/>
      <c r="DX328" s="32"/>
      <c r="DY328" s="32"/>
      <c r="DZ328" s="32"/>
      <c r="EA328" s="32"/>
      <c r="EB328" s="32"/>
      <c r="EC328" s="32"/>
      <c r="ED328" s="32"/>
      <c r="EE328" s="32"/>
      <c r="EF328" s="32"/>
      <c r="EG328" s="32"/>
      <c r="EH328" s="32"/>
      <c r="EI328" s="32"/>
      <c r="EJ328" s="32"/>
      <c r="EK328" s="32"/>
    </row>
    <row r="329" spans="2:141">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c r="BO329" s="32"/>
      <c r="BP329" s="32"/>
      <c r="BQ329" s="32"/>
      <c r="BR329" s="32"/>
      <c r="BS329" s="32"/>
      <c r="BT329" s="32"/>
      <c r="BU329" s="32"/>
      <c r="BV329" s="32"/>
      <c r="BW329" s="32"/>
      <c r="BX329" s="32"/>
      <c r="BY329" s="32"/>
      <c r="BZ329" s="32"/>
      <c r="CA329" s="32"/>
      <c r="CB329" s="32"/>
      <c r="CC329" s="32"/>
      <c r="CD329" s="32"/>
      <c r="CE329" s="32"/>
      <c r="CF329" s="32"/>
      <c r="CG329" s="32"/>
      <c r="CH329" s="32"/>
      <c r="CI329" s="32"/>
      <c r="CJ329" s="32"/>
      <c r="CK329" s="32"/>
      <c r="CL329" s="32"/>
      <c r="CM329" s="32"/>
      <c r="CN329" s="32"/>
      <c r="CO329" s="32"/>
      <c r="CP329" s="32"/>
      <c r="CQ329" s="32"/>
      <c r="CR329" s="32"/>
      <c r="CS329" s="32"/>
      <c r="CT329" s="32"/>
      <c r="CU329" s="32"/>
      <c r="CV329" s="32"/>
      <c r="CW329" s="32"/>
      <c r="CX329" s="32"/>
      <c r="CY329" s="32"/>
      <c r="CZ329" s="32"/>
      <c r="DA329" s="32"/>
      <c r="DB329" s="32"/>
      <c r="DC329" s="32"/>
      <c r="DD329" s="32"/>
      <c r="DE329" s="32"/>
      <c r="DF329" s="32"/>
      <c r="DG329" s="32"/>
      <c r="DH329" s="32"/>
      <c r="DI329" s="32"/>
      <c r="DJ329" s="32"/>
      <c r="DK329" s="32"/>
      <c r="DL329" s="32"/>
      <c r="DM329" s="32"/>
      <c r="DN329" s="32"/>
      <c r="DO329" s="32"/>
      <c r="DP329" s="32"/>
      <c r="DQ329" s="32"/>
      <c r="DR329" s="32"/>
      <c r="DS329" s="32"/>
      <c r="DT329" s="32"/>
      <c r="DU329" s="32"/>
      <c r="DV329" s="32"/>
      <c r="DW329" s="32"/>
      <c r="DX329" s="32"/>
      <c r="DY329" s="32"/>
      <c r="DZ329" s="32"/>
      <c r="EA329" s="32"/>
      <c r="EB329" s="32"/>
      <c r="EC329" s="32"/>
      <c r="ED329" s="32"/>
      <c r="EE329" s="32"/>
      <c r="EF329" s="32"/>
      <c r="EG329" s="32"/>
      <c r="EH329" s="32"/>
      <c r="EI329" s="32"/>
      <c r="EJ329" s="32"/>
      <c r="EK329" s="32"/>
    </row>
    <row r="330" spans="2:141">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32"/>
      <c r="DK330" s="32"/>
      <c r="DL330" s="32"/>
      <c r="DM330" s="32"/>
      <c r="DN330" s="32"/>
      <c r="DO330" s="32"/>
      <c r="DP330" s="32"/>
      <c r="DQ330" s="32"/>
      <c r="DR330" s="32"/>
      <c r="DS330" s="32"/>
      <c r="DT330" s="32"/>
      <c r="DU330" s="32"/>
      <c r="DV330" s="32"/>
      <c r="DW330" s="32"/>
      <c r="DX330" s="32"/>
      <c r="DY330" s="32"/>
      <c r="DZ330" s="32"/>
      <c r="EA330" s="32"/>
      <c r="EB330" s="32"/>
      <c r="EC330" s="32"/>
      <c r="ED330" s="32"/>
      <c r="EE330" s="32"/>
      <c r="EF330" s="32"/>
      <c r="EG330" s="32"/>
      <c r="EH330" s="32"/>
      <c r="EI330" s="32"/>
      <c r="EJ330" s="32"/>
      <c r="EK330" s="32"/>
    </row>
    <row r="331" spans="2:141">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32"/>
      <c r="DK331" s="32"/>
      <c r="DL331" s="32"/>
      <c r="DM331" s="32"/>
      <c r="DN331" s="32"/>
      <c r="DO331" s="32"/>
      <c r="DP331" s="32"/>
      <c r="DQ331" s="32"/>
      <c r="DR331" s="32"/>
      <c r="DS331" s="32"/>
      <c r="DT331" s="32"/>
      <c r="DU331" s="32"/>
      <c r="DV331" s="32"/>
      <c r="DW331" s="32"/>
      <c r="DX331" s="32"/>
      <c r="DY331" s="32"/>
      <c r="DZ331" s="32"/>
      <c r="EA331" s="32"/>
      <c r="EB331" s="32"/>
      <c r="EC331" s="32"/>
      <c r="ED331" s="32"/>
      <c r="EE331" s="32"/>
      <c r="EF331" s="32"/>
      <c r="EG331" s="32"/>
      <c r="EH331" s="32"/>
      <c r="EI331" s="32"/>
      <c r="EJ331" s="32"/>
      <c r="EK331" s="32"/>
    </row>
    <row r="332" spans="2:141">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32"/>
      <c r="DK332" s="32"/>
      <c r="DL332" s="32"/>
      <c r="DM332" s="32"/>
      <c r="DN332" s="32"/>
      <c r="DO332" s="32"/>
      <c r="DP332" s="32"/>
      <c r="DQ332" s="32"/>
      <c r="DR332" s="32"/>
      <c r="DS332" s="32"/>
      <c r="DT332" s="32"/>
      <c r="DU332" s="32"/>
      <c r="DV332" s="32"/>
      <c r="DW332" s="32"/>
      <c r="DX332" s="32"/>
      <c r="DY332" s="32"/>
      <c r="DZ332" s="32"/>
      <c r="EA332" s="32"/>
      <c r="EB332" s="32"/>
      <c r="EC332" s="32"/>
      <c r="ED332" s="32"/>
      <c r="EE332" s="32"/>
      <c r="EF332" s="32"/>
      <c r="EG332" s="32"/>
      <c r="EH332" s="32"/>
      <c r="EI332" s="32"/>
      <c r="EJ332" s="32"/>
      <c r="EK332" s="32"/>
    </row>
    <row r="333" spans="2:141">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c r="CA333" s="32"/>
      <c r="CB333" s="32"/>
      <c r="CC333" s="32"/>
      <c r="CD333" s="32"/>
      <c r="CE333" s="32"/>
      <c r="CF333" s="32"/>
      <c r="CG333" s="32"/>
      <c r="CH333" s="32"/>
      <c r="CI333" s="32"/>
      <c r="CJ333" s="32"/>
      <c r="CK333" s="32"/>
      <c r="CL333" s="32"/>
      <c r="CM333" s="32"/>
      <c r="CN333" s="32"/>
      <c r="CO333" s="32"/>
      <c r="CP333" s="32"/>
      <c r="CQ333" s="32"/>
      <c r="CR333" s="32"/>
      <c r="CS333" s="32"/>
      <c r="CT333" s="32"/>
      <c r="CU333" s="32"/>
      <c r="CV333" s="32"/>
      <c r="CW333" s="32"/>
      <c r="CX333" s="32"/>
      <c r="CY333" s="32"/>
      <c r="CZ333" s="32"/>
      <c r="DA333" s="32"/>
      <c r="DB333" s="32"/>
      <c r="DC333" s="32"/>
      <c r="DD333" s="32"/>
      <c r="DE333" s="32"/>
      <c r="DF333" s="32"/>
      <c r="DG333" s="32"/>
      <c r="DH333" s="32"/>
      <c r="DI333" s="32"/>
      <c r="DJ333" s="32"/>
      <c r="DK333" s="32"/>
      <c r="DL333" s="32"/>
      <c r="DM333" s="32"/>
      <c r="DN333" s="32"/>
      <c r="DO333" s="32"/>
      <c r="DP333" s="32"/>
      <c r="DQ333" s="32"/>
      <c r="DR333" s="32"/>
      <c r="DS333" s="32"/>
      <c r="DT333" s="32"/>
      <c r="DU333" s="32"/>
      <c r="DV333" s="32"/>
      <c r="DW333" s="32"/>
      <c r="DX333" s="32"/>
      <c r="DY333" s="32"/>
      <c r="DZ333" s="32"/>
      <c r="EA333" s="32"/>
      <c r="EB333" s="32"/>
      <c r="EC333" s="32"/>
      <c r="ED333" s="32"/>
      <c r="EE333" s="32"/>
      <c r="EF333" s="32"/>
      <c r="EG333" s="32"/>
      <c r="EH333" s="32"/>
      <c r="EI333" s="32"/>
      <c r="EJ333" s="32"/>
      <c r="EK333" s="32"/>
    </row>
    <row r="334" spans="2:141">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c r="BR334" s="32"/>
      <c r="BS334" s="32"/>
      <c r="BT334" s="32"/>
      <c r="BU334" s="32"/>
      <c r="BV334" s="32"/>
      <c r="BW334" s="32"/>
      <c r="BX334" s="32"/>
      <c r="BY334" s="32"/>
      <c r="BZ334" s="32"/>
      <c r="CA334" s="32"/>
      <c r="CB334" s="32"/>
      <c r="CC334" s="32"/>
      <c r="CD334" s="32"/>
      <c r="CE334" s="32"/>
      <c r="CF334" s="32"/>
      <c r="CG334" s="32"/>
      <c r="CH334" s="32"/>
      <c r="CI334" s="32"/>
      <c r="CJ334" s="32"/>
      <c r="CK334" s="32"/>
      <c r="CL334" s="32"/>
      <c r="CM334" s="32"/>
      <c r="CN334" s="32"/>
      <c r="CO334" s="32"/>
      <c r="CP334" s="32"/>
      <c r="CQ334" s="32"/>
      <c r="CR334" s="32"/>
      <c r="CS334" s="32"/>
      <c r="CT334" s="32"/>
      <c r="CU334" s="32"/>
      <c r="CV334" s="32"/>
      <c r="CW334" s="32"/>
      <c r="CX334" s="32"/>
      <c r="CY334" s="32"/>
      <c r="CZ334" s="32"/>
      <c r="DA334" s="32"/>
      <c r="DB334" s="32"/>
      <c r="DC334" s="32"/>
      <c r="DD334" s="32"/>
      <c r="DE334" s="32"/>
      <c r="DF334" s="32"/>
      <c r="DG334" s="32"/>
      <c r="DH334" s="32"/>
      <c r="DI334" s="32"/>
      <c r="DJ334" s="32"/>
      <c r="DK334" s="32"/>
      <c r="DL334" s="32"/>
      <c r="DM334" s="32"/>
      <c r="DN334" s="32"/>
      <c r="DO334" s="32"/>
      <c r="DP334" s="32"/>
      <c r="DQ334" s="32"/>
      <c r="DR334" s="32"/>
      <c r="DS334" s="32"/>
      <c r="DT334" s="32"/>
      <c r="DU334" s="32"/>
      <c r="DV334" s="32"/>
      <c r="DW334" s="32"/>
      <c r="DX334" s="32"/>
      <c r="DY334" s="32"/>
      <c r="DZ334" s="32"/>
      <c r="EA334" s="32"/>
      <c r="EB334" s="32"/>
      <c r="EC334" s="32"/>
      <c r="ED334" s="32"/>
      <c r="EE334" s="32"/>
      <c r="EF334" s="32"/>
      <c r="EG334" s="32"/>
      <c r="EH334" s="32"/>
      <c r="EI334" s="32"/>
      <c r="EJ334" s="32"/>
      <c r="EK334" s="32"/>
    </row>
    <row r="335" spans="2:141">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c r="BO335" s="32"/>
      <c r="BP335" s="32"/>
      <c r="BQ335" s="32"/>
      <c r="BR335" s="32"/>
      <c r="BS335" s="32"/>
      <c r="BT335" s="32"/>
      <c r="BU335" s="32"/>
      <c r="BV335" s="32"/>
      <c r="BW335" s="32"/>
      <c r="BX335" s="32"/>
      <c r="BY335" s="32"/>
      <c r="BZ335" s="32"/>
      <c r="CA335" s="32"/>
      <c r="CB335" s="32"/>
      <c r="CC335" s="32"/>
      <c r="CD335" s="32"/>
      <c r="CE335" s="32"/>
      <c r="CF335" s="32"/>
      <c r="CG335" s="32"/>
      <c r="CH335" s="32"/>
      <c r="CI335" s="32"/>
      <c r="CJ335" s="32"/>
      <c r="CK335" s="32"/>
      <c r="CL335" s="32"/>
      <c r="CM335" s="32"/>
      <c r="CN335" s="32"/>
      <c r="CO335" s="32"/>
      <c r="CP335" s="32"/>
      <c r="CQ335" s="32"/>
      <c r="CR335" s="32"/>
      <c r="CS335" s="32"/>
      <c r="CT335" s="32"/>
      <c r="CU335" s="32"/>
      <c r="CV335" s="32"/>
      <c r="CW335" s="32"/>
      <c r="CX335" s="32"/>
      <c r="CY335" s="32"/>
      <c r="CZ335" s="32"/>
      <c r="DA335" s="32"/>
      <c r="DB335" s="32"/>
      <c r="DC335" s="32"/>
      <c r="DD335" s="32"/>
      <c r="DE335" s="32"/>
      <c r="DF335" s="32"/>
      <c r="DG335" s="32"/>
      <c r="DH335" s="32"/>
      <c r="DI335" s="32"/>
      <c r="DJ335" s="32"/>
      <c r="DK335" s="32"/>
      <c r="DL335" s="32"/>
      <c r="DM335" s="32"/>
      <c r="DN335" s="32"/>
      <c r="DO335" s="32"/>
      <c r="DP335" s="32"/>
      <c r="DQ335" s="32"/>
      <c r="DR335" s="32"/>
      <c r="DS335" s="32"/>
      <c r="DT335" s="32"/>
      <c r="DU335" s="32"/>
      <c r="DV335" s="32"/>
      <c r="DW335" s="32"/>
      <c r="DX335" s="32"/>
      <c r="DY335" s="32"/>
      <c r="DZ335" s="32"/>
      <c r="EA335" s="32"/>
      <c r="EB335" s="32"/>
      <c r="EC335" s="32"/>
      <c r="ED335" s="32"/>
      <c r="EE335" s="32"/>
      <c r="EF335" s="32"/>
      <c r="EG335" s="32"/>
      <c r="EH335" s="32"/>
      <c r="EI335" s="32"/>
      <c r="EJ335" s="32"/>
      <c r="EK335" s="32"/>
    </row>
    <row r="336" spans="2:141">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c r="BR336" s="32"/>
      <c r="BS336" s="32"/>
      <c r="BT336" s="32"/>
      <c r="BU336" s="32"/>
      <c r="BV336" s="32"/>
      <c r="BW336" s="32"/>
      <c r="BX336" s="32"/>
      <c r="BY336" s="32"/>
      <c r="BZ336" s="32"/>
      <c r="CA336" s="32"/>
      <c r="CB336" s="32"/>
      <c r="CC336" s="32"/>
      <c r="CD336" s="32"/>
      <c r="CE336" s="32"/>
      <c r="CF336" s="32"/>
      <c r="CG336" s="32"/>
      <c r="CH336" s="32"/>
      <c r="CI336" s="32"/>
      <c r="CJ336" s="32"/>
      <c r="CK336" s="32"/>
      <c r="CL336" s="32"/>
      <c r="CM336" s="32"/>
      <c r="CN336" s="32"/>
      <c r="CO336" s="32"/>
      <c r="CP336" s="32"/>
      <c r="CQ336" s="32"/>
      <c r="CR336" s="32"/>
      <c r="CS336" s="32"/>
      <c r="CT336" s="32"/>
      <c r="CU336" s="32"/>
      <c r="CV336" s="32"/>
      <c r="CW336" s="32"/>
      <c r="CX336" s="32"/>
      <c r="CY336" s="32"/>
      <c r="CZ336" s="32"/>
      <c r="DA336" s="32"/>
      <c r="DB336" s="32"/>
      <c r="DC336" s="32"/>
      <c r="DD336" s="32"/>
      <c r="DE336" s="32"/>
      <c r="DF336" s="32"/>
      <c r="DG336" s="32"/>
      <c r="DH336" s="32"/>
      <c r="DI336" s="32"/>
      <c r="DJ336" s="32"/>
      <c r="DK336" s="32"/>
      <c r="DL336" s="32"/>
      <c r="DM336" s="32"/>
      <c r="DN336" s="32"/>
      <c r="DO336" s="32"/>
      <c r="DP336" s="32"/>
      <c r="DQ336" s="32"/>
      <c r="DR336" s="32"/>
      <c r="DS336" s="32"/>
      <c r="DT336" s="32"/>
      <c r="DU336" s="32"/>
      <c r="DV336" s="32"/>
      <c r="DW336" s="32"/>
      <c r="DX336" s="32"/>
      <c r="DY336" s="32"/>
      <c r="DZ336" s="32"/>
      <c r="EA336" s="32"/>
      <c r="EB336" s="32"/>
      <c r="EC336" s="32"/>
      <c r="ED336" s="32"/>
      <c r="EE336" s="32"/>
      <c r="EF336" s="32"/>
      <c r="EG336" s="32"/>
      <c r="EH336" s="32"/>
      <c r="EI336" s="32"/>
      <c r="EJ336" s="32"/>
      <c r="EK336" s="32"/>
    </row>
    <row r="337" spans="42:141">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32"/>
      <c r="CK337" s="32"/>
      <c r="CL337" s="32"/>
      <c r="CM337" s="32"/>
      <c r="CN337" s="32"/>
      <c r="CO337" s="32"/>
      <c r="CP337" s="32"/>
      <c r="CQ337" s="32"/>
      <c r="CR337" s="32"/>
      <c r="CS337" s="32"/>
      <c r="CT337" s="32"/>
      <c r="CU337" s="32"/>
      <c r="CV337" s="32"/>
      <c r="CW337" s="32"/>
      <c r="CX337" s="32"/>
      <c r="CY337" s="32"/>
      <c r="CZ337" s="32"/>
      <c r="DA337" s="32"/>
      <c r="DB337" s="32"/>
      <c r="DC337" s="32"/>
      <c r="DD337" s="32"/>
      <c r="DE337" s="32"/>
      <c r="DF337" s="32"/>
      <c r="DG337" s="32"/>
      <c r="DH337" s="32"/>
      <c r="DI337" s="32"/>
      <c r="DJ337" s="32"/>
      <c r="DK337" s="32"/>
      <c r="DL337" s="32"/>
      <c r="DM337" s="32"/>
      <c r="DN337" s="32"/>
      <c r="DO337" s="32"/>
      <c r="DP337" s="32"/>
      <c r="DQ337" s="32"/>
      <c r="DR337" s="32"/>
      <c r="DS337" s="32"/>
      <c r="DT337" s="32"/>
      <c r="DU337" s="32"/>
      <c r="DV337" s="32"/>
      <c r="DW337" s="32"/>
      <c r="DX337" s="32"/>
      <c r="DY337" s="32"/>
      <c r="DZ337" s="32"/>
      <c r="EA337" s="32"/>
      <c r="EB337" s="32"/>
      <c r="EC337" s="32"/>
      <c r="ED337" s="32"/>
      <c r="EE337" s="32"/>
      <c r="EF337" s="32"/>
      <c r="EG337" s="32"/>
      <c r="EH337" s="32"/>
      <c r="EI337" s="32"/>
      <c r="EJ337" s="32"/>
      <c r="EK337" s="32"/>
    </row>
    <row r="338" spans="42:141">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32"/>
      <c r="CK338" s="32"/>
      <c r="CL338" s="32"/>
      <c r="CM338" s="32"/>
      <c r="CN338" s="32"/>
      <c r="CO338" s="32"/>
      <c r="CP338" s="32"/>
      <c r="CQ338" s="32"/>
      <c r="CR338" s="32"/>
      <c r="CS338" s="32"/>
      <c r="CT338" s="32"/>
      <c r="CU338" s="32"/>
      <c r="CV338" s="32"/>
      <c r="CW338" s="32"/>
      <c r="CX338" s="32"/>
      <c r="CY338" s="32"/>
      <c r="CZ338" s="32"/>
      <c r="DA338" s="32"/>
      <c r="DB338" s="32"/>
      <c r="DC338" s="32"/>
      <c r="DD338" s="32"/>
      <c r="DE338" s="32"/>
      <c r="DF338" s="32"/>
      <c r="DG338" s="32"/>
      <c r="DH338" s="32"/>
      <c r="DI338" s="32"/>
      <c r="DJ338" s="32"/>
      <c r="DK338" s="32"/>
      <c r="DL338" s="32"/>
      <c r="DM338" s="32"/>
      <c r="DN338" s="32"/>
      <c r="DO338" s="32"/>
      <c r="DP338" s="32"/>
      <c r="DQ338" s="32"/>
      <c r="DR338" s="32"/>
      <c r="DS338" s="32"/>
      <c r="DT338" s="32"/>
      <c r="DU338" s="32"/>
      <c r="DV338" s="32"/>
      <c r="DW338" s="32"/>
      <c r="DX338" s="32"/>
      <c r="DY338" s="32"/>
      <c r="DZ338" s="32"/>
      <c r="EA338" s="32"/>
      <c r="EB338" s="32"/>
      <c r="EC338" s="32"/>
      <c r="ED338" s="32"/>
      <c r="EE338" s="32"/>
      <c r="EF338" s="32"/>
      <c r="EG338" s="32"/>
      <c r="EH338" s="32"/>
      <c r="EI338" s="32"/>
      <c r="EJ338" s="32"/>
      <c r="EK338" s="32"/>
    </row>
    <row r="339" spans="42:141">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32"/>
      <c r="CK339" s="32"/>
      <c r="CL339" s="32"/>
      <c r="CM339" s="32"/>
      <c r="CN339" s="32"/>
      <c r="CO339" s="32"/>
      <c r="CP339" s="32"/>
      <c r="CQ339" s="32"/>
      <c r="CR339" s="32"/>
      <c r="CS339" s="32"/>
      <c r="CT339" s="32"/>
      <c r="CU339" s="32"/>
      <c r="CV339" s="32"/>
      <c r="CW339" s="32"/>
      <c r="CX339" s="32"/>
      <c r="CY339" s="32"/>
      <c r="CZ339" s="32"/>
      <c r="DA339" s="32"/>
      <c r="DB339" s="32"/>
      <c r="DC339" s="32"/>
      <c r="DD339" s="32"/>
      <c r="DE339" s="32"/>
      <c r="DF339" s="32"/>
      <c r="DG339" s="32"/>
      <c r="DH339" s="32"/>
      <c r="DI339" s="32"/>
      <c r="DJ339" s="32"/>
      <c r="DK339" s="32"/>
      <c r="DL339" s="32"/>
      <c r="DM339" s="32"/>
      <c r="DN339" s="32"/>
      <c r="DO339" s="32"/>
      <c r="DP339" s="32"/>
      <c r="DQ339" s="32"/>
      <c r="DR339" s="32"/>
      <c r="DS339" s="32"/>
      <c r="DT339" s="32"/>
      <c r="DU339" s="32"/>
      <c r="DV339" s="32"/>
      <c r="DW339" s="32"/>
      <c r="DX339" s="32"/>
      <c r="DY339" s="32"/>
      <c r="DZ339" s="32"/>
      <c r="EA339" s="32"/>
      <c r="EB339" s="32"/>
      <c r="EC339" s="32"/>
      <c r="ED339" s="32"/>
      <c r="EE339" s="32"/>
      <c r="EF339" s="32"/>
      <c r="EG339" s="32"/>
      <c r="EH339" s="32"/>
      <c r="EI339" s="32"/>
      <c r="EJ339" s="32"/>
      <c r="EK339" s="32"/>
    </row>
    <row r="340" spans="42:141">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32"/>
      <c r="CK340" s="32"/>
      <c r="CL340" s="32"/>
      <c r="CM340" s="32"/>
      <c r="CN340" s="32"/>
      <c r="CO340" s="32"/>
      <c r="CP340" s="32"/>
      <c r="CQ340" s="32"/>
      <c r="CR340" s="32"/>
      <c r="CS340" s="32"/>
      <c r="CT340" s="32"/>
      <c r="CU340" s="32"/>
      <c r="CV340" s="32"/>
      <c r="CW340" s="32"/>
      <c r="CX340" s="32"/>
      <c r="CY340" s="32"/>
      <c r="CZ340" s="32"/>
      <c r="DA340" s="32"/>
      <c r="DB340" s="32"/>
      <c r="DC340" s="32"/>
      <c r="DD340" s="32"/>
      <c r="DE340" s="32"/>
      <c r="DF340" s="32"/>
      <c r="DG340" s="32"/>
      <c r="DH340" s="32"/>
      <c r="DI340" s="32"/>
      <c r="DJ340" s="32"/>
      <c r="DK340" s="32"/>
      <c r="DL340" s="32"/>
      <c r="DM340" s="32"/>
      <c r="DN340" s="32"/>
      <c r="DO340" s="32"/>
      <c r="DP340" s="32"/>
      <c r="DQ340" s="32"/>
      <c r="DR340" s="32"/>
      <c r="DS340" s="32"/>
      <c r="DT340" s="32"/>
      <c r="DU340" s="32"/>
      <c r="DV340" s="32"/>
      <c r="DW340" s="32"/>
      <c r="DX340" s="32"/>
      <c r="DY340" s="32"/>
      <c r="DZ340" s="32"/>
      <c r="EA340" s="32"/>
      <c r="EB340" s="32"/>
      <c r="EC340" s="32"/>
      <c r="ED340" s="32"/>
      <c r="EE340" s="32"/>
      <c r="EF340" s="32"/>
      <c r="EG340" s="32"/>
      <c r="EH340" s="32"/>
      <c r="EI340" s="32"/>
      <c r="EJ340" s="32"/>
      <c r="EK340" s="32"/>
    </row>
    <row r="341" spans="42:141">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32"/>
      <c r="CK341" s="32"/>
      <c r="CL341" s="32"/>
      <c r="CM341" s="32"/>
      <c r="CN341" s="32"/>
      <c r="CO341" s="32"/>
      <c r="CP341" s="32"/>
      <c r="CQ341" s="32"/>
      <c r="CR341" s="32"/>
      <c r="CS341" s="32"/>
      <c r="CT341" s="32"/>
      <c r="CU341" s="32"/>
      <c r="CV341" s="32"/>
      <c r="CW341" s="32"/>
      <c r="CX341" s="32"/>
      <c r="CY341" s="32"/>
      <c r="CZ341" s="32"/>
      <c r="DA341" s="32"/>
      <c r="DB341" s="32"/>
      <c r="DC341" s="32"/>
      <c r="DD341" s="32"/>
      <c r="DE341" s="32"/>
      <c r="DF341" s="32"/>
      <c r="DG341" s="32"/>
      <c r="DH341" s="32"/>
      <c r="DI341" s="32"/>
      <c r="DJ341" s="32"/>
      <c r="DK341" s="32"/>
      <c r="DL341" s="32"/>
      <c r="DM341" s="32"/>
      <c r="DN341" s="32"/>
      <c r="DO341" s="32"/>
      <c r="DP341" s="32"/>
      <c r="DQ341" s="32"/>
      <c r="DR341" s="32"/>
      <c r="DS341" s="32"/>
      <c r="DT341" s="32"/>
      <c r="DU341" s="32"/>
      <c r="DV341" s="32"/>
      <c r="DW341" s="32"/>
      <c r="DX341" s="32"/>
      <c r="DY341" s="32"/>
      <c r="DZ341" s="32"/>
      <c r="EA341" s="32"/>
      <c r="EB341" s="32"/>
      <c r="EC341" s="32"/>
      <c r="ED341" s="32"/>
      <c r="EE341" s="32"/>
      <c r="EF341" s="32"/>
      <c r="EG341" s="32"/>
      <c r="EH341" s="32"/>
      <c r="EI341" s="32"/>
      <c r="EJ341" s="32"/>
      <c r="EK341" s="32"/>
    </row>
    <row r="342" spans="42:141">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32"/>
      <c r="CK342" s="32"/>
      <c r="CL342" s="32"/>
      <c r="CM342" s="32"/>
      <c r="CN342" s="32"/>
      <c r="CO342" s="32"/>
      <c r="CP342" s="32"/>
      <c r="CQ342" s="32"/>
      <c r="CR342" s="32"/>
      <c r="CS342" s="32"/>
      <c r="CT342" s="32"/>
      <c r="CU342" s="32"/>
      <c r="CV342" s="32"/>
      <c r="CW342" s="32"/>
      <c r="CX342" s="32"/>
      <c r="CY342" s="32"/>
      <c r="CZ342" s="32"/>
      <c r="DA342" s="32"/>
      <c r="DB342" s="32"/>
      <c r="DC342" s="32"/>
      <c r="DD342" s="32"/>
      <c r="DE342" s="32"/>
      <c r="DF342" s="32"/>
      <c r="DG342" s="32"/>
      <c r="DH342" s="32"/>
      <c r="DI342" s="32"/>
      <c r="DJ342" s="32"/>
      <c r="DK342" s="32"/>
      <c r="DL342" s="32"/>
      <c r="DM342" s="32"/>
      <c r="DN342" s="32"/>
      <c r="DO342" s="32"/>
      <c r="DP342" s="32"/>
      <c r="DQ342" s="32"/>
      <c r="DR342" s="32"/>
      <c r="DS342" s="32"/>
      <c r="DT342" s="32"/>
      <c r="DU342" s="32"/>
      <c r="DV342" s="32"/>
      <c r="DW342" s="32"/>
      <c r="DX342" s="32"/>
      <c r="DY342" s="32"/>
      <c r="DZ342" s="32"/>
      <c r="EA342" s="32"/>
      <c r="EB342" s="32"/>
      <c r="EC342" s="32"/>
      <c r="ED342" s="32"/>
      <c r="EE342" s="32"/>
      <c r="EF342" s="32"/>
      <c r="EG342" s="32"/>
      <c r="EH342" s="32"/>
      <c r="EI342" s="32"/>
      <c r="EJ342" s="32"/>
      <c r="EK342" s="32"/>
    </row>
    <row r="343" spans="42:141">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32"/>
      <c r="DK343" s="32"/>
      <c r="DL343" s="32"/>
      <c r="DM343" s="32"/>
      <c r="DN343" s="32"/>
      <c r="DO343" s="32"/>
      <c r="DP343" s="32"/>
      <c r="DQ343" s="32"/>
      <c r="DR343" s="32"/>
      <c r="DS343" s="32"/>
      <c r="DT343" s="32"/>
      <c r="DU343" s="32"/>
      <c r="DV343" s="32"/>
      <c r="DW343" s="32"/>
      <c r="DX343" s="32"/>
      <c r="DY343" s="32"/>
      <c r="DZ343" s="32"/>
      <c r="EA343" s="32"/>
      <c r="EB343" s="32"/>
      <c r="EC343" s="32"/>
      <c r="ED343" s="32"/>
      <c r="EE343" s="32"/>
      <c r="EF343" s="32"/>
      <c r="EG343" s="32"/>
      <c r="EH343" s="32"/>
      <c r="EI343" s="32"/>
      <c r="EJ343" s="32"/>
      <c r="EK343" s="32"/>
    </row>
    <row r="344" spans="42:141">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32"/>
      <c r="DK344" s="32"/>
      <c r="DL344" s="32"/>
      <c r="DM344" s="32"/>
      <c r="DN344" s="32"/>
      <c r="DO344" s="32"/>
      <c r="DP344" s="32"/>
      <c r="DQ344" s="32"/>
      <c r="DR344" s="32"/>
      <c r="DS344" s="32"/>
      <c r="DT344" s="32"/>
      <c r="DU344" s="32"/>
      <c r="DV344" s="32"/>
      <c r="DW344" s="32"/>
      <c r="DX344" s="32"/>
      <c r="DY344" s="32"/>
      <c r="DZ344" s="32"/>
      <c r="EA344" s="32"/>
      <c r="EB344" s="32"/>
      <c r="EC344" s="32"/>
      <c r="ED344" s="32"/>
      <c r="EE344" s="32"/>
      <c r="EF344" s="32"/>
      <c r="EG344" s="32"/>
      <c r="EH344" s="32"/>
      <c r="EI344" s="32"/>
      <c r="EJ344" s="32"/>
      <c r="EK344" s="32"/>
    </row>
    <row r="345" spans="42:141">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c r="CK345" s="32"/>
      <c r="CL345" s="32"/>
      <c r="CM345" s="32"/>
      <c r="CN345" s="32"/>
      <c r="CO345" s="32"/>
      <c r="CP345" s="32"/>
      <c r="CQ345" s="32"/>
      <c r="CR345" s="32"/>
      <c r="CS345" s="32"/>
      <c r="CT345" s="32"/>
      <c r="CU345" s="32"/>
      <c r="CV345" s="32"/>
      <c r="CW345" s="32"/>
      <c r="CX345" s="32"/>
      <c r="CY345" s="32"/>
      <c r="CZ345" s="32"/>
      <c r="DA345" s="32"/>
      <c r="DB345" s="32"/>
      <c r="DC345" s="32"/>
      <c r="DD345" s="32"/>
      <c r="DE345" s="32"/>
      <c r="DF345" s="32"/>
      <c r="DG345" s="32"/>
      <c r="DH345" s="32"/>
      <c r="DI345" s="32"/>
      <c r="DJ345" s="32"/>
      <c r="DK345" s="32"/>
      <c r="DL345" s="32"/>
      <c r="DM345" s="32"/>
      <c r="DN345" s="32"/>
      <c r="DO345" s="32"/>
      <c r="DP345" s="32"/>
      <c r="DQ345" s="32"/>
      <c r="DR345" s="32"/>
      <c r="DS345" s="32"/>
      <c r="DT345" s="32"/>
      <c r="DU345" s="32"/>
      <c r="DV345" s="32"/>
      <c r="DW345" s="32"/>
      <c r="DX345" s="32"/>
      <c r="DY345" s="32"/>
      <c r="DZ345" s="32"/>
      <c r="EA345" s="32"/>
      <c r="EB345" s="32"/>
      <c r="EC345" s="32"/>
      <c r="ED345" s="32"/>
      <c r="EE345" s="32"/>
      <c r="EF345" s="32"/>
      <c r="EG345" s="32"/>
      <c r="EH345" s="32"/>
      <c r="EI345" s="32"/>
      <c r="EJ345" s="32"/>
      <c r="EK345" s="32"/>
    </row>
    <row r="346" spans="42:141">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c r="CK346" s="32"/>
      <c r="CL346" s="32"/>
      <c r="CM346" s="32"/>
      <c r="CN346" s="32"/>
      <c r="CO346" s="32"/>
      <c r="CP346" s="32"/>
      <c r="CQ346" s="32"/>
      <c r="CR346" s="32"/>
      <c r="CS346" s="32"/>
      <c r="CT346" s="32"/>
      <c r="CU346" s="32"/>
      <c r="CV346" s="32"/>
      <c r="CW346" s="32"/>
      <c r="CX346" s="32"/>
      <c r="CY346" s="32"/>
      <c r="CZ346" s="32"/>
      <c r="DA346" s="32"/>
      <c r="DB346" s="32"/>
      <c r="DC346" s="32"/>
      <c r="DD346" s="32"/>
      <c r="DE346" s="32"/>
      <c r="DF346" s="32"/>
      <c r="DG346" s="32"/>
      <c r="DH346" s="32"/>
      <c r="DI346" s="32"/>
      <c r="DJ346" s="32"/>
      <c r="DK346" s="32"/>
      <c r="DL346" s="32"/>
      <c r="DM346" s="32"/>
      <c r="DN346" s="32"/>
      <c r="DO346" s="32"/>
      <c r="DP346" s="32"/>
      <c r="DQ346" s="32"/>
      <c r="DR346" s="32"/>
      <c r="DS346" s="32"/>
      <c r="DT346" s="32"/>
      <c r="DU346" s="32"/>
      <c r="DV346" s="32"/>
      <c r="DW346" s="32"/>
      <c r="DX346" s="32"/>
      <c r="DY346" s="32"/>
      <c r="DZ346" s="32"/>
      <c r="EA346" s="32"/>
      <c r="EB346" s="32"/>
      <c r="EC346" s="32"/>
      <c r="ED346" s="32"/>
      <c r="EE346" s="32"/>
      <c r="EF346" s="32"/>
      <c r="EG346" s="32"/>
      <c r="EH346" s="32"/>
      <c r="EI346" s="32"/>
      <c r="EJ346" s="32"/>
      <c r="EK346" s="32"/>
    </row>
    <row r="347" spans="42:141">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c r="CK347" s="32"/>
      <c r="CL347" s="32"/>
      <c r="CM347" s="32"/>
      <c r="CN347" s="32"/>
      <c r="CO347" s="32"/>
      <c r="CP347" s="32"/>
      <c r="CQ347" s="32"/>
      <c r="CR347" s="32"/>
      <c r="CS347" s="32"/>
      <c r="CT347" s="32"/>
      <c r="CU347" s="32"/>
      <c r="CV347" s="32"/>
      <c r="CW347" s="32"/>
      <c r="CX347" s="32"/>
      <c r="CY347" s="32"/>
      <c r="CZ347" s="32"/>
      <c r="DA347" s="32"/>
      <c r="DB347" s="32"/>
      <c r="DC347" s="32"/>
      <c r="DD347" s="32"/>
      <c r="DE347" s="32"/>
      <c r="DF347" s="32"/>
      <c r="DG347" s="32"/>
      <c r="DH347" s="32"/>
      <c r="DI347" s="32"/>
      <c r="DJ347" s="32"/>
      <c r="DK347" s="32"/>
      <c r="DL347" s="32"/>
      <c r="DM347" s="32"/>
      <c r="DN347" s="32"/>
      <c r="DO347" s="32"/>
      <c r="DP347" s="32"/>
      <c r="DQ347" s="32"/>
      <c r="DR347" s="32"/>
      <c r="DS347" s="32"/>
      <c r="DT347" s="32"/>
      <c r="DU347" s="32"/>
      <c r="DV347" s="32"/>
      <c r="DW347" s="32"/>
      <c r="DX347" s="32"/>
      <c r="DY347" s="32"/>
      <c r="DZ347" s="32"/>
      <c r="EA347" s="32"/>
      <c r="EB347" s="32"/>
      <c r="EC347" s="32"/>
      <c r="ED347" s="32"/>
      <c r="EE347" s="32"/>
      <c r="EF347" s="32"/>
      <c r="EG347" s="32"/>
      <c r="EH347" s="32"/>
      <c r="EI347" s="32"/>
      <c r="EJ347" s="32"/>
      <c r="EK347" s="32"/>
    </row>
    <row r="348" spans="42:141">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c r="CK348" s="32"/>
      <c r="CL348" s="32"/>
      <c r="CM348" s="32"/>
      <c r="CN348" s="32"/>
      <c r="CO348" s="32"/>
      <c r="CP348" s="32"/>
      <c r="CQ348" s="32"/>
      <c r="CR348" s="32"/>
      <c r="CS348" s="32"/>
      <c r="CT348" s="32"/>
      <c r="CU348" s="32"/>
      <c r="CV348" s="32"/>
      <c r="CW348" s="32"/>
      <c r="CX348" s="32"/>
      <c r="CY348" s="32"/>
      <c r="CZ348" s="32"/>
      <c r="DA348" s="32"/>
      <c r="DB348" s="32"/>
      <c r="DC348" s="32"/>
      <c r="DD348" s="32"/>
      <c r="DE348" s="32"/>
      <c r="DF348" s="32"/>
      <c r="DG348" s="32"/>
      <c r="DH348" s="32"/>
      <c r="DI348" s="32"/>
      <c r="DJ348" s="32"/>
      <c r="DK348" s="32"/>
      <c r="DL348" s="32"/>
      <c r="DM348" s="32"/>
      <c r="DN348" s="32"/>
      <c r="DO348" s="32"/>
      <c r="DP348" s="32"/>
      <c r="DQ348" s="32"/>
      <c r="DR348" s="32"/>
      <c r="DS348" s="32"/>
      <c r="DT348" s="32"/>
      <c r="DU348" s="32"/>
      <c r="DV348" s="32"/>
      <c r="DW348" s="32"/>
      <c r="DX348" s="32"/>
      <c r="DY348" s="32"/>
      <c r="DZ348" s="32"/>
      <c r="EA348" s="32"/>
      <c r="EB348" s="32"/>
      <c r="EC348" s="32"/>
      <c r="ED348" s="32"/>
      <c r="EE348" s="32"/>
      <c r="EF348" s="32"/>
      <c r="EG348" s="32"/>
      <c r="EH348" s="32"/>
      <c r="EI348" s="32"/>
      <c r="EJ348" s="32"/>
      <c r="EK348" s="32"/>
    </row>
    <row r="349" spans="42:141">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c r="CK349" s="32"/>
      <c r="CL349" s="32"/>
      <c r="CM349" s="32"/>
      <c r="CN349" s="32"/>
      <c r="CO349" s="32"/>
      <c r="CP349" s="32"/>
      <c r="CQ349" s="32"/>
      <c r="CR349" s="32"/>
      <c r="CS349" s="32"/>
      <c r="CT349" s="32"/>
      <c r="CU349" s="32"/>
      <c r="CV349" s="32"/>
      <c r="CW349" s="32"/>
      <c r="CX349" s="32"/>
      <c r="CY349" s="32"/>
      <c r="CZ349" s="32"/>
      <c r="DA349" s="32"/>
      <c r="DB349" s="32"/>
      <c r="DC349" s="32"/>
      <c r="DD349" s="32"/>
      <c r="DE349" s="32"/>
      <c r="DF349" s="32"/>
      <c r="DG349" s="32"/>
      <c r="DH349" s="32"/>
      <c r="DI349" s="32"/>
      <c r="DJ349" s="32"/>
      <c r="DK349" s="32"/>
      <c r="DL349" s="32"/>
      <c r="DM349" s="32"/>
      <c r="DN349" s="32"/>
      <c r="DO349" s="32"/>
      <c r="DP349" s="32"/>
      <c r="DQ349" s="32"/>
      <c r="DR349" s="32"/>
      <c r="DS349" s="32"/>
      <c r="DT349" s="32"/>
      <c r="DU349" s="32"/>
      <c r="DV349" s="32"/>
      <c r="DW349" s="32"/>
      <c r="DX349" s="32"/>
      <c r="DY349" s="32"/>
      <c r="DZ349" s="32"/>
      <c r="EA349" s="32"/>
      <c r="EB349" s="32"/>
      <c r="EC349" s="32"/>
      <c r="ED349" s="32"/>
      <c r="EE349" s="32"/>
      <c r="EF349" s="32"/>
      <c r="EG349" s="32"/>
      <c r="EH349" s="32"/>
      <c r="EI349" s="32"/>
      <c r="EJ349" s="32"/>
      <c r="EK349" s="32"/>
    </row>
    <row r="350" spans="42:141">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c r="CK350" s="32"/>
      <c r="CL350" s="32"/>
      <c r="CM350" s="32"/>
      <c r="CN350" s="32"/>
      <c r="CO350" s="32"/>
      <c r="CP350" s="32"/>
      <c r="CQ350" s="32"/>
      <c r="CR350" s="32"/>
      <c r="CS350" s="32"/>
      <c r="CT350" s="32"/>
      <c r="CU350" s="32"/>
      <c r="CV350" s="32"/>
      <c r="CW350" s="32"/>
      <c r="CX350" s="32"/>
      <c r="CY350" s="32"/>
      <c r="CZ350" s="32"/>
      <c r="DA350" s="32"/>
      <c r="DB350" s="32"/>
      <c r="DC350" s="32"/>
      <c r="DD350" s="32"/>
      <c r="DE350" s="32"/>
      <c r="DF350" s="32"/>
      <c r="DG350" s="32"/>
      <c r="DH350" s="32"/>
      <c r="DI350" s="32"/>
      <c r="DJ350" s="32"/>
      <c r="DK350" s="32"/>
      <c r="DL350" s="32"/>
      <c r="DM350" s="32"/>
      <c r="DN350" s="32"/>
      <c r="DO350" s="32"/>
      <c r="DP350" s="32"/>
      <c r="DQ350" s="32"/>
      <c r="DR350" s="32"/>
      <c r="DS350" s="32"/>
      <c r="DT350" s="32"/>
      <c r="DU350" s="32"/>
      <c r="DV350" s="32"/>
      <c r="DW350" s="32"/>
      <c r="DX350" s="32"/>
      <c r="DY350" s="32"/>
      <c r="DZ350" s="32"/>
      <c r="EA350" s="32"/>
      <c r="EB350" s="32"/>
      <c r="EC350" s="32"/>
      <c r="ED350" s="32"/>
      <c r="EE350" s="32"/>
      <c r="EF350" s="32"/>
      <c r="EG350" s="32"/>
      <c r="EH350" s="32"/>
      <c r="EI350" s="32"/>
      <c r="EJ350" s="32"/>
      <c r="EK350" s="32"/>
    </row>
    <row r="351" spans="42:141">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c r="CK351" s="32"/>
      <c r="CL351" s="32"/>
      <c r="CM351" s="32"/>
      <c r="CN351" s="32"/>
      <c r="CO351" s="32"/>
      <c r="CP351" s="32"/>
      <c r="CQ351" s="32"/>
      <c r="CR351" s="32"/>
      <c r="CS351" s="32"/>
      <c r="CT351" s="32"/>
      <c r="CU351" s="32"/>
      <c r="CV351" s="32"/>
      <c r="CW351" s="32"/>
      <c r="CX351" s="32"/>
      <c r="CY351" s="32"/>
      <c r="CZ351" s="32"/>
      <c r="DA351" s="32"/>
      <c r="DB351" s="32"/>
      <c r="DC351" s="32"/>
      <c r="DD351" s="32"/>
      <c r="DE351" s="32"/>
      <c r="DF351" s="32"/>
      <c r="DG351" s="32"/>
      <c r="DH351" s="32"/>
      <c r="DI351" s="32"/>
      <c r="DJ351" s="32"/>
      <c r="DK351" s="32"/>
      <c r="DL351" s="32"/>
      <c r="DM351" s="32"/>
      <c r="DN351" s="32"/>
      <c r="DO351" s="32"/>
      <c r="DP351" s="32"/>
      <c r="DQ351" s="32"/>
      <c r="DR351" s="32"/>
      <c r="DS351" s="32"/>
      <c r="DT351" s="32"/>
      <c r="DU351" s="32"/>
      <c r="DV351" s="32"/>
      <c r="DW351" s="32"/>
      <c r="DX351" s="32"/>
      <c r="DY351" s="32"/>
      <c r="DZ351" s="32"/>
      <c r="EA351" s="32"/>
      <c r="EB351" s="32"/>
      <c r="EC351" s="32"/>
      <c r="ED351" s="32"/>
      <c r="EE351" s="32"/>
      <c r="EF351" s="32"/>
      <c r="EG351" s="32"/>
      <c r="EH351" s="32"/>
      <c r="EI351" s="32"/>
      <c r="EJ351" s="32"/>
      <c r="EK351" s="32"/>
    </row>
    <row r="352" spans="42:141">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c r="CK352" s="32"/>
      <c r="CL352" s="32"/>
      <c r="CM352" s="32"/>
      <c r="CN352" s="32"/>
      <c r="CO352" s="32"/>
      <c r="CP352" s="32"/>
      <c r="CQ352" s="32"/>
      <c r="CR352" s="32"/>
      <c r="CS352" s="32"/>
      <c r="CT352" s="32"/>
      <c r="CU352" s="32"/>
      <c r="CV352" s="32"/>
      <c r="CW352" s="32"/>
      <c r="CX352" s="32"/>
      <c r="CY352" s="32"/>
      <c r="CZ352" s="32"/>
      <c r="DA352" s="32"/>
      <c r="DB352" s="32"/>
      <c r="DC352" s="32"/>
      <c r="DD352" s="32"/>
      <c r="DE352" s="32"/>
      <c r="DF352" s="32"/>
      <c r="DG352" s="32"/>
      <c r="DH352" s="32"/>
      <c r="DI352" s="32"/>
      <c r="DJ352" s="32"/>
      <c r="DK352" s="32"/>
      <c r="DL352" s="32"/>
      <c r="DM352" s="32"/>
      <c r="DN352" s="32"/>
      <c r="DO352" s="32"/>
      <c r="DP352" s="32"/>
      <c r="DQ352" s="32"/>
      <c r="DR352" s="32"/>
      <c r="DS352" s="32"/>
      <c r="DT352" s="32"/>
      <c r="DU352" s="32"/>
      <c r="DV352" s="32"/>
      <c r="DW352" s="32"/>
      <c r="DX352" s="32"/>
      <c r="DY352" s="32"/>
      <c r="DZ352" s="32"/>
      <c r="EA352" s="32"/>
      <c r="EB352" s="32"/>
      <c r="EC352" s="32"/>
      <c r="ED352" s="32"/>
      <c r="EE352" s="32"/>
      <c r="EF352" s="32"/>
      <c r="EG352" s="32"/>
      <c r="EH352" s="32"/>
      <c r="EI352" s="32"/>
      <c r="EJ352" s="32"/>
      <c r="EK352" s="32"/>
    </row>
    <row r="353" spans="42:141">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c r="CK353" s="32"/>
      <c r="CL353" s="32"/>
      <c r="CM353" s="32"/>
      <c r="CN353" s="32"/>
      <c r="CO353" s="32"/>
      <c r="CP353" s="32"/>
      <c r="CQ353" s="32"/>
      <c r="CR353" s="32"/>
      <c r="CS353" s="32"/>
      <c r="CT353" s="32"/>
      <c r="CU353" s="32"/>
      <c r="CV353" s="32"/>
      <c r="CW353" s="32"/>
      <c r="CX353" s="32"/>
      <c r="CY353" s="32"/>
      <c r="CZ353" s="32"/>
      <c r="DA353" s="32"/>
      <c r="DB353" s="32"/>
      <c r="DC353" s="32"/>
      <c r="DD353" s="32"/>
      <c r="DE353" s="32"/>
      <c r="DF353" s="32"/>
      <c r="DG353" s="32"/>
      <c r="DH353" s="32"/>
      <c r="DI353" s="32"/>
      <c r="DJ353" s="32"/>
      <c r="DK353" s="32"/>
      <c r="DL353" s="32"/>
      <c r="DM353" s="32"/>
      <c r="DN353" s="32"/>
      <c r="DO353" s="32"/>
      <c r="DP353" s="32"/>
      <c r="DQ353" s="32"/>
      <c r="DR353" s="32"/>
      <c r="DS353" s="32"/>
      <c r="DT353" s="32"/>
      <c r="DU353" s="32"/>
      <c r="DV353" s="32"/>
      <c r="DW353" s="32"/>
      <c r="DX353" s="32"/>
      <c r="DY353" s="32"/>
      <c r="DZ353" s="32"/>
      <c r="EA353" s="32"/>
      <c r="EB353" s="32"/>
      <c r="EC353" s="32"/>
      <c r="ED353" s="32"/>
      <c r="EE353" s="32"/>
      <c r="EF353" s="32"/>
      <c r="EG353" s="32"/>
      <c r="EH353" s="32"/>
      <c r="EI353" s="32"/>
      <c r="EJ353" s="32"/>
      <c r="EK353" s="32"/>
    </row>
    <row r="354" spans="42:141">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c r="CK354" s="32"/>
      <c r="CL354" s="32"/>
      <c r="CM354" s="32"/>
      <c r="CN354" s="32"/>
      <c r="CO354" s="32"/>
      <c r="CP354" s="32"/>
      <c r="CQ354" s="32"/>
      <c r="CR354" s="32"/>
      <c r="CS354" s="32"/>
      <c r="CT354" s="32"/>
      <c r="CU354" s="32"/>
      <c r="CV354" s="32"/>
      <c r="CW354" s="32"/>
      <c r="CX354" s="32"/>
      <c r="CY354" s="32"/>
      <c r="CZ354" s="32"/>
      <c r="DA354" s="32"/>
      <c r="DB354" s="32"/>
      <c r="DC354" s="32"/>
      <c r="DD354" s="32"/>
      <c r="DE354" s="32"/>
      <c r="DF354" s="32"/>
      <c r="DG354" s="32"/>
      <c r="DH354" s="32"/>
      <c r="DI354" s="32"/>
      <c r="DJ354" s="32"/>
      <c r="DK354" s="32"/>
      <c r="DL354" s="32"/>
      <c r="DM354" s="32"/>
      <c r="DN354" s="32"/>
      <c r="DO354" s="32"/>
      <c r="DP354" s="32"/>
      <c r="DQ354" s="32"/>
      <c r="DR354" s="32"/>
      <c r="DS354" s="32"/>
      <c r="DT354" s="32"/>
      <c r="DU354" s="32"/>
      <c r="DV354" s="32"/>
      <c r="DW354" s="32"/>
      <c r="DX354" s="32"/>
      <c r="DY354" s="32"/>
      <c r="DZ354" s="32"/>
      <c r="EA354" s="32"/>
      <c r="EB354" s="32"/>
      <c r="EC354" s="32"/>
      <c r="ED354" s="32"/>
      <c r="EE354" s="32"/>
      <c r="EF354" s="32"/>
      <c r="EG354" s="32"/>
      <c r="EH354" s="32"/>
      <c r="EI354" s="32"/>
      <c r="EJ354" s="32"/>
      <c r="EK354" s="32"/>
    </row>
    <row r="355" spans="42:141">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c r="CV355" s="32"/>
      <c r="CW355" s="32"/>
      <c r="CX355" s="32"/>
      <c r="CY355" s="32"/>
      <c r="CZ355" s="32"/>
      <c r="DA355" s="32"/>
      <c r="DB355" s="32"/>
      <c r="DC355" s="32"/>
      <c r="DD355" s="32"/>
      <c r="DE355" s="32"/>
      <c r="DF355" s="32"/>
      <c r="DG355" s="32"/>
      <c r="DH355" s="32"/>
      <c r="DI355" s="32"/>
      <c r="DJ355" s="32"/>
      <c r="DK355" s="32"/>
      <c r="DL355" s="32"/>
      <c r="DM355" s="32"/>
      <c r="DN355" s="32"/>
      <c r="DO355" s="32"/>
      <c r="DP355" s="32"/>
      <c r="DQ355" s="32"/>
      <c r="DR355" s="32"/>
      <c r="DS355" s="32"/>
      <c r="DT355" s="32"/>
      <c r="DU355" s="32"/>
      <c r="DV355" s="32"/>
      <c r="DW355" s="32"/>
      <c r="DX355" s="32"/>
      <c r="DY355" s="32"/>
      <c r="DZ355" s="32"/>
      <c r="EA355" s="32"/>
      <c r="EB355" s="32"/>
      <c r="EC355" s="32"/>
      <c r="ED355" s="32"/>
      <c r="EE355" s="32"/>
      <c r="EF355" s="32"/>
      <c r="EG355" s="32"/>
      <c r="EH355" s="32"/>
      <c r="EI355" s="32"/>
      <c r="EJ355" s="32"/>
      <c r="EK355" s="32"/>
    </row>
    <row r="356" spans="42:141">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c r="CV356" s="32"/>
      <c r="CW356" s="32"/>
      <c r="CX356" s="32"/>
      <c r="CY356" s="32"/>
      <c r="CZ356" s="32"/>
      <c r="DA356" s="32"/>
      <c r="DB356" s="32"/>
      <c r="DC356" s="32"/>
      <c r="DD356" s="32"/>
      <c r="DE356" s="32"/>
      <c r="DF356" s="32"/>
      <c r="DG356" s="32"/>
      <c r="DH356" s="32"/>
      <c r="DI356" s="32"/>
      <c r="DJ356" s="32"/>
      <c r="DK356" s="32"/>
      <c r="DL356" s="32"/>
      <c r="DM356" s="32"/>
      <c r="DN356" s="32"/>
      <c r="DO356" s="32"/>
      <c r="DP356" s="32"/>
      <c r="DQ356" s="32"/>
      <c r="DR356" s="32"/>
      <c r="DS356" s="32"/>
      <c r="DT356" s="32"/>
      <c r="DU356" s="32"/>
      <c r="DV356" s="32"/>
      <c r="DW356" s="32"/>
      <c r="DX356" s="32"/>
      <c r="DY356" s="32"/>
      <c r="DZ356" s="32"/>
      <c r="EA356" s="32"/>
      <c r="EB356" s="32"/>
      <c r="EC356" s="32"/>
      <c r="ED356" s="32"/>
      <c r="EE356" s="32"/>
      <c r="EF356" s="32"/>
      <c r="EG356" s="32"/>
      <c r="EH356" s="32"/>
      <c r="EI356" s="32"/>
      <c r="EJ356" s="32"/>
      <c r="EK356" s="32"/>
    </row>
    <row r="357" spans="42:141">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c r="CK357" s="32"/>
      <c r="CL357" s="32"/>
      <c r="CM357" s="32"/>
      <c r="CN357" s="32"/>
      <c r="CO357" s="32"/>
      <c r="CP357" s="32"/>
      <c r="CQ357" s="32"/>
      <c r="CR357" s="32"/>
      <c r="CS357" s="32"/>
      <c r="CT357" s="32"/>
      <c r="CU357" s="32"/>
      <c r="CV357" s="32"/>
      <c r="CW357" s="32"/>
      <c r="CX357" s="32"/>
      <c r="CY357" s="32"/>
      <c r="CZ357" s="32"/>
      <c r="DA357" s="32"/>
      <c r="DB357" s="32"/>
      <c r="DC357" s="32"/>
      <c r="DD357" s="32"/>
      <c r="DE357" s="32"/>
      <c r="DF357" s="32"/>
      <c r="DG357" s="32"/>
      <c r="DH357" s="32"/>
      <c r="DI357" s="32"/>
      <c r="DJ357" s="32"/>
      <c r="DK357" s="32"/>
      <c r="DL357" s="32"/>
      <c r="DM357" s="32"/>
      <c r="DN357" s="32"/>
      <c r="DO357" s="32"/>
      <c r="DP357" s="32"/>
      <c r="DQ357" s="32"/>
      <c r="DR357" s="32"/>
      <c r="DS357" s="32"/>
      <c r="DT357" s="32"/>
      <c r="DU357" s="32"/>
      <c r="DV357" s="32"/>
      <c r="DW357" s="32"/>
      <c r="DX357" s="32"/>
      <c r="DY357" s="32"/>
      <c r="DZ357" s="32"/>
      <c r="EA357" s="32"/>
      <c r="EB357" s="32"/>
      <c r="EC357" s="32"/>
      <c r="ED357" s="32"/>
      <c r="EE357" s="32"/>
      <c r="EF357" s="32"/>
      <c r="EG357" s="32"/>
      <c r="EH357" s="32"/>
      <c r="EI357" s="32"/>
      <c r="EJ357" s="32"/>
      <c r="EK357" s="32"/>
    </row>
    <row r="358" spans="42:141">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c r="CK358" s="32"/>
      <c r="CL358" s="32"/>
      <c r="CM358" s="32"/>
      <c r="CN358" s="32"/>
      <c r="CO358" s="32"/>
      <c r="CP358" s="32"/>
      <c r="CQ358" s="32"/>
      <c r="CR358" s="32"/>
      <c r="CS358" s="32"/>
      <c r="CT358" s="32"/>
      <c r="CU358" s="32"/>
      <c r="CV358" s="32"/>
      <c r="CW358" s="32"/>
      <c r="CX358" s="32"/>
      <c r="CY358" s="32"/>
      <c r="CZ358" s="32"/>
      <c r="DA358" s="32"/>
      <c r="DB358" s="32"/>
      <c r="DC358" s="32"/>
      <c r="DD358" s="32"/>
      <c r="DE358" s="32"/>
      <c r="DF358" s="32"/>
      <c r="DG358" s="32"/>
      <c r="DH358" s="32"/>
      <c r="DI358" s="32"/>
      <c r="DJ358" s="32"/>
      <c r="DK358" s="32"/>
      <c r="DL358" s="32"/>
      <c r="DM358" s="32"/>
      <c r="DN358" s="32"/>
      <c r="DO358" s="32"/>
      <c r="DP358" s="32"/>
      <c r="DQ358" s="32"/>
      <c r="DR358" s="32"/>
      <c r="DS358" s="32"/>
      <c r="DT358" s="32"/>
      <c r="DU358" s="32"/>
      <c r="DV358" s="32"/>
      <c r="DW358" s="32"/>
      <c r="DX358" s="32"/>
      <c r="DY358" s="32"/>
      <c r="DZ358" s="32"/>
      <c r="EA358" s="32"/>
      <c r="EB358" s="32"/>
      <c r="EC358" s="32"/>
      <c r="ED358" s="32"/>
      <c r="EE358" s="32"/>
      <c r="EF358" s="32"/>
      <c r="EG358" s="32"/>
      <c r="EH358" s="32"/>
      <c r="EI358" s="32"/>
      <c r="EJ358" s="32"/>
      <c r="EK358" s="32"/>
    </row>
    <row r="359" spans="42:141">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c r="CV359" s="32"/>
      <c r="CW359" s="32"/>
      <c r="CX359" s="32"/>
      <c r="CY359" s="32"/>
      <c r="CZ359" s="32"/>
      <c r="DA359" s="32"/>
      <c r="DB359" s="32"/>
      <c r="DC359" s="32"/>
      <c r="DD359" s="32"/>
      <c r="DE359" s="32"/>
      <c r="DF359" s="32"/>
      <c r="DG359" s="32"/>
      <c r="DH359" s="32"/>
      <c r="DI359" s="32"/>
      <c r="DJ359" s="32"/>
      <c r="DK359" s="32"/>
      <c r="DL359" s="32"/>
      <c r="DM359" s="32"/>
      <c r="DN359" s="32"/>
      <c r="DO359" s="32"/>
      <c r="DP359" s="32"/>
      <c r="DQ359" s="32"/>
      <c r="DR359" s="32"/>
      <c r="DS359" s="32"/>
      <c r="DT359" s="32"/>
      <c r="DU359" s="32"/>
      <c r="DV359" s="32"/>
      <c r="DW359" s="32"/>
      <c r="DX359" s="32"/>
      <c r="DY359" s="32"/>
      <c r="DZ359" s="32"/>
      <c r="EA359" s="32"/>
      <c r="EB359" s="32"/>
      <c r="EC359" s="32"/>
      <c r="ED359" s="32"/>
      <c r="EE359" s="32"/>
      <c r="EF359" s="32"/>
      <c r="EG359" s="32"/>
      <c r="EH359" s="32"/>
      <c r="EI359" s="32"/>
      <c r="EJ359" s="32"/>
      <c r="EK359" s="32"/>
    </row>
    <row r="360" spans="42:141">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c r="CL360" s="32"/>
      <c r="CM360" s="32"/>
      <c r="CN360" s="32"/>
      <c r="CO360" s="32"/>
      <c r="CP360" s="32"/>
      <c r="CQ360" s="32"/>
      <c r="CR360" s="32"/>
      <c r="CS360" s="32"/>
      <c r="CT360" s="32"/>
      <c r="CU360" s="32"/>
      <c r="CV360" s="32"/>
      <c r="CW360" s="32"/>
      <c r="CX360" s="32"/>
      <c r="CY360" s="32"/>
      <c r="CZ360" s="32"/>
      <c r="DA360" s="32"/>
      <c r="DB360" s="32"/>
      <c r="DC360" s="32"/>
      <c r="DD360" s="32"/>
      <c r="DE360" s="32"/>
      <c r="DF360" s="32"/>
      <c r="DG360" s="32"/>
      <c r="DH360" s="32"/>
      <c r="DI360" s="32"/>
      <c r="DJ360" s="32"/>
      <c r="DK360" s="32"/>
      <c r="DL360" s="32"/>
      <c r="DM360" s="32"/>
      <c r="DN360" s="32"/>
      <c r="DO360" s="32"/>
      <c r="DP360" s="32"/>
      <c r="DQ360" s="32"/>
      <c r="DR360" s="32"/>
      <c r="DS360" s="32"/>
      <c r="DT360" s="32"/>
      <c r="DU360" s="32"/>
      <c r="DV360" s="32"/>
      <c r="DW360" s="32"/>
      <c r="DX360" s="32"/>
      <c r="DY360" s="32"/>
      <c r="DZ360" s="32"/>
      <c r="EA360" s="32"/>
      <c r="EB360" s="32"/>
      <c r="EC360" s="32"/>
      <c r="ED360" s="32"/>
      <c r="EE360" s="32"/>
      <c r="EF360" s="32"/>
      <c r="EG360" s="32"/>
      <c r="EH360" s="32"/>
      <c r="EI360" s="32"/>
      <c r="EJ360" s="32"/>
      <c r="EK360" s="32"/>
    </row>
    <row r="361" spans="42:141">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c r="CL361" s="32"/>
      <c r="CM361" s="32"/>
      <c r="CN361" s="32"/>
      <c r="CO361" s="32"/>
      <c r="CP361" s="32"/>
      <c r="CQ361" s="32"/>
      <c r="CR361" s="32"/>
      <c r="CS361" s="32"/>
      <c r="CT361" s="32"/>
      <c r="CU361" s="32"/>
      <c r="CV361" s="32"/>
      <c r="CW361" s="32"/>
      <c r="CX361" s="32"/>
      <c r="CY361" s="32"/>
      <c r="CZ361" s="32"/>
      <c r="DA361" s="32"/>
      <c r="DB361" s="32"/>
      <c r="DC361" s="32"/>
      <c r="DD361" s="32"/>
      <c r="DE361" s="32"/>
      <c r="DF361" s="32"/>
      <c r="DG361" s="32"/>
      <c r="DH361" s="32"/>
      <c r="DI361" s="32"/>
      <c r="DJ361" s="32"/>
      <c r="DK361" s="32"/>
      <c r="DL361" s="32"/>
      <c r="DM361" s="32"/>
      <c r="DN361" s="32"/>
      <c r="DO361" s="32"/>
      <c r="DP361" s="32"/>
      <c r="DQ361" s="32"/>
      <c r="DR361" s="32"/>
      <c r="DS361" s="32"/>
      <c r="DT361" s="32"/>
      <c r="DU361" s="32"/>
      <c r="DV361" s="32"/>
      <c r="DW361" s="32"/>
      <c r="DX361" s="32"/>
      <c r="DY361" s="32"/>
      <c r="DZ361" s="32"/>
      <c r="EA361" s="32"/>
      <c r="EB361" s="32"/>
      <c r="EC361" s="32"/>
      <c r="ED361" s="32"/>
      <c r="EE361" s="32"/>
      <c r="EF361" s="32"/>
      <c r="EG361" s="32"/>
      <c r="EH361" s="32"/>
      <c r="EI361" s="32"/>
      <c r="EJ361" s="32"/>
      <c r="EK361" s="32"/>
    </row>
    <row r="362" spans="42:141">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c r="CL362" s="32"/>
      <c r="CM362" s="32"/>
      <c r="CN362" s="32"/>
      <c r="CO362" s="32"/>
      <c r="CP362" s="32"/>
      <c r="CQ362" s="32"/>
      <c r="CR362" s="32"/>
      <c r="CS362" s="32"/>
      <c r="CT362" s="32"/>
      <c r="CU362" s="32"/>
      <c r="CV362" s="32"/>
      <c r="CW362" s="32"/>
      <c r="CX362" s="32"/>
      <c r="CY362" s="32"/>
      <c r="CZ362" s="32"/>
      <c r="DA362" s="32"/>
      <c r="DB362" s="32"/>
      <c r="DC362" s="32"/>
      <c r="DD362" s="32"/>
      <c r="DE362" s="32"/>
      <c r="DF362" s="32"/>
      <c r="DG362" s="32"/>
      <c r="DH362" s="32"/>
      <c r="DI362" s="32"/>
      <c r="DJ362" s="32"/>
      <c r="DK362" s="32"/>
      <c r="DL362" s="32"/>
      <c r="DM362" s="32"/>
      <c r="DN362" s="32"/>
      <c r="DO362" s="32"/>
      <c r="DP362" s="32"/>
      <c r="DQ362" s="32"/>
      <c r="DR362" s="32"/>
      <c r="DS362" s="32"/>
      <c r="DT362" s="32"/>
      <c r="DU362" s="32"/>
      <c r="DV362" s="32"/>
      <c r="DW362" s="32"/>
      <c r="DX362" s="32"/>
      <c r="DY362" s="32"/>
      <c r="DZ362" s="32"/>
      <c r="EA362" s="32"/>
      <c r="EB362" s="32"/>
      <c r="EC362" s="32"/>
      <c r="ED362" s="32"/>
      <c r="EE362" s="32"/>
      <c r="EF362" s="32"/>
      <c r="EG362" s="32"/>
      <c r="EH362" s="32"/>
      <c r="EI362" s="32"/>
      <c r="EJ362" s="32"/>
      <c r="EK362" s="32"/>
    </row>
    <row r="363" spans="42:141">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c r="CL363" s="32"/>
      <c r="CM363" s="32"/>
      <c r="CN363" s="32"/>
      <c r="CO363" s="32"/>
      <c r="CP363" s="32"/>
      <c r="CQ363" s="32"/>
      <c r="CR363" s="32"/>
      <c r="CS363" s="32"/>
      <c r="CT363" s="32"/>
      <c r="CU363" s="32"/>
      <c r="CV363" s="32"/>
      <c r="CW363" s="32"/>
      <c r="CX363" s="32"/>
      <c r="CY363" s="32"/>
      <c r="CZ363" s="32"/>
      <c r="DA363" s="32"/>
      <c r="DB363" s="32"/>
      <c r="DC363" s="32"/>
      <c r="DD363" s="32"/>
      <c r="DE363" s="32"/>
      <c r="DF363" s="32"/>
      <c r="DG363" s="32"/>
      <c r="DH363" s="32"/>
      <c r="DI363" s="32"/>
      <c r="DJ363" s="32"/>
      <c r="DK363" s="32"/>
      <c r="DL363" s="32"/>
      <c r="DM363" s="32"/>
      <c r="DN363" s="32"/>
      <c r="DO363" s="32"/>
      <c r="DP363" s="32"/>
      <c r="DQ363" s="32"/>
      <c r="DR363" s="32"/>
      <c r="DS363" s="32"/>
      <c r="DT363" s="32"/>
      <c r="DU363" s="32"/>
      <c r="DV363" s="32"/>
      <c r="DW363" s="32"/>
      <c r="DX363" s="32"/>
      <c r="DY363" s="32"/>
      <c r="DZ363" s="32"/>
      <c r="EA363" s="32"/>
      <c r="EB363" s="32"/>
      <c r="EC363" s="32"/>
      <c r="ED363" s="32"/>
      <c r="EE363" s="32"/>
      <c r="EF363" s="32"/>
      <c r="EG363" s="32"/>
      <c r="EH363" s="32"/>
      <c r="EI363" s="32"/>
      <c r="EJ363" s="32"/>
      <c r="EK363" s="32"/>
    </row>
    <row r="364" spans="42:141">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c r="CL364" s="32"/>
      <c r="CM364" s="32"/>
      <c r="CN364" s="32"/>
      <c r="CO364" s="32"/>
      <c r="CP364" s="32"/>
      <c r="CQ364" s="32"/>
      <c r="CR364" s="32"/>
      <c r="CS364" s="32"/>
      <c r="CT364" s="32"/>
      <c r="CU364" s="32"/>
      <c r="CV364" s="32"/>
      <c r="CW364" s="32"/>
      <c r="CX364" s="32"/>
      <c r="CY364" s="32"/>
      <c r="CZ364" s="32"/>
      <c r="DA364" s="32"/>
      <c r="DB364" s="32"/>
      <c r="DC364" s="32"/>
      <c r="DD364" s="32"/>
      <c r="DE364" s="32"/>
      <c r="DF364" s="32"/>
      <c r="DG364" s="32"/>
      <c r="DH364" s="32"/>
      <c r="DI364" s="32"/>
      <c r="DJ364" s="32"/>
      <c r="DK364" s="32"/>
      <c r="DL364" s="32"/>
      <c r="DM364" s="32"/>
      <c r="DN364" s="32"/>
      <c r="DO364" s="32"/>
      <c r="DP364" s="32"/>
      <c r="DQ364" s="32"/>
      <c r="DR364" s="32"/>
      <c r="DS364" s="32"/>
      <c r="DT364" s="32"/>
      <c r="DU364" s="32"/>
      <c r="DV364" s="32"/>
      <c r="DW364" s="32"/>
      <c r="DX364" s="32"/>
      <c r="DY364" s="32"/>
      <c r="DZ364" s="32"/>
      <c r="EA364" s="32"/>
      <c r="EB364" s="32"/>
      <c r="EC364" s="32"/>
      <c r="ED364" s="32"/>
      <c r="EE364" s="32"/>
      <c r="EF364" s="32"/>
      <c r="EG364" s="32"/>
      <c r="EH364" s="32"/>
      <c r="EI364" s="32"/>
      <c r="EJ364" s="32"/>
      <c r="EK364" s="32"/>
    </row>
    <row r="365" spans="42:141">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c r="CL365" s="32"/>
      <c r="CM365" s="32"/>
      <c r="CN365" s="32"/>
      <c r="CO365" s="32"/>
      <c r="CP365" s="32"/>
      <c r="CQ365" s="32"/>
      <c r="CR365" s="32"/>
      <c r="CS365" s="32"/>
      <c r="CT365" s="32"/>
      <c r="CU365" s="32"/>
      <c r="CV365" s="32"/>
      <c r="CW365" s="32"/>
      <c r="CX365" s="32"/>
      <c r="CY365" s="32"/>
      <c r="CZ365" s="32"/>
      <c r="DA365" s="32"/>
      <c r="DB365" s="32"/>
      <c r="DC365" s="32"/>
      <c r="DD365" s="32"/>
      <c r="DE365" s="32"/>
      <c r="DF365" s="32"/>
      <c r="DG365" s="32"/>
      <c r="DH365" s="32"/>
      <c r="DI365" s="32"/>
      <c r="DJ365" s="32"/>
      <c r="DK365" s="32"/>
      <c r="DL365" s="32"/>
      <c r="DM365" s="32"/>
      <c r="DN365" s="32"/>
      <c r="DO365" s="32"/>
      <c r="DP365" s="32"/>
      <c r="DQ365" s="32"/>
      <c r="DR365" s="32"/>
      <c r="DS365" s="32"/>
      <c r="DT365" s="32"/>
      <c r="DU365" s="32"/>
      <c r="DV365" s="32"/>
      <c r="DW365" s="32"/>
      <c r="DX365" s="32"/>
      <c r="DY365" s="32"/>
      <c r="DZ365" s="32"/>
      <c r="EA365" s="32"/>
      <c r="EB365" s="32"/>
      <c r="EC365" s="32"/>
      <c r="ED365" s="32"/>
      <c r="EE365" s="32"/>
      <c r="EF365" s="32"/>
      <c r="EG365" s="32"/>
      <c r="EH365" s="32"/>
      <c r="EI365" s="32"/>
      <c r="EJ365" s="32"/>
      <c r="EK365" s="32"/>
    </row>
    <row r="366" spans="42:141">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c r="CL366" s="32"/>
      <c r="CM366" s="32"/>
      <c r="CN366" s="32"/>
      <c r="CO366" s="32"/>
      <c r="CP366" s="32"/>
      <c r="CQ366" s="32"/>
      <c r="CR366" s="32"/>
      <c r="CS366" s="32"/>
      <c r="CT366" s="32"/>
      <c r="CU366" s="32"/>
      <c r="CV366" s="32"/>
      <c r="CW366" s="32"/>
      <c r="CX366" s="32"/>
      <c r="CY366" s="32"/>
      <c r="CZ366" s="32"/>
      <c r="DA366" s="32"/>
      <c r="DB366" s="32"/>
      <c r="DC366" s="32"/>
      <c r="DD366" s="32"/>
      <c r="DE366" s="32"/>
      <c r="DF366" s="32"/>
      <c r="DG366" s="32"/>
      <c r="DH366" s="32"/>
      <c r="DI366" s="32"/>
      <c r="DJ366" s="32"/>
      <c r="DK366" s="32"/>
      <c r="DL366" s="32"/>
      <c r="DM366" s="32"/>
      <c r="DN366" s="32"/>
      <c r="DO366" s="32"/>
      <c r="DP366" s="32"/>
      <c r="DQ366" s="32"/>
      <c r="DR366" s="32"/>
      <c r="DS366" s="32"/>
      <c r="DT366" s="32"/>
      <c r="DU366" s="32"/>
      <c r="DV366" s="32"/>
      <c r="DW366" s="32"/>
      <c r="DX366" s="32"/>
      <c r="DY366" s="32"/>
      <c r="DZ366" s="32"/>
      <c r="EA366" s="32"/>
      <c r="EB366" s="32"/>
      <c r="EC366" s="32"/>
      <c r="ED366" s="32"/>
      <c r="EE366" s="32"/>
      <c r="EF366" s="32"/>
      <c r="EG366" s="32"/>
      <c r="EH366" s="32"/>
      <c r="EI366" s="32"/>
      <c r="EJ366" s="32"/>
      <c r="EK366" s="32"/>
    </row>
    <row r="367" spans="42:141">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c r="CL367" s="32"/>
      <c r="CM367" s="32"/>
      <c r="CN367" s="32"/>
      <c r="CO367" s="32"/>
      <c r="CP367" s="32"/>
      <c r="CQ367" s="32"/>
      <c r="CR367" s="32"/>
      <c r="CS367" s="32"/>
      <c r="CT367" s="32"/>
      <c r="CU367" s="32"/>
      <c r="CV367" s="32"/>
      <c r="CW367" s="32"/>
      <c r="CX367" s="32"/>
      <c r="CY367" s="32"/>
      <c r="CZ367" s="32"/>
      <c r="DA367" s="32"/>
      <c r="DB367" s="32"/>
      <c r="DC367" s="32"/>
      <c r="DD367" s="32"/>
      <c r="DE367" s="32"/>
      <c r="DF367" s="32"/>
      <c r="DG367" s="32"/>
      <c r="DH367" s="32"/>
      <c r="DI367" s="32"/>
      <c r="DJ367" s="32"/>
      <c r="DK367" s="32"/>
      <c r="DL367" s="32"/>
      <c r="DM367" s="32"/>
      <c r="DN367" s="32"/>
      <c r="DO367" s="32"/>
      <c r="DP367" s="32"/>
      <c r="DQ367" s="32"/>
      <c r="DR367" s="32"/>
      <c r="DS367" s="32"/>
      <c r="DT367" s="32"/>
      <c r="DU367" s="32"/>
      <c r="DV367" s="32"/>
      <c r="DW367" s="32"/>
      <c r="DX367" s="32"/>
      <c r="DY367" s="32"/>
      <c r="DZ367" s="32"/>
      <c r="EA367" s="32"/>
      <c r="EB367" s="32"/>
      <c r="EC367" s="32"/>
      <c r="ED367" s="32"/>
      <c r="EE367" s="32"/>
      <c r="EF367" s="32"/>
      <c r="EG367" s="32"/>
      <c r="EH367" s="32"/>
      <c r="EI367" s="32"/>
      <c r="EJ367" s="32"/>
      <c r="EK367" s="32"/>
    </row>
    <row r="368" spans="42:141">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32"/>
      <c r="CU368" s="32"/>
      <c r="CV368" s="32"/>
      <c r="CW368" s="32"/>
      <c r="CX368" s="32"/>
      <c r="CY368" s="32"/>
      <c r="CZ368" s="32"/>
      <c r="DA368" s="32"/>
      <c r="DB368" s="32"/>
      <c r="DC368" s="32"/>
      <c r="DD368" s="32"/>
      <c r="DE368" s="32"/>
      <c r="DF368" s="32"/>
      <c r="DG368" s="32"/>
      <c r="DH368" s="32"/>
      <c r="DI368" s="32"/>
      <c r="DJ368" s="32"/>
      <c r="DK368" s="32"/>
      <c r="DL368" s="32"/>
      <c r="DM368" s="32"/>
      <c r="DN368" s="32"/>
      <c r="DO368" s="32"/>
      <c r="DP368" s="32"/>
      <c r="DQ368" s="32"/>
      <c r="DR368" s="32"/>
      <c r="DS368" s="32"/>
      <c r="DT368" s="32"/>
      <c r="DU368" s="32"/>
      <c r="DV368" s="32"/>
      <c r="DW368" s="32"/>
      <c r="DX368" s="32"/>
      <c r="DY368" s="32"/>
      <c r="DZ368" s="32"/>
      <c r="EA368" s="32"/>
      <c r="EB368" s="32"/>
      <c r="EC368" s="32"/>
      <c r="ED368" s="32"/>
      <c r="EE368" s="32"/>
      <c r="EF368" s="32"/>
      <c r="EG368" s="32"/>
      <c r="EH368" s="32"/>
      <c r="EI368" s="32"/>
      <c r="EJ368" s="32"/>
      <c r="EK368" s="32"/>
    </row>
    <row r="369" spans="42:141">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32"/>
      <c r="CU369" s="32"/>
      <c r="CV369" s="32"/>
      <c r="CW369" s="32"/>
      <c r="CX369" s="32"/>
      <c r="CY369" s="32"/>
      <c r="CZ369" s="32"/>
      <c r="DA369" s="32"/>
      <c r="DB369" s="32"/>
      <c r="DC369" s="32"/>
      <c r="DD369" s="32"/>
      <c r="DE369" s="32"/>
      <c r="DF369" s="32"/>
      <c r="DG369" s="32"/>
      <c r="DH369" s="32"/>
      <c r="DI369" s="32"/>
      <c r="DJ369" s="32"/>
      <c r="DK369" s="32"/>
      <c r="DL369" s="32"/>
      <c r="DM369" s="32"/>
      <c r="DN369" s="32"/>
      <c r="DO369" s="32"/>
      <c r="DP369" s="32"/>
      <c r="DQ369" s="32"/>
      <c r="DR369" s="32"/>
      <c r="DS369" s="32"/>
      <c r="DT369" s="32"/>
      <c r="DU369" s="32"/>
      <c r="DV369" s="32"/>
      <c r="DW369" s="32"/>
      <c r="DX369" s="32"/>
      <c r="DY369" s="32"/>
      <c r="DZ369" s="32"/>
      <c r="EA369" s="32"/>
      <c r="EB369" s="32"/>
      <c r="EC369" s="32"/>
      <c r="ED369" s="32"/>
      <c r="EE369" s="32"/>
      <c r="EF369" s="32"/>
      <c r="EG369" s="32"/>
      <c r="EH369" s="32"/>
      <c r="EI369" s="32"/>
      <c r="EJ369" s="32"/>
      <c r="EK369" s="32"/>
    </row>
    <row r="370" spans="42:141">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32"/>
      <c r="CU370" s="32"/>
      <c r="CV370" s="32"/>
      <c r="CW370" s="32"/>
      <c r="CX370" s="32"/>
      <c r="CY370" s="32"/>
      <c r="CZ370" s="32"/>
      <c r="DA370" s="32"/>
      <c r="DB370" s="32"/>
      <c r="DC370" s="32"/>
      <c r="DD370" s="32"/>
      <c r="DE370" s="32"/>
      <c r="DF370" s="32"/>
      <c r="DG370" s="32"/>
      <c r="DH370" s="32"/>
      <c r="DI370" s="32"/>
      <c r="DJ370" s="32"/>
      <c r="DK370" s="32"/>
      <c r="DL370" s="32"/>
      <c r="DM370" s="32"/>
      <c r="DN370" s="32"/>
      <c r="DO370" s="32"/>
      <c r="DP370" s="32"/>
      <c r="DQ370" s="32"/>
      <c r="DR370" s="32"/>
      <c r="DS370" s="32"/>
      <c r="DT370" s="32"/>
      <c r="DU370" s="32"/>
      <c r="DV370" s="32"/>
      <c r="DW370" s="32"/>
      <c r="DX370" s="32"/>
      <c r="DY370" s="32"/>
      <c r="DZ370" s="32"/>
      <c r="EA370" s="32"/>
      <c r="EB370" s="32"/>
      <c r="EC370" s="32"/>
      <c r="ED370" s="32"/>
      <c r="EE370" s="32"/>
      <c r="EF370" s="32"/>
      <c r="EG370" s="32"/>
      <c r="EH370" s="32"/>
      <c r="EI370" s="32"/>
      <c r="EJ370" s="32"/>
      <c r="EK370" s="32"/>
    </row>
    <row r="371" spans="42:141">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32"/>
      <c r="CU371" s="32"/>
      <c r="CV371" s="32"/>
      <c r="CW371" s="32"/>
      <c r="CX371" s="32"/>
      <c r="CY371" s="32"/>
      <c r="CZ371" s="32"/>
      <c r="DA371" s="32"/>
      <c r="DB371" s="32"/>
      <c r="DC371" s="32"/>
      <c r="DD371" s="32"/>
      <c r="DE371" s="32"/>
      <c r="DF371" s="32"/>
      <c r="DG371" s="32"/>
      <c r="DH371" s="32"/>
      <c r="DI371" s="32"/>
      <c r="DJ371" s="32"/>
      <c r="DK371" s="32"/>
      <c r="DL371" s="32"/>
      <c r="DM371" s="32"/>
      <c r="DN371" s="32"/>
      <c r="DO371" s="32"/>
      <c r="DP371" s="32"/>
      <c r="DQ371" s="32"/>
      <c r="DR371" s="32"/>
      <c r="DS371" s="32"/>
      <c r="DT371" s="32"/>
      <c r="DU371" s="32"/>
      <c r="DV371" s="32"/>
      <c r="DW371" s="32"/>
      <c r="DX371" s="32"/>
      <c r="DY371" s="32"/>
      <c r="DZ371" s="32"/>
      <c r="EA371" s="32"/>
      <c r="EB371" s="32"/>
      <c r="EC371" s="32"/>
      <c r="ED371" s="32"/>
      <c r="EE371" s="32"/>
      <c r="EF371" s="32"/>
      <c r="EG371" s="32"/>
      <c r="EH371" s="32"/>
      <c r="EI371" s="32"/>
      <c r="EJ371" s="32"/>
      <c r="EK371" s="32"/>
    </row>
    <row r="372" spans="42:141">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32"/>
      <c r="CU372" s="32"/>
      <c r="CV372" s="32"/>
      <c r="CW372" s="32"/>
      <c r="CX372" s="32"/>
      <c r="CY372" s="32"/>
      <c r="CZ372" s="32"/>
      <c r="DA372" s="32"/>
      <c r="DB372" s="32"/>
      <c r="DC372" s="32"/>
      <c r="DD372" s="32"/>
      <c r="DE372" s="32"/>
      <c r="DF372" s="32"/>
      <c r="DG372" s="32"/>
      <c r="DH372" s="32"/>
      <c r="DI372" s="32"/>
      <c r="DJ372" s="32"/>
      <c r="DK372" s="32"/>
      <c r="DL372" s="32"/>
      <c r="DM372" s="32"/>
      <c r="DN372" s="32"/>
      <c r="DO372" s="32"/>
      <c r="DP372" s="32"/>
      <c r="DQ372" s="32"/>
      <c r="DR372" s="32"/>
      <c r="DS372" s="32"/>
      <c r="DT372" s="32"/>
      <c r="DU372" s="32"/>
      <c r="DV372" s="32"/>
      <c r="DW372" s="32"/>
      <c r="DX372" s="32"/>
      <c r="DY372" s="32"/>
      <c r="DZ372" s="32"/>
      <c r="EA372" s="32"/>
      <c r="EB372" s="32"/>
      <c r="EC372" s="32"/>
      <c r="ED372" s="32"/>
      <c r="EE372" s="32"/>
      <c r="EF372" s="32"/>
      <c r="EG372" s="32"/>
      <c r="EH372" s="32"/>
      <c r="EI372" s="32"/>
      <c r="EJ372" s="32"/>
      <c r="EK372" s="32"/>
    </row>
    <row r="373" spans="42:141">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32"/>
      <c r="CU373" s="32"/>
      <c r="CV373" s="32"/>
      <c r="CW373" s="32"/>
      <c r="CX373" s="32"/>
      <c r="CY373" s="32"/>
      <c r="CZ373" s="32"/>
      <c r="DA373" s="32"/>
      <c r="DB373" s="32"/>
      <c r="DC373" s="32"/>
      <c r="DD373" s="32"/>
      <c r="DE373" s="32"/>
      <c r="DF373" s="32"/>
      <c r="DG373" s="32"/>
      <c r="DH373" s="32"/>
      <c r="DI373" s="32"/>
      <c r="DJ373" s="32"/>
      <c r="DK373" s="32"/>
      <c r="DL373" s="32"/>
      <c r="DM373" s="32"/>
      <c r="DN373" s="32"/>
      <c r="DO373" s="32"/>
      <c r="DP373" s="32"/>
      <c r="DQ373" s="32"/>
      <c r="DR373" s="32"/>
      <c r="DS373" s="32"/>
      <c r="DT373" s="32"/>
      <c r="DU373" s="32"/>
      <c r="DV373" s="32"/>
      <c r="DW373" s="32"/>
      <c r="DX373" s="32"/>
      <c r="DY373" s="32"/>
      <c r="DZ373" s="32"/>
      <c r="EA373" s="32"/>
      <c r="EB373" s="32"/>
      <c r="EC373" s="32"/>
      <c r="ED373" s="32"/>
      <c r="EE373" s="32"/>
      <c r="EF373" s="32"/>
      <c r="EG373" s="32"/>
      <c r="EH373" s="32"/>
      <c r="EI373" s="32"/>
      <c r="EJ373" s="32"/>
      <c r="EK373" s="32"/>
    </row>
    <row r="374" spans="42:141">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32"/>
      <c r="CU374" s="32"/>
      <c r="CV374" s="32"/>
      <c r="CW374" s="32"/>
      <c r="CX374" s="32"/>
      <c r="CY374" s="32"/>
      <c r="CZ374" s="32"/>
      <c r="DA374" s="32"/>
      <c r="DB374" s="32"/>
      <c r="DC374" s="32"/>
      <c r="DD374" s="32"/>
      <c r="DE374" s="32"/>
      <c r="DF374" s="32"/>
      <c r="DG374" s="32"/>
      <c r="DH374" s="32"/>
      <c r="DI374" s="32"/>
      <c r="DJ374" s="32"/>
      <c r="DK374" s="32"/>
      <c r="DL374" s="32"/>
      <c r="DM374" s="32"/>
      <c r="DN374" s="32"/>
      <c r="DO374" s="32"/>
      <c r="DP374" s="32"/>
      <c r="DQ374" s="32"/>
      <c r="DR374" s="32"/>
      <c r="DS374" s="32"/>
      <c r="DT374" s="32"/>
      <c r="DU374" s="32"/>
      <c r="DV374" s="32"/>
      <c r="DW374" s="32"/>
      <c r="DX374" s="32"/>
      <c r="DY374" s="32"/>
      <c r="DZ374" s="32"/>
      <c r="EA374" s="32"/>
      <c r="EB374" s="32"/>
      <c r="EC374" s="32"/>
      <c r="ED374" s="32"/>
      <c r="EE374" s="32"/>
      <c r="EF374" s="32"/>
      <c r="EG374" s="32"/>
      <c r="EH374" s="32"/>
      <c r="EI374" s="32"/>
      <c r="EJ374" s="32"/>
      <c r="EK374" s="32"/>
    </row>
    <row r="375" spans="42:141">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32"/>
      <c r="CU375" s="32"/>
      <c r="CV375" s="32"/>
      <c r="CW375" s="32"/>
      <c r="CX375" s="32"/>
      <c r="CY375" s="32"/>
      <c r="CZ375" s="32"/>
      <c r="DA375" s="32"/>
      <c r="DB375" s="32"/>
      <c r="DC375" s="32"/>
      <c r="DD375" s="32"/>
      <c r="DE375" s="32"/>
      <c r="DF375" s="32"/>
      <c r="DG375" s="32"/>
      <c r="DH375" s="32"/>
      <c r="DI375" s="32"/>
      <c r="DJ375" s="32"/>
      <c r="DK375" s="32"/>
      <c r="DL375" s="32"/>
      <c r="DM375" s="32"/>
      <c r="DN375" s="32"/>
      <c r="DO375" s="32"/>
      <c r="DP375" s="32"/>
      <c r="DQ375" s="32"/>
      <c r="DR375" s="32"/>
      <c r="DS375" s="32"/>
      <c r="DT375" s="32"/>
      <c r="DU375" s="32"/>
      <c r="DV375" s="32"/>
      <c r="DW375" s="32"/>
      <c r="DX375" s="32"/>
      <c r="DY375" s="32"/>
      <c r="DZ375" s="32"/>
      <c r="EA375" s="32"/>
      <c r="EB375" s="32"/>
      <c r="EC375" s="32"/>
      <c r="ED375" s="32"/>
      <c r="EE375" s="32"/>
      <c r="EF375" s="32"/>
      <c r="EG375" s="32"/>
      <c r="EH375" s="32"/>
      <c r="EI375" s="32"/>
      <c r="EJ375" s="32"/>
      <c r="EK375" s="32"/>
    </row>
    <row r="376" spans="42:141">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32"/>
      <c r="CU376" s="32"/>
      <c r="CV376" s="32"/>
      <c r="CW376" s="32"/>
      <c r="CX376" s="32"/>
      <c r="CY376" s="32"/>
      <c r="CZ376" s="32"/>
      <c r="DA376" s="32"/>
      <c r="DB376" s="32"/>
      <c r="DC376" s="32"/>
      <c r="DD376" s="32"/>
      <c r="DE376" s="32"/>
      <c r="DF376" s="32"/>
      <c r="DG376" s="32"/>
      <c r="DH376" s="32"/>
      <c r="DI376" s="32"/>
      <c r="DJ376" s="32"/>
      <c r="DK376" s="32"/>
      <c r="DL376" s="32"/>
      <c r="DM376" s="32"/>
      <c r="DN376" s="32"/>
      <c r="DO376" s="32"/>
      <c r="DP376" s="32"/>
      <c r="DQ376" s="32"/>
      <c r="DR376" s="32"/>
      <c r="DS376" s="32"/>
      <c r="DT376" s="32"/>
      <c r="DU376" s="32"/>
      <c r="DV376" s="32"/>
      <c r="DW376" s="32"/>
      <c r="DX376" s="32"/>
      <c r="DY376" s="32"/>
      <c r="DZ376" s="32"/>
      <c r="EA376" s="32"/>
      <c r="EB376" s="32"/>
      <c r="EC376" s="32"/>
      <c r="ED376" s="32"/>
      <c r="EE376" s="32"/>
      <c r="EF376" s="32"/>
      <c r="EG376" s="32"/>
      <c r="EH376" s="32"/>
      <c r="EI376" s="32"/>
      <c r="EJ376" s="32"/>
      <c r="EK376" s="32"/>
    </row>
    <row r="377" spans="42:141">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c r="CK377" s="32"/>
      <c r="CL377" s="32"/>
      <c r="CM377" s="32"/>
      <c r="CN377" s="32"/>
      <c r="CO377" s="32"/>
      <c r="CP377" s="32"/>
      <c r="CQ377" s="32"/>
      <c r="CR377" s="32"/>
      <c r="CS377" s="32"/>
      <c r="CT377" s="32"/>
      <c r="CU377" s="32"/>
      <c r="CV377" s="32"/>
      <c r="CW377" s="32"/>
      <c r="CX377" s="32"/>
      <c r="CY377" s="32"/>
      <c r="CZ377" s="32"/>
      <c r="DA377" s="32"/>
      <c r="DB377" s="32"/>
      <c r="DC377" s="32"/>
      <c r="DD377" s="32"/>
      <c r="DE377" s="32"/>
      <c r="DF377" s="32"/>
      <c r="DG377" s="32"/>
      <c r="DH377" s="32"/>
      <c r="DI377" s="32"/>
      <c r="DJ377" s="32"/>
      <c r="DK377" s="32"/>
      <c r="DL377" s="32"/>
      <c r="DM377" s="32"/>
      <c r="DN377" s="32"/>
      <c r="DO377" s="32"/>
      <c r="DP377" s="32"/>
      <c r="DQ377" s="32"/>
      <c r="DR377" s="32"/>
      <c r="DS377" s="32"/>
      <c r="DT377" s="32"/>
      <c r="DU377" s="32"/>
      <c r="DV377" s="32"/>
      <c r="DW377" s="32"/>
      <c r="DX377" s="32"/>
      <c r="DY377" s="32"/>
      <c r="DZ377" s="32"/>
      <c r="EA377" s="32"/>
      <c r="EB377" s="32"/>
      <c r="EC377" s="32"/>
      <c r="ED377" s="32"/>
      <c r="EE377" s="32"/>
      <c r="EF377" s="32"/>
      <c r="EG377" s="32"/>
      <c r="EH377" s="32"/>
      <c r="EI377" s="32"/>
      <c r="EJ377" s="32"/>
      <c r="EK377" s="32"/>
    </row>
    <row r="378" spans="42:141">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c r="CK378" s="32"/>
      <c r="CL378" s="32"/>
      <c r="CM378" s="32"/>
      <c r="CN378" s="32"/>
      <c r="CO378" s="32"/>
      <c r="CP378" s="32"/>
      <c r="CQ378" s="32"/>
      <c r="CR378" s="32"/>
      <c r="CS378" s="32"/>
      <c r="CT378" s="32"/>
      <c r="CU378" s="32"/>
      <c r="CV378" s="32"/>
      <c r="CW378" s="32"/>
      <c r="CX378" s="32"/>
      <c r="CY378" s="32"/>
      <c r="CZ378" s="32"/>
      <c r="DA378" s="32"/>
      <c r="DB378" s="32"/>
      <c r="DC378" s="32"/>
      <c r="DD378" s="32"/>
      <c r="DE378" s="32"/>
      <c r="DF378" s="32"/>
      <c r="DG378" s="32"/>
      <c r="DH378" s="32"/>
      <c r="DI378" s="32"/>
      <c r="DJ378" s="32"/>
      <c r="DK378" s="32"/>
      <c r="DL378" s="32"/>
      <c r="DM378" s="32"/>
      <c r="DN378" s="32"/>
      <c r="DO378" s="32"/>
      <c r="DP378" s="32"/>
      <c r="DQ378" s="32"/>
      <c r="DR378" s="32"/>
      <c r="DS378" s="32"/>
      <c r="DT378" s="32"/>
      <c r="DU378" s="32"/>
      <c r="DV378" s="32"/>
      <c r="DW378" s="32"/>
      <c r="DX378" s="32"/>
      <c r="DY378" s="32"/>
      <c r="DZ378" s="32"/>
      <c r="EA378" s="32"/>
      <c r="EB378" s="32"/>
      <c r="EC378" s="32"/>
      <c r="ED378" s="32"/>
      <c r="EE378" s="32"/>
      <c r="EF378" s="32"/>
      <c r="EG378" s="32"/>
      <c r="EH378" s="32"/>
      <c r="EI378" s="32"/>
      <c r="EJ378" s="32"/>
      <c r="EK378" s="32"/>
    </row>
    <row r="379" spans="42:141">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c r="CK379" s="32"/>
      <c r="CL379" s="32"/>
      <c r="CM379" s="32"/>
      <c r="CN379" s="32"/>
      <c r="CO379" s="32"/>
      <c r="CP379" s="32"/>
      <c r="CQ379" s="32"/>
      <c r="CR379" s="32"/>
      <c r="CS379" s="32"/>
      <c r="CT379" s="32"/>
      <c r="CU379" s="32"/>
      <c r="CV379" s="32"/>
      <c r="CW379" s="32"/>
      <c r="CX379" s="32"/>
      <c r="CY379" s="32"/>
      <c r="CZ379" s="32"/>
      <c r="DA379" s="32"/>
      <c r="DB379" s="32"/>
      <c r="DC379" s="32"/>
      <c r="DD379" s="32"/>
      <c r="DE379" s="32"/>
      <c r="DF379" s="32"/>
      <c r="DG379" s="32"/>
      <c r="DH379" s="32"/>
      <c r="DI379" s="32"/>
      <c r="DJ379" s="32"/>
      <c r="DK379" s="32"/>
      <c r="DL379" s="32"/>
      <c r="DM379" s="32"/>
      <c r="DN379" s="32"/>
      <c r="DO379" s="32"/>
      <c r="DP379" s="32"/>
      <c r="DQ379" s="32"/>
      <c r="DR379" s="32"/>
      <c r="DS379" s="32"/>
      <c r="DT379" s="32"/>
      <c r="DU379" s="32"/>
      <c r="DV379" s="32"/>
      <c r="DW379" s="32"/>
      <c r="DX379" s="32"/>
      <c r="DY379" s="32"/>
      <c r="DZ379" s="32"/>
      <c r="EA379" s="32"/>
      <c r="EB379" s="32"/>
      <c r="EC379" s="32"/>
      <c r="ED379" s="32"/>
      <c r="EE379" s="32"/>
      <c r="EF379" s="32"/>
      <c r="EG379" s="32"/>
      <c r="EH379" s="32"/>
      <c r="EI379" s="32"/>
      <c r="EJ379" s="32"/>
      <c r="EK379" s="32"/>
    </row>
    <row r="380" spans="42:141">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c r="CK380" s="32"/>
      <c r="CL380" s="32"/>
      <c r="CM380" s="32"/>
      <c r="CN380" s="32"/>
      <c r="CO380" s="32"/>
      <c r="CP380" s="32"/>
      <c r="CQ380" s="32"/>
      <c r="CR380" s="32"/>
      <c r="CS380" s="32"/>
      <c r="CT380" s="32"/>
      <c r="CU380" s="32"/>
      <c r="CV380" s="32"/>
      <c r="CW380" s="32"/>
      <c r="CX380" s="32"/>
      <c r="CY380" s="32"/>
      <c r="CZ380" s="32"/>
      <c r="DA380" s="32"/>
      <c r="DB380" s="32"/>
      <c r="DC380" s="32"/>
      <c r="DD380" s="32"/>
      <c r="DE380" s="32"/>
      <c r="DF380" s="32"/>
      <c r="DG380" s="32"/>
      <c r="DH380" s="32"/>
      <c r="DI380" s="32"/>
      <c r="DJ380" s="32"/>
      <c r="DK380" s="32"/>
      <c r="DL380" s="32"/>
      <c r="DM380" s="32"/>
      <c r="DN380" s="32"/>
      <c r="DO380" s="32"/>
      <c r="DP380" s="32"/>
      <c r="DQ380" s="32"/>
      <c r="DR380" s="32"/>
      <c r="DS380" s="32"/>
      <c r="DT380" s="32"/>
      <c r="DU380" s="32"/>
      <c r="DV380" s="32"/>
      <c r="DW380" s="32"/>
      <c r="DX380" s="32"/>
      <c r="DY380" s="32"/>
      <c r="DZ380" s="32"/>
      <c r="EA380" s="32"/>
      <c r="EB380" s="32"/>
      <c r="EC380" s="32"/>
      <c r="ED380" s="32"/>
      <c r="EE380" s="32"/>
      <c r="EF380" s="32"/>
      <c r="EG380" s="32"/>
      <c r="EH380" s="32"/>
      <c r="EI380" s="32"/>
      <c r="EJ380" s="32"/>
      <c r="EK380" s="32"/>
    </row>
    <row r="381" spans="42:141">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c r="CK381" s="32"/>
      <c r="CL381" s="32"/>
      <c r="CM381" s="32"/>
      <c r="CN381" s="32"/>
      <c r="CO381" s="32"/>
      <c r="CP381" s="32"/>
      <c r="CQ381" s="32"/>
      <c r="CR381" s="32"/>
      <c r="CS381" s="32"/>
      <c r="CT381" s="32"/>
      <c r="CU381" s="32"/>
      <c r="CV381" s="32"/>
      <c r="CW381" s="32"/>
      <c r="CX381" s="32"/>
      <c r="CY381" s="32"/>
      <c r="CZ381" s="32"/>
      <c r="DA381" s="32"/>
      <c r="DB381" s="32"/>
      <c r="DC381" s="32"/>
      <c r="DD381" s="32"/>
      <c r="DE381" s="32"/>
      <c r="DF381" s="32"/>
      <c r="DG381" s="32"/>
      <c r="DH381" s="32"/>
      <c r="DI381" s="32"/>
      <c r="DJ381" s="32"/>
      <c r="DK381" s="32"/>
      <c r="DL381" s="32"/>
      <c r="DM381" s="32"/>
      <c r="DN381" s="32"/>
      <c r="DO381" s="32"/>
      <c r="DP381" s="32"/>
      <c r="DQ381" s="32"/>
      <c r="DR381" s="32"/>
      <c r="DS381" s="32"/>
      <c r="DT381" s="32"/>
      <c r="DU381" s="32"/>
      <c r="DV381" s="32"/>
      <c r="DW381" s="32"/>
      <c r="DX381" s="32"/>
      <c r="DY381" s="32"/>
      <c r="DZ381" s="32"/>
      <c r="EA381" s="32"/>
      <c r="EB381" s="32"/>
      <c r="EC381" s="32"/>
      <c r="ED381" s="32"/>
      <c r="EE381" s="32"/>
      <c r="EF381" s="32"/>
      <c r="EG381" s="32"/>
      <c r="EH381" s="32"/>
      <c r="EI381" s="32"/>
      <c r="EJ381" s="32"/>
      <c r="EK381" s="32"/>
    </row>
    <row r="382" spans="42:141">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c r="CK382" s="32"/>
      <c r="CL382" s="32"/>
      <c r="CM382" s="32"/>
      <c r="CN382" s="32"/>
      <c r="CO382" s="32"/>
      <c r="CP382" s="32"/>
      <c r="CQ382" s="32"/>
      <c r="CR382" s="32"/>
      <c r="CS382" s="32"/>
      <c r="CT382" s="32"/>
      <c r="CU382" s="32"/>
      <c r="CV382" s="32"/>
      <c r="CW382" s="32"/>
      <c r="CX382" s="32"/>
      <c r="CY382" s="32"/>
      <c r="CZ382" s="32"/>
      <c r="DA382" s="32"/>
      <c r="DB382" s="32"/>
      <c r="DC382" s="32"/>
      <c r="DD382" s="32"/>
      <c r="DE382" s="32"/>
      <c r="DF382" s="32"/>
      <c r="DG382" s="32"/>
      <c r="DH382" s="32"/>
      <c r="DI382" s="32"/>
      <c r="DJ382" s="32"/>
      <c r="DK382" s="32"/>
      <c r="DL382" s="32"/>
      <c r="DM382" s="32"/>
      <c r="DN382" s="32"/>
      <c r="DO382" s="32"/>
      <c r="DP382" s="32"/>
      <c r="DQ382" s="32"/>
      <c r="DR382" s="32"/>
      <c r="DS382" s="32"/>
      <c r="DT382" s="32"/>
      <c r="DU382" s="32"/>
      <c r="DV382" s="32"/>
      <c r="DW382" s="32"/>
      <c r="DX382" s="32"/>
      <c r="DY382" s="32"/>
      <c r="DZ382" s="32"/>
      <c r="EA382" s="32"/>
      <c r="EB382" s="32"/>
      <c r="EC382" s="32"/>
      <c r="ED382" s="32"/>
      <c r="EE382" s="32"/>
      <c r="EF382" s="32"/>
      <c r="EG382" s="32"/>
      <c r="EH382" s="32"/>
      <c r="EI382" s="32"/>
      <c r="EJ382" s="32"/>
      <c r="EK382" s="32"/>
    </row>
    <row r="383" spans="42:141">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c r="CK383" s="32"/>
      <c r="CL383" s="32"/>
      <c r="CM383" s="32"/>
      <c r="CN383" s="32"/>
      <c r="CO383" s="32"/>
      <c r="CP383" s="32"/>
      <c r="CQ383" s="32"/>
      <c r="CR383" s="32"/>
      <c r="CS383" s="32"/>
      <c r="CT383" s="32"/>
      <c r="CU383" s="32"/>
      <c r="CV383" s="32"/>
      <c r="CW383" s="32"/>
      <c r="CX383" s="32"/>
      <c r="CY383" s="32"/>
      <c r="CZ383" s="32"/>
      <c r="DA383" s="32"/>
      <c r="DB383" s="32"/>
      <c r="DC383" s="32"/>
      <c r="DD383" s="32"/>
      <c r="DE383" s="32"/>
      <c r="DF383" s="32"/>
      <c r="DG383" s="32"/>
      <c r="DH383" s="32"/>
      <c r="DI383" s="32"/>
      <c r="DJ383" s="32"/>
      <c r="DK383" s="32"/>
      <c r="DL383" s="32"/>
      <c r="DM383" s="32"/>
      <c r="DN383" s="32"/>
      <c r="DO383" s="32"/>
      <c r="DP383" s="32"/>
      <c r="DQ383" s="32"/>
      <c r="DR383" s="32"/>
      <c r="DS383" s="32"/>
      <c r="DT383" s="32"/>
      <c r="DU383" s="32"/>
      <c r="DV383" s="32"/>
      <c r="DW383" s="32"/>
      <c r="DX383" s="32"/>
      <c r="DY383" s="32"/>
      <c r="DZ383" s="32"/>
      <c r="EA383" s="32"/>
      <c r="EB383" s="32"/>
      <c r="EC383" s="32"/>
      <c r="ED383" s="32"/>
      <c r="EE383" s="32"/>
      <c r="EF383" s="32"/>
      <c r="EG383" s="32"/>
      <c r="EH383" s="32"/>
      <c r="EI383" s="32"/>
      <c r="EJ383" s="32"/>
      <c r="EK383" s="32"/>
    </row>
    <row r="384" spans="42:141">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c r="CK384" s="32"/>
      <c r="CL384" s="32"/>
      <c r="CM384" s="32"/>
      <c r="CN384" s="32"/>
      <c r="CO384" s="32"/>
      <c r="CP384" s="32"/>
      <c r="CQ384" s="32"/>
      <c r="CR384" s="32"/>
      <c r="CS384" s="32"/>
      <c r="CT384" s="32"/>
      <c r="CU384" s="32"/>
      <c r="CV384" s="32"/>
      <c r="CW384" s="32"/>
      <c r="CX384" s="32"/>
      <c r="CY384" s="32"/>
      <c r="CZ384" s="32"/>
      <c r="DA384" s="32"/>
      <c r="DB384" s="32"/>
      <c r="DC384" s="32"/>
      <c r="DD384" s="32"/>
      <c r="DE384" s="32"/>
      <c r="DF384" s="32"/>
      <c r="DG384" s="32"/>
      <c r="DH384" s="32"/>
      <c r="DI384" s="32"/>
      <c r="DJ384" s="32"/>
      <c r="DK384" s="32"/>
      <c r="DL384" s="32"/>
      <c r="DM384" s="32"/>
      <c r="DN384" s="32"/>
      <c r="DO384" s="32"/>
      <c r="DP384" s="32"/>
      <c r="DQ384" s="32"/>
      <c r="DR384" s="32"/>
      <c r="DS384" s="32"/>
      <c r="DT384" s="32"/>
      <c r="DU384" s="32"/>
      <c r="DV384" s="32"/>
      <c r="DW384" s="32"/>
      <c r="DX384" s="32"/>
      <c r="DY384" s="32"/>
      <c r="DZ384" s="32"/>
      <c r="EA384" s="32"/>
      <c r="EB384" s="32"/>
      <c r="EC384" s="32"/>
      <c r="ED384" s="32"/>
      <c r="EE384" s="32"/>
      <c r="EF384" s="32"/>
      <c r="EG384" s="32"/>
      <c r="EH384" s="32"/>
      <c r="EI384" s="32"/>
      <c r="EJ384" s="32"/>
      <c r="EK384" s="32"/>
    </row>
    <row r="385" spans="42:141">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c r="CK385" s="32"/>
      <c r="CL385" s="32"/>
      <c r="CM385" s="32"/>
      <c r="CN385" s="32"/>
      <c r="CO385" s="32"/>
      <c r="CP385" s="32"/>
      <c r="CQ385" s="32"/>
      <c r="CR385" s="32"/>
      <c r="CS385" s="32"/>
      <c r="CT385" s="32"/>
      <c r="CU385" s="32"/>
      <c r="CV385" s="32"/>
      <c r="CW385" s="32"/>
      <c r="CX385" s="32"/>
      <c r="CY385" s="32"/>
      <c r="CZ385" s="32"/>
      <c r="DA385" s="32"/>
      <c r="DB385" s="32"/>
      <c r="DC385" s="32"/>
      <c r="DD385" s="32"/>
      <c r="DE385" s="32"/>
      <c r="DF385" s="32"/>
      <c r="DG385" s="32"/>
      <c r="DH385" s="32"/>
      <c r="DI385" s="32"/>
      <c r="DJ385" s="32"/>
      <c r="DK385" s="32"/>
      <c r="DL385" s="32"/>
      <c r="DM385" s="32"/>
      <c r="DN385" s="32"/>
      <c r="DO385" s="32"/>
      <c r="DP385" s="32"/>
      <c r="DQ385" s="32"/>
      <c r="DR385" s="32"/>
      <c r="DS385" s="32"/>
      <c r="DT385" s="32"/>
      <c r="DU385" s="32"/>
      <c r="DV385" s="32"/>
      <c r="DW385" s="32"/>
      <c r="DX385" s="32"/>
      <c r="DY385" s="32"/>
      <c r="DZ385" s="32"/>
      <c r="EA385" s="32"/>
      <c r="EB385" s="32"/>
      <c r="EC385" s="32"/>
      <c r="ED385" s="32"/>
      <c r="EE385" s="32"/>
      <c r="EF385" s="32"/>
      <c r="EG385" s="32"/>
      <c r="EH385" s="32"/>
      <c r="EI385" s="32"/>
      <c r="EJ385" s="32"/>
      <c r="EK385" s="32"/>
    </row>
    <row r="386" spans="42:141">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c r="CK386" s="32"/>
      <c r="CL386" s="32"/>
      <c r="CM386" s="32"/>
      <c r="CN386" s="32"/>
      <c r="CO386" s="32"/>
      <c r="CP386" s="32"/>
      <c r="CQ386" s="32"/>
      <c r="CR386" s="32"/>
      <c r="CS386" s="32"/>
      <c r="CT386" s="32"/>
      <c r="CU386" s="32"/>
      <c r="CV386" s="32"/>
      <c r="CW386" s="32"/>
      <c r="CX386" s="32"/>
      <c r="CY386" s="32"/>
      <c r="CZ386" s="32"/>
      <c r="DA386" s="32"/>
      <c r="DB386" s="32"/>
      <c r="DC386" s="32"/>
      <c r="DD386" s="32"/>
      <c r="DE386" s="32"/>
      <c r="DF386" s="32"/>
      <c r="DG386" s="32"/>
      <c r="DH386" s="32"/>
      <c r="DI386" s="32"/>
      <c r="DJ386" s="32"/>
      <c r="DK386" s="32"/>
      <c r="DL386" s="32"/>
      <c r="DM386" s="32"/>
      <c r="DN386" s="32"/>
      <c r="DO386" s="32"/>
      <c r="DP386" s="32"/>
      <c r="DQ386" s="32"/>
      <c r="DR386" s="32"/>
      <c r="DS386" s="32"/>
      <c r="DT386" s="32"/>
      <c r="DU386" s="32"/>
      <c r="DV386" s="32"/>
      <c r="DW386" s="32"/>
      <c r="DX386" s="32"/>
      <c r="DY386" s="32"/>
      <c r="DZ386" s="32"/>
      <c r="EA386" s="32"/>
      <c r="EB386" s="32"/>
      <c r="EC386" s="32"/>
      <c r="ED386" s="32"/>
      <c r="EE386" s="32"/>
      <c r="EF386" s="32"/>
      <c r="EG386" s="32"/>
      <c r="EH386" s="32"/>
      <c r="EI386" s="32"/>
      <c r="EJ386" s="32"/>
      <c r="EK386" s="32"/>
    </row>
    <row r="387" spans="42:141">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32"/>
      <c r="CU387" s="32"/>
      <c r="CV387" s="32"/>
      <c r="CW387" s="32"/>
      <c r="CX387" s="32"/>
      <c r="CY387" s="32"/>
      <c r="CZ387" s="32"/>
      <c r="DA387" s="32"/>
      <c r="DB387" s="32"/>
      <c r="DC387" s="32"/>
      <c r="DD387" s="32"/>
      <c r="DE387" s="32"/>
      <c r="DF387" s="32"/>
      <c r="DG387" s="32"/>
      <c r="DH387" s="32"/>
      <c r="DI387" s="32"/>
      <c r="DJ387" s="32"/>
      <c r="DK387" s="32"/>
      <c r="DL387" s="32"/>
      <c r="DM387" s="32"/>
      <c r="DN387" s="32"/>
      <c r="DO387" s="32"/>
      <c r="DP387" s="32"/>
      <c r="DQ387" s="32"/>
      <c r="DR387" s="32"/>
      <c r="DS387" s="32"/>
      <c r="DT387" s="32"/>
      <c r="DU387" s="32"/>
      <c r="DV387" s="32"/>
      <c r="DW387" s="32"/>
      <c r="DX387" s="32"/>
      <c r="DY387" s="32"/>
      <c r="DZ387" s="32"/>
      <c r="EA387" s="32"/>
      <c r="EB387" s="32"/>
      <c r="EC387" s="32"/>
      <c r="ED387" s="32"/>
      <c r="EE387" s="32"/>
      <c r="EF387" s="32"/>
      <c r="EG387" s="32"/>
      <c r="EH387" s="32"/>
      <c r="EI387" s="32"/>
      <c r="EJ387" s="32"/>
      <c r="EK387" s="32"/>
    </row>
    <row r="388" spans="42:141">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32"/>
      <c r="CU388" s="32"/>
      <c r="CV388" s="32"/>
      <c r="CW388" s="32"/>
      <c r="CX388" s="32"/>
      <c r="CY388" s="32"/>
      <c r="CZ388" s="32"/>
      <c r="DA388" s="32"/>
      <c r="DB388" s="32"/>
      <c r="DC388" s="32"/>
      <c r="DD388" s="32"/>
      <c r="DE388" s="32"/>
      <c r="DF388" s="32"/>
      <c r="DG388" s="32"/>
      <c r="DH388" s="32"/>
      <c r="DI388" s="32"/>
      <c r="DJ388" s="32"/>
      <c r="DK388" s="32"/>
      <c r="DL388" s="32"/>
      <c r="DM388" s="32"/>
      <c r="DN388" s="32"/>
      <c r="DO388" s="32"/>
      <c r="DP388" s="32"/>
      <c r="DQ388" s="32"/>
      <c r="DR388" s="32"/>
      <c r="DS388" s="32"/>
      <c r="DT388" s="32"/>
      <c r="DU388" s="32"/>
      <c r="DV388" s="32"/>
      <c r="DW388" s="32"/>
      <c r="DX388" s="32"/>
      <c r="DY388" s="32"/>
      <c r="DZ388" s="32"/>
      <c r="EA388" s="32"/>
      <c r="EB388" s="32"/>
      <c r="EC388" s="32"/>
      <c r="ED388" s="32"/>
      <c r="EE388" s="32"/>
      <c r="EF388" s="32"/>
      <c r="EG388" s="32"/>
      <c r="EH388" s="32"/>
      <c r="EI388" s="32"/>
      <c r="EJ388" s="32"/>
      <c r="EK388" s="32"/>
    </row>
    <row r="389" spans="42:141">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c r="CK389" s="32"/>
      <c r="CL389" s="32"/>
      <c r="CM389" s="32"/>
      <c r="CN389" s="32"/>
      <c r="CO389" s="32"/>
      <c r="CP389" s="32"/>
      <c r="CQ389" s="32"/>
      <c r="CR389" s="32"/>
      <c r="CS389" s="32"/>
      <c r="CT389" s="32"/>
      <c r="CU389" s="32"/>
      <c r="CV389" s="32"/>
      <c r="CW389" s="32"/>
      <c r="CX389" s="32"/>
      <c r="CY389" s="32"/>
      <c r="CZ389" s="32"/>
      <c r="DA389" s="32"/>
      <c r="DB389" s="32"/>
      <c r="DC389" s="32"/>
      <c r="DD389" s="32"/>
      <c r="DE389" s="32"/>
      <c r="DF389" s="32"/>
      <c r="DG389" s="32"/>
      <c r="DH389" s="32"/>
      <c r="DI389" s="32"/>
      <c r="DJ389" s="32"/>
      <c r="DK389" s="32"/>
      <c r="DL389" s="32"/>
      <c r="DM389" s="32"/>
      <c r="DN389" s="32"/>
      <c r="DO389" s="32"/>
      <c r="DP389" s="32"/>
      <c r="DQ389" s="32"/>
      <c r="DR389" s="32"/>
      <c r="DS389" s="32"/>
      <c r="DT389" s="32"/>
      <c r="DU389" s="32"/>
      <c r="DV389" s="32"/>
      <c r="DW389" s="32"/>
      <c r="DX389" s="32"/>
      <c r="DY389" s="32"/>
      <c r="DZ389" s="32"/>
      <c r="EA389" s="32"/>
      <c r="EB389" s="32"/>
      <c r="EC389" s="32"/>
      <c r="ED389" s="32"/>
      <c r="EE389" s="32"/>
      <c r="EF389" s="32"/>
      <c r="EG389" s="32"/>
      <c r="EH389" s="32"/>
      <c r="EI389" s="32"/>
      <c r="EJ389" s="32"/>
      <c r="EK389" s="32"/>
    </row>
    <row r="390" spans="42:141">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c r="CK390" s="32"/>
      <c r="CL390" s="32"/>
      <c r="CM390" s="32"/>
      <c r="CN390" s="32"/>
      <c r="CO390" s="32"/>
      <c r="CP390" s="32"/>
      <c r="CQ390" s="32"/>
      <c r="CR390" s="32"/>
      <c r="CS390" s="32"/>
      <c r="CT390" s="32"/>
      <c r="CU390" s="32"/>
      <c r="CV390" s="32"/>
      <c r="CW390" s="32"/>
      <c r="CX390" s="32"/>
      <c r="CY390" s="32"/>
      <c r="CZ390" s="32"/>
      <c r="DA390" s="32"/>
      <c r="DB390" s="32"/>
      <c r="DC390" s="32"/>
      <c r="DD390" s="32"/>
      <c r="DE390" s="32"/>
      <c r="DF390" s="32"/>
      <c r="DG390" s="32"/>
      <c r="DH390" s="32"/>
      <c r="DI390" s="32"/>
      <c r="DJ390" s="32"/>
      <c r="DK390" s="32"/>
      <c r="DL390" s="32"/>
      <c r="DM390" s="32"/>
      <c r="DN390" s="32"/>
      <c r="DO390" s="32"/>
      <c r="DP390" s="32"/>
      <c r="DQ390" s="32"/>
      <c r="DR390" s="32"/>
      <c r="DS390" s="32"/>
      <c r="DT390" s="32"/>
      <c r="DU390" s="32"/>
      <c r="DV390" s="32"/>
      <c r="DW390" s="32"/>
      <c r="DX390" s="32"/>
      <c r="DY390" s="32"/>
      <c r="DZ390" s="32"/>
      <c r="EA390" s="32"/>
      <c r="EB390" s="32"/>
      <c r="EC390" s="32"/>
      <c r="ED390" s="32"/>
      <c r="EE390" s="32"/>
      <c r="EF390" s="32"/>
      <c r="EG390" s="32"/>
      <c r="EH390" s="32"/>
      <c r="EI390" s="32"/>
      <c r="EJ390" s="32"/>
      <c r="EK390" s="32"/>
    </row>
    <row r="391" spans="42:141">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c r="BO391" s="32"/>
      <c r="BP391" s="32"/>
      <c r="BQ391" s="32"/>
      <c r="BR391" s="32"/>
      <c r="BS391" s="32"/>
      <c r="BT391" s="32"/>
      <c r="BU391" s="32"/>
      <c r="BV391" s="32"/>
      <c r="BW391" s="32"/>
      <c r="BX391" s="32"/>
      <c r="BY391" s="32"/>
      <c r="BZ391" s="32"/>
      <c r="CA391" s="32"/>
      <c r="CB391" s="32"/>
      <c r="CC391" s="32"/>
      <c r="CD391" s="32"/>
      <c r="CE391" s="32"/>
      <c r="CF391" s="32"/>
      <c r="CG391" s="32"/>
      <c r="CH391" s="32"/>
      <c r="CI391" s="32"/>
      <c r="CJ391" s="32"/>
      <c r="CK391" s="32"/>
      <c r="CL391" s="32"/>
      <c r="CM391" s="32"/>
      <c r="CN391" s="32"/>
      <c r="CO391" s="32"/>
      <c r="CP391" s="32"/>
      <c r="CQ391" s="32"/>
      <c r="CR391" s="32"/>
      <c r="CS391" s="32"/>
      <c r="CT391" s="32"/>
      <c r="CU391" s="32"/>
      <c r="CV391" s="32"/>
      <c r="CW391" s="32"/>
      <c r="CX391" s="32"/>
      <c r="CY391" s="32"/>
      <c r="CZ391" s="32"/>
      <c r="DA391" s="32"/>
      <c r="DB391" s="32"/>
      <c r="DC391" s="32"/>
      <c r="DD391" s="32"/>
      <c r="DE391" s="32"/>
      <c r="DF391" s="32"/>
      <c r="DG391" s="32"/>
      <c r="DH391" s="32"/>
      <c r="DI391" s="32"/>
      <c r="DJ391" s="32"/>
      <c r="DK391" s="32"/>
      <c r="DL391" s="32"/>
      <c r="DM391" s="32"/>
      <c r="DN391" s="32"/>
      <c r="DO391" s="32"/>
      <c r="DP391" s="32"/>
      <c r="DQ391" s="32"/>
      <c r="DR391" s="32"/>
      <c r="DS391" s="32"/>
      <c r="DT391" s="32"/>
      <c r="DU391" s="32"/>
      <c r="DV391" s="32"/>
      <c r="DW391" s="32"/>
      <c r="DX391" s="32"/>
      <c r="DY391" s="32"/>
      <c r="DZ391" s="32"/>
      <c r="EA391" s="32"/>
      <c r="EB391" s="32"/>
      <c r="EC391" s="32"/>
      <c r="ED391" s="32"/>
      <c r="EE391" s="32"/>
      <c r="EF391" s="32"/>
      <c r="EG391" s="32"/>
      <c r="EH391" s="32"/>
      <c r="EI391" s="32"/>
      <c r="EJ391" s="32"/>
      <c r="EK391" s="32"/>
    </row>
    <row r="392" spans="42:141">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c r="BO392" s="32"/>
      <c r="BP392" s="32"/>
      <c r="BQ392" s="32"/>
      <c r="BR392" s="32"/>
      <c r="BS392" s="32"/>
      <c r="BT392" s="32"/>
      <c r="BU392" s="32"/>
      <c r="BV392" s="32"/>
      <c r="BW392" s="32"/>
      <c r="BX392" s="32"/>
      <c r="BY392" s="32"/>
      <c r="BZ392" s="32"/>
      <c r="CA392" s="32"/>
      <c r="CB392" s="32"/>
      <c r="CC392" s="32"/>
      <c r="CD392" s="32"/>
      <c r="CE392" s="32"/>
      <c r="CF392" s="32"/>
      <c r="CG392" s="32"/>
      <c r="CH392" s="32"/>
      <c r="CI392" s="32"/>
      <c r="CJ392" s="32"/>
      <c r="CK392" s="32"/>
      <c r="CL392" s="32"/>
      <c r="CM392" s="32"/>
      <c r="CN392" s="32"/>
      <c r="CO392" s="32"/>
      <c r="CP392" s="32"/>
      <c r="CQ392" s="32"/>
      <c r="CR392" s="32"/>
      <c r="CS392" s="32"/>
      <c r="CT392" s="32"/>
      <c r="CU392" s="32"/>
      <c r="CV392" s="32"/>
      <c r="CW392" s="32"/>
      <c r="CX392" s="32"/>
      <c r="CY392" s="32"/>
      <c r="CZ392" s="32"/>
      <c r="DA392" s="32"/>
      <c r="DB392" s="32"/>
      <c r="DC392" s="32"/>
      <c r="DD392" s="32"/>
      <c r="DE392" s="32"/>
      <c r="DF392" s="32"/>
      <c r="DG392" s="32"/>
      <c r="DH392" s="32"/>
      <c r="DI392" s="32"/>
      <c r="DJ392" s="32"/>
      <c r="DK392" s="32"/>
      <c r="DL392" s="32"/>
      <c r="DM392" s="32"/>
      <c r="DN392" s="32"/>
      <c r="DO392" s="32"/>
      <c r="DP392" s="32"/>
      <c r="DQ392" s="32"/>
      <c r="DR392" s="32"/>
      <c r="DS392" s="32"/>
      <c r="DT392" s="32"/>
      <c r="DU392" s="32"/>
      <c r="DV392" s="32"/>
      <c r="DW392" s="32"/>
      <c r="DX392" s="32"/>
      <c r="DY392" s="32"/>
      <c r="DZ392" s="32"/>
      <c r="EA392" s="32"/>
      <c r="EB392" s="32"/>
      <c r="EC392" s="32"/>
      <c r="ED392" s="32"/>
      <c r="EE392" s="32"/>
      <c r="EF392" s="32"/>
      <c r="EG392" s="32"/>
      <c r="EH392" s="32"/>
      <c r="EI392" s="32"/>
      <c r="EJ392" s="32"/>
      <c r="EK392" s="32"/>
    </row>
    <row r="393" spans="42:141">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c r="BO393" s="32"/>
      <c r="BP393" s="32"/>
      <c r="BQ393" s="32"/>
      <c r="BR393" s="32"/>
      <c r="BS393" s="32"/>
      <c r="BT393" s="32"/>
      <c r="BU393" s="32"/>
      <c r="BV393" s="32"/>
      <c r="BW393" s="32"/>
      <c r="BX393" s="32"/>
      <c r="BY393" s="32"/>
      <c r="BZ393" s="32"/>
      <c r="CA393" s="32"/>
      <c r="CB393" s="32"/>
      <c r="CC393" s="32"/>
      <c r="CD393" s="32"/>
      <c r="CE393" s="32"/>
      <c r="CF393" s="32"/>
      <c r="CG393" s="32"/>
      <c r="CH393" s="32"/>
      <c r="CI393" s="32"/>
      <c r="CJ393" s="32"/>
      <c r="CK393" s="32"/>
      <c r="CL393" s="32"/>
      <c r="CM393" s="32"/>
      <c r="CN393" s="32"/>
      <c r="CO393" s="32"/>
      <c r="CP393" s="32"/>
      <c r="CQ393" s="32"/>
      <c r="CR393" s="32"/>
      <c r="CS393" s="32"/>
      <c r="CT393" s="32"/>
      <c r="CU393" s="32"/>
      <c r="CV393" s="32"/>
      <c r="CW393" s="32"/>
      <c r="CX393" s="32"/>
      <c r="CY393" s="32"/>
      <c r="CZ393" s="32"/>
      <c r="DA393" s="32"/>
      <c r="DB393" s="32"/>
      <c r="DC393" s="32"/>
      <c r="DD393" s="32"/>
      <c r="DE393" s="32"/>
      <c r="DF393" s="32"/>
      <c r="DG393" s="32"/>
      <c r="DH393" s="32"/>
      <c r="DI393" s="32"/>
      <c r="DJ393" s="32"/>
      <c r="DK393" s="32"/>
      <c r="DL393" s="32"/>
      <c r="DM393" s="32"/>
      <c r="DN393" s="32"/>
      <c r="DO393" s="32"/>
      <c r="DP393" s="32"/>
      <c r="DQ393" s="32"/>
      <c r="DR393" s="32"/>
      <c r="DS393" s="32"/>
      <c r="DT393" s="32"/>
      <c r="DU393" s="32"/>
      <c r="DV393" s="32"/>
      <c r="DW393" s="32"/>
      <c r="DX393" s="32"/>
      <c r="DY393" s="32"/>
      <c r="DZ393" s="32"/>
      <c r="EA393" s="32"/>
      <c r="EB393" s="32"/>
      <c r="EC393" s="32"/>
      <c r="ED393" s="32"/>
      <c r="EE393" s="32"/>
      <c r="EF393" s="32"/>
      <c r="EG393" s="32"/>
      <c r="EH393" s="32"/>
      <c r="EI393" s="32"/>
      <c r="EJ393" s="32"/>
      <c r="EK393" s="32"/>
    </row>
    <row r="394" spans="42:141">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c r="BO394" s="32"/>
      <c r="BP394" s="32"/>
      <c r="BQ394" s="32"/>
      <c r="BR394" s="32"/>
      <c r="BS394" s="32"/>
      <c r="BT394" s="32"/>
      <c r="BU394" s="32"/>
      <c r="BV394" s="32"/>
      <c r="BW394" s="32"/>
      <c r="BX394" s="32"/>
      <c r="BY394" s="32"/>
      <c r="BZ394" s="32"/>
      <c r="CA394" s="32"/>
      <c r="CB394" s="32"/>
      <c r="CC394" s="32"/>
      <c r="CD394" s="32"/>
      <c r="CE394" s="32"/>
      <c r="CF394" s="32"/>
      <c r="CG394" s="32"/>
      <c r="CH394" s="32"/>
      <c r="CI394" s="32"/>
      <c r="CJ394" s="32"/>
      <c r="CK394" s="32"/>
      <c r="CL394" s="32"/>
      <c r="CM394" s="32"/>
      <c r="CN394" s="32"/>
      <c r="CO394" s="32"/>
      <c r="CP394" s="32"/>
      <c r="CQ394" s="32"/>
      <c r="CR394" s="32"/>
      <c r="CS394" s="32"/>
      <c r="CT394" s="32"/>
      <c r="CU394" s="32"/>
      <c r="CV394" s="32"/>
      <c r="CW394" s="32"/>
      <c r="CX394" s="32"/>
      <c r="CY394" s="32"/>
      <c r="CZ394" s="32"/>
      <c r="DA394" s="32"/>
      <c r="DB394" s="32"/>
      <c r="DC394" s="32"/>
      <c r="DD394" s="32"/>
      <c r="DE394" s="32"/>
      <c r="DF394" s="32"/>
      <c r="DG394" s="32"/>
      <c r="DH394" s="32"/>
      <c r="DI394" s="32"/>
      <c r="DJ394" s="32"/>
      <c r="DK394" s="32"/>
      <c r="DL394" s="32"/>
      <c r="DM394" s="32"/>
      <c r="DN394" s="32"/>
      <c r="DO394" s="32"/>
      <c r="DP394" s="32"/>
      <c r="DQ394" s="32"/>
      <c r="DR394" s="32"/>
      <c r="DS394" s="32"/>
      <c r="DT394" s="32"/>
      <c r="DU394" s="32"/>
      <c r="DV394" s="32"/>
      <c r="DW394" s="32"/>
      <c r="DX394" s="32"/>
      <c r="DY394" s="32"/>
      <c r="DZ394" s="32"/>
      <c r="EA394" s="32"/>
      <c r="EB394" s="32"/>
      <c r="EC394" s="32"/>
      <c r="ED394" s="32"/>
      <c r="EE394" s="32"/>
      <c r="EF394" s="32"/>
      <c r="EG394" s="32"/>
      <c r="EH394" s="32"/>
      <c r="EI394" s="32"/>
      <c r="EJ394" s="32"/>
      <c r="EK394" s="32"/>
    </row>
    <row r="395" spans="42:141">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c r="CK395" s="32"/>
      <c r="CL395" s="32"/>
      <c r="CM395" s="32"/>
      <c r="CN395" s="32"/>
      <c r="CO395" s="32"/>
      <c r="CP395" s="32"/>
      <c r="CQ395" s="32"/>
      <c r="CR395" s="32"/>
      <c r="CS395" s="32"/>
      <c r="CT395" s="32"/>
      <c r="CU395" s="32"/>
      <c r="CV395" s="32"/>
      <c r="CW395" s="32"/>
      <c r="CX395" s="32"/>
      <c r="CY395" s="32"/>
      <c r="CZ395" s="32"/>
      <c r="DA395" s="32"/>
      <c r="DB395" s="32"/>
      <c r="DC395" s="32"/>
      <c r="DD395" s="32"/>
      <c r="DE395" s="32"/>
      <c r="DF395" s="32"/>
      <c r="DG395" s="32"/>
      <c r="DH395" s="32"/>
      <c r="DI395" s="32"/>
      <c r="DJ395" s="32"/>
      <c r="DK395" s="32"/>
      <c r="DL395" s="32"/>
      <c r="DM395" s="32"/>
      <c r="DN395" s="32"/>
      <c r="DO395" s="32"/>
      <c r="DP395" s="32"/>
      <c r="DQ395" s="32"/>
      <c r="DR395" s="32"/>
      <c r="DS395" s="32"/>
      <c r="DT395" s="32"/>
      <c r="DU395" s="32"/>
      <c r="DV395" s="32"/>
      <c r="DW395" s="32"/>
      <c r="DX395" s="32"/>
      <c r="DY395" s="32"/>
      <c r="DZ395" s="32"/>
      <c r="EA395" s="32"/>
      <c r="EB395" s="32"/>
      <c r="EC395" s="32"/>
      <c r="ED395" s="32"/>
      <c r="EE395" s="32"/>
      <c r="EF395" s="32"/>
      <c r="EG395" s="32"/>
      <c r="EH395" s="32"/>
      <c r="EI395" s="32"/>
      <c r="EJ395" s="32"/>
      <c r="EK395" s="32"/>
    </row>
    <row r="396" spans="42:141">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c r="CK396" s="32"/>
      <c r="CL396" s="32"/>
      <c r="CM396" s="32"/>
      <c r="CN396" s="32"/>
      <c r="CO396" s="32"/>
      <c r="CP396" s="32"/>
      <c r="CQ396" s="32"/>
      <c r="CR396" s="32"/>
      <c r="CS396" s="32"/>
      <c r="CT396" s="32"/>
      <c r="CU396" s="32"/>
      <c r="CV396" s="32"/>
      <c r="CW396" s="32"/>
      <c r="CX396" s="32"/>
      <c r="CY396" s="32"/>
      <c r="CZ396" s="32"/>
      <c r="DA396" s="32"/>
      <c r="DB396" s="32"/>
      <c r="DC396" s="32"/>
      <c r="DD396" s="32"/>
      <c r="DE396" s="32"/>
      <c r="DF396" s="32"/>
      <c r="DG396" s="32"/>
      <c r="DH396" s="32"/>
      <c r="DI396" s="32"/>
      <c r="DJ396" s="32"/>
      <c r="DK396" s="32"/>
      <c r="DL396" s="32"/>
      <c r="DM396" s="32"/>
      <c r="DN396" s="32"/>
      <c r="DO396" s="32"/>
      <c r="DP396" s="32"/>
      <c r="DQ396" s="32"/>
      <c r="DR396" s="32"/>
      <c r="DS396" s="32"/>
      <c r="DT396" s="32"/>
      <c r="DU396" s="32"/>
      <c r="DV396" s="32"/>
      <c r="DW396" s="32"/>
      <c r="DX396" s="32"/>
      <c r="DY396" s="32"/>
      <c r="DZ396" s="32"/>
      <c r="EA396" s="32"/>
      <c r="EB396" s="32"/>
      <c r="EC396" s="32"/>
      <c r="ED396" s="32"/>
      <c r="EE396" s="32"/>
      <c r="EF396" s="32"/>
      <c r="EG396" s="32"/>
      <c r="EH396" s="32"/>
      <c r="EI396" s="32"/>
      <c r="EJ396" s="32"/>
      <c r="EK396" s="32"/>
    </row>
    <row r="397" spans="42:141">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c r="CK397" s="32"/>
      <c r="CL397" s="32"/>
      <c r="CM397" s="32"/>
      <c r="CN397" s="32"/>
      <c r="CO397" s="32"/>
      <c r="CP397" s="32"/>
      <c r="CQ397" s="32"/>
      <c r="CR397" s="32"/>
      <c r="CS397" s="32"/>
      <c r="CT397" s="32"/>
      <c r="CU397" s="32"/>
      <c r="CV397" s="32"/>
      <c r="CW397" s="32"/>
      <c r="CX397" s="32"/>
      <c r="CY397" s="32"/>
      <c r="CZ397" s="32"/>
      <c r="DA397" s="32"/>
      <c r="DB397" s="32"/>
      <c r="DC397" s="32"/>
      <c r="DD397" s="32"/>
      <c r="DE397" s="32"/>
      <c r="DF397" s="32"/>
      <c r="DG397" s="32"/>
      <c r="DH397" s="32"/>
      <c r="DI397" s="32"/>
      <c r="DJ397" s="32"/>
      <c r="DK397" s="32"/>
      <c r="DL397" s="32"/>
      <c r="DM397" s="32"/>
      <c r="DN397" s="32"/>
      <c r="DO397" s="32"/>
      <c r="DP397" s="32"/>
      <c r="DQ397" s="32"/>
      <c r="DR397" s="32"/>
      <c r="DS397" s="32"/>
      <c r="DT397" s="32"/>
      <c r="DU397" s="32"/>
      <c r="DV397" s="32"/>
      <c r="DW397" s="32"/>
      <c r="DX397" s="32"/>
      <c r="DY397" s="32"/>
      <c r="DZ397" s="32"/>
      <c r="EA397" s="32"/>
      <c r="EB397" s="32"/>
      <c r="EC397" s="32"/>
      <c r="ED397" s="32"/>
      <c r="EE397" s="32"/>
      <c r="EF397" s="32"/>
      <c r="EG397" s="32"/>
      <c r="EH397" s="32"/>
      <c r="EI397" s="32"/>
      <c r="EJ397" s="32"/>
      <c r="EK397" s="32"/>
    </row>
    <row r="398" spans="42:141">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c r="CK398" s="32"/>
      <c r="CL398" s="32"/>
      <c r="CM398" s="32"/>
      <c r="CN398" s="32"/>
      <c r="CO398" s="32"/>
      <c r="CP398" s="32"/>
      <c r="CQ398" s="32"/>
      <c r="CR398" s="32"/>
      <c r="CS398" s="32"/>
      <c r="CT398" s="32"/>
      <c r="CU398" s="32"/>
      <c r="CV398" s="32"/>
      <c r="CW398" s="32"/>
      <c r="CX398" s="32"/>
      <c r="CY398" s="32"/>
      <c r="CZ398" s="32"/>
      <c r="DA398" s="32"/>
      <c r="DB398" s="32"/>
      <c r="DC398" s="32"/>
      <c r="DD398" s="32"/>
      <c r="DE398" s="32"/>
      <c r="DF398" s="32"/>
      <c r="DG398" s="32"/>
      <c r="DH398" s="32"/>
      <c r="DI398" s="32"/>
      <c r="DJ398" s="32"/>
      <c r="DK398" s="32"/>
      <c r="DL398" s="32"/>
      <c r="DM398" s="32"/>
      <c r="DN398" s="32"/>
      <c r="DO398" s="32"/>
      <c r="DP398" s="32"/>
      <c r="DQ398" s="32"/>
      <c r="DR398" s="32"/>
      <c r="DS398" s="32"/>
      <c r="DT398" s="32"/>
      <c r="DU398" s="32"/>
      <c r="DV398" s="32"/>
      <c r="DW398" s="32"/>
      <c r="DX398" s="32"/>
      <c r="DY398" s="32"/>
      <c r="DZ398" s="32"/>
      <c r="EA398" s="32"/>
      <c r="EB398" s="32"/>
      <c r="EC398" s="32"/>
      <c r="ED398" s="32"/>
      <c r="EE398" s="32"/>
      <c r="EF398" s="32"/>
      <c r="EG398" s="32"/>
      <c r="EH398" s="32"/>
      <c r="EI398" s="32"/>
      <c r="EJ398" s="32"/>
      <c r="EK398" s="32"/>
    </row>
    <row r="399" spans="42:141">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c r="CK399" s="32"/>
      <c r="CL399" s="32"/>
      <c r="CM399" s="32"/>
      <c r="CN399" s="32"/>
      <c r="CO399" s="32"/>
      <c r="CP399" s="32"/>
      <c r="CQ399" s="32"/>
      <c r="CR399" s="32"/>
      <c r="CS399" s="32"/>
      <c r="CT399" s="32"/>
      <c r="CU399" s="32"/>
      <c r="CV399" s="32"/>
      <c r="CW399" s="32"/>
      <c r="CX399" s="32"/>
      <c r="CY399" s="32"/>
      <c r="CZ399" s="32"/>
      <c r="DA399" s="32"/>
      <c r="DB399" s="32"/>
      <c r="DC399" s="32"/>
      <c r="DD399" s="32"/>
      <c r="DE399" s="32"/>
      <c r="DF399" s="32"/>
      <c r="DG399" s="32"/>
      <c r="DH399" s="32"/>
      <c r="DI399" s="32"/>
      <c r="DJ399" s="32"/>
      <c r="DK399" s="32"/>
      <c r="DL399" s="32"/>
      <c r="DM399" s="32"/>
      <c r="DN399" s="32"/>
      <c r="DO399" s="32"/>
      <c r="DP399" s="32"/>
      <c r="DQ399" s="32"/>
      <c r="DR399" s="32"/>
      <c r="DS399" s="32"/>
      <c r="DT399" s="32"/>
      <c r="DU399" s="32"/>
      <c r="DV399" s="32"/>
      <c r="DW399" s="32"/>
      <c r="DX399" s="32"/>
      <c r="DY399" s="32"/>
      <c r="DZ399" s="32"/>
      <c r="EA399" s="32"/>
      <c r="EB399" s="32"/>
      <c r="EC399" s="32"/>
      <c r="ED399" s="32"/>
      <c r="EE399" s="32"/>
      <c r="EF399" s="32"/>
      <c r="EG399" s="32"/>
      <c r="EH399" s="32"/>
      <c r="EI399" s="32"/>
      <c r="EJ399" s="32"/>
      <c r="EK399" s="32"/>
    </row>
    <row r="400" spans="42:141">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c r="CK400" s="32"/>
      <c r="CL400" s="32"/>
      <c r="CM400" s="32"/>
      <c r="CN400" s="32"/>
      <c r="CO400" s="32"/>
      <c r="CP400" s="32"/>
      <c r="CQ400" s="32"/>
      <c r="CR400" s="32"/>
      <c r="CS400" s="32"/>
      <c r="CT400" s="32"/>
      <c r="CU400" s="32"/>
      <c r="CV400" s="32"/>
      <c r="CW400" s="32"/>
      <c r="CX400" s="32"/>
      <c r="CY400" s="32"/>
      <c r="CZ400" s="32"/>
      <c r="DA400" s="32"/>
      <c r="DB400" s="32"/>
      <c r="DC400" s="32"/>
      <c r="DD400" s="32"/>
      <c r="DE400" s="32"/>
      <c r="DF400" s="32"/>
      <c r="DG400" s="32"/>
      <c r="DH400" s="32"/>
      <c r="DI400" s="32"/>
      <c r="DJ400" s="32"/>
      <c r="DK400" s="32"/>
      <c r="DL400" s="32"/>
      <c r="DM400" s="32"/>
      <c r="DN400" s="32"/>
      <c r="DO400" s="32"/>
      <c r="DP400" s="32"/>
      <c r="DQ400" s="32"/>
      <c r="DR400" s="32"/>
      <c r="DS400" s="32"/>
      <c r="DT400" s="32"/>
      <c r="DU400" s="32"/>
      <c r="DV400" s="32"/>
      <c r="DW400" s="32"/>
      <c r="DX400" s="32"/>
      <c r="DY400" s="32"/>
      <c r="DZ400" s="32"/>
      <c r="EA400" s="32"/>
      <c r="EB400" s="32"/>
      <c r="EC400" s="32"/>
      <c r="ED400" s="32"/>
      <c r="EE400" s="32"/>
      <c r="EF400" s="32"/>
      <c r="EG400" s="32"/>
      <c r="EH400" s="32"/>
      <c r="EI400" s="32"/>
      <c r="EJ400" s="32"/>
      <c r="EK400" s="32"/>
    </row>
    <row r="401" spans="42:141">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c r="CK401" s="32"/>
      <c r="CL401" s="32"/>
      <c r="CM401" s="32"/>
      <c r="CN401" s="32"/>
      <c r="CO401" s="32"/>
      <c r="CP401" s="32"/>
      <c r="CQ401" s="32"/>
      <c r="CR401" s="32"/>
      <c r="CS401" s="32"/>
      <c r="CT401" s="32"/>
      <c r="CU401" s="32"/>
      <c r="CV401" s="32"/>
      <c r="CW401" s="32"/>
      <c r="CX401" s="32"/>
      <c r="CY401" s="32"/>
      <c r="CZ401" s="32"/>
      <c r="DA401" s="32"/>
      <c r="DB401" s="32"/>
      <c r="DC401" s="32"/>
      <c r="DD401" s="32"/>
      <c r="DE401" s="32"/>
      <c r="DF401" s="32"/>
      <c r="DG401" s="32"/>
      <c r="DH401" s="32"/>
      <c r="DI401" s="32"/>
      <c r="DJ401" s="32"/>
      <c r="DK401" s="32"/>
      <c r="DL401" s="32"/>
      <c r="DM401" s="32"/>
      <c r="DN401" s="32"/>
      <c r="DO401" s="32"/>
      <c r="DP401" s="32"/>
      <c r="DQ401" s="32"/>
      <c r="DR401" s="32"/>
      <c r="DS401" s="32"/>
      <c r="DT401" s="32"/>
      <c r="DU401" s="32"/>
      <c r="DV401" s="32"/>
      <c r="DW401" s="32"/>
      <c r="DX401" s="32"/>
      <c r="DY401" s="32"/>
      <c r="DZ401" s="32"/>
      <c r="EA401" s="32"/>
      <c r="EB401" s="32"/>
      <c r="EC401" s="32"/>
      <c r="ED401" s="32"/>
      <c r="EE401" s="32"/>
      <c r="EF401" s="32"/>
      <c r="EG401" s="32"/>
      <c r="EH401" s="32"/>
      <c r="EI401" s="32"/>
      <c r="EJ401" s="32"/>
      <c r="EK401" s="32"/>
    </row>
    <row r="402" spans="42:141">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32"/>
      <c r="CU402" s="32"/>
      <c r="CV402" s="32"/>
      <c r="CW402" s="32"/>
      <c r="CX402" s="32"/>
      <c r="CY402" s="32"/>
      <c r="CZ402" s="32"/>
      <c r="DA402" s="32"/>
      <c r="DB402" s="32"/>
      <c r="DC402" s="32"/>
      <c r="DD402" s="32"/>
      <c r="DE402" s="32"/>
      <c r="DF402" s="32"/>
      <c r="DG402" s="32"/>
      <c r="DH402" s="32"/>
      <c r="DI402" s="32"/>
      <c r="DJ402" s="32"/>
      <c r="DK402" s="32"/>
      <c r="DL402" s="32"/>
      <c r="DM402" s="32"/>
      <c r="DN402" s="32"/>
      <c r="DO402" s="32"/>
      <c r="DP402" s="32"/>
      <c r="DQ402" s="32"/>
      <c r="DR402" s="32"/>
      <c r="DS402" s="32"/>
      <c r="DT402" s="32"/>
      <c r="DU402" s="32"/>
      <c r="DV402" s="32"/>
      <c r="DW402" s="32"/>
      <c r="DX402" s="32"/>
      <c r="DY402" s="32"/>
      <c r="DZ402" s="32"/>
      <c r="EA402" s="32"/>
      <c r="EB402" s="32"/>
      <c r="EC402" s="32"/>
      <c r="ED402" s="32"/>
      <c r="EE402" s="32"/>
      <c r="EF402" s="32"/>
      <c r="EG402" s="32"/>
      <c r="EH402" s="32"/>
      <c r="EI402" s="32"/>
      <c r="EJ402" s="32"/>
      <c r="EK402" s="32"/>
    </row>
    <row r="403" spans="42:141">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32"/>
      <c r="CU403" s="32"/>
      <c r="CV403" s="32"/>
      <c r="CW403" s="32"/>
      <c r="CX403" s="32"/>
      <c r="CY403" s="32"/>
      <c r="CZ403" s="32"/>
      <c r="DA403" s="32"/>
      <c r="DB403" s="32"/>
      <c r="DC403" s="32"/>
      <c r="DD403" s="32"/>
      <c r="DE403" s="32"/>
      <c r="DF403" s="32"/>
      <c r="DG403" s="32"/>
      <c r="DH403" s="32"/>
      <c r="DI403" s="32"/>
      <c r="DJ403" s="32"/>
      <c r="DK403" s="32"/>
      <c r="DL403" s="32"/>
      <c r="DM403" s="32"/>
      <c r="DN403" s="32"/>
      <c r="DO403" s="32"/>
      <c r="DP403" s="32"/>
      <c r="DQ403" s="32"/>
      <c r="DR403" s="32"/>
      <c r="DS403" s="32"/>
      <c r="DT403" s="32"/>
      <c r="DU403" s="32"/>
      <c r="DV403" s="32"/>
      <c r="DW403" s="32"/>
      <c r="DX403" s="32"/>
      <c r="DY403" s="32"/>
      <c r="DZ403" s="32"/>
      <c r="EA403" s="32"/>
      <c r="EB403" s="32"/>
      <c r="EC403" s="32"/>
      <c r="ED403" s="32"/>
      <c r="EE403" s="32"/>
      <c r="EF403" s="32"/>
      <c r="EG403" s="32"/>
      <c r="EH403" s="32"/>
      <c r="EI403" s="32"/>
      <c r="EJ403" s="32"/>
      <c r="EK403" s="32"/>
    </row>
    <row r="404" spans="42:141">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c r="CK404" s="32"/>
      <c r="CL404" s="32"/>
      <c r="CM404" s="32"/>
      <c r="CN404" s="32"/>
      <c r="CO404" s="32"/>
      <c r="CP404" s="32"/>
      <c r="CQ404" s="32"/>
      <c r="CR404" s="32"/>
      <c r="CS404" s="32"/>
      <c r="CT404" s="32"/>
      <c r="CU404" s="32"/>
      <c r="CV404" s="32"/>
      <c r="CW404" s="32"/>
      <c r="CX404" s="32"/>
      <c r="CY404" s="32"/>
      <c r="CZ404" s="32"/>
      <c r="DA404" s="32"/>
      <c r="DB404" s="32"/>
      <c r="DC404" s="32"/>
      <c r="DD404" s="32"/>
      <c r="DE404" s="32"/>
      <c r="DF404" s="32"/>
      <c r="DG404" s="32"/>
      <c r="DH404" s="32"/>
      <c r="DI404" s="32"/>
      <c r="DJ404" s="32"/>
      <c r="DK404" s="32"/>
      <c r="DL404" s="32"/>
      <c r="DM404" s="32"/>
      <c r="DN404" s="32"/>
      <c r="DO404" s="32"/>
      <c r="DP404" s="32"/>
      <c r="DQ404" s="32"/>
      <c r="DR404" s="32"/>
      <c r="DS404" s="32"/>
      <c r="DT404" s="32"/>
      <c r="DU404" s="32"/>
      <c r="DV404" s="32"/>
      <c r="DW404" s="32"/>
      <c r="DX404" s="32"/>
      <c r="DY404" s="32"/>
      <c r="DZ404" s="32"/>
      <c r="EA404" s="32"/>
      <c r="EB404" s="32"/>
      <c r="EC404" s="32"/>
      <c r="ED404" s="32"/>
      <c r="EE404" s="32"/>
      <c r="EF404" s="32"/>
      <c r="EG404" s="32"/>
      <c r="EH404" s="32"/>
      <c r="EI404" s="32"/>
      <c r="EJ404" s="32"/>
      <c r="EK404" s="32"/>
    </row>
    <row r="405" spans="42:141">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c r="CK405" s="32"/>
      <c r="CL405" s="32"/>
      <c r="CM405" s="32"/>
      <c r="CN405" s="32"/>
      <c r="CO405" s="32"/>
      <c r="CP405" s="32"/>
      <c r="CQ405" s="32"/>
      <c r="CR405" s="32"/>
      <c r="CS405" s="32"/>
      <c r="CT405" s="32"/>
      <c r="CU405" s="32"/>
      <c r="CV405" s="32"/>
      <c r="CW405" s="32"/>
      <c r="CX405" s="32"/>
      <c r="CY405" s="32"/>
      <c r="CZ405" s="32"/>
      <c r="DA405" s="32"/>
      <c r="DB405" s="32"/>
      <c r="DC405" s="32"/>
      <c r="DD405" s="32"/>
      <c r="DE405" s="32"/>
      <c r="DF405" s="32"/>
      <c r="DG405" s="32"/>
      <c r="DH405" s="32"/>
      <c r="DI405" s="32"/>
      <c r="DJ405" s="32"/>
      <c r="DK405" s="32"/>
      <c r="DL405" s="32"/>
      <c r="DM405" s="32"/>
      <c r="DN405" s="32"/>
      <c r="DO405" s="32"/>
      <c r="DP405" s="32"/>
      <c r="DQ405" s="32"/>
      <c r="DR405" s="32"/>
      <c r="DS405" s="32"/>
      <c r="DT405" s="32"/>
      <c r="DU405" s="32"/>
      <c r="DV405" s="32"/>
      <c r="DW405" s="32"/>
      <c r="DX405" s="32"/>
      <c r="DY405" s="32"/>
      <c r="DZ405" s="32"/>
      <c r="EA405" s="32"/>
      <c r="EB405" s="32"/>
      <c r="EC405" s="32"/>
      <c r="ED405" s="32"/>
      <c r="EE405" s="32"/>
      <c r="EF405" s="32"/>
      <c r="EG405" s="32"/>
      <c r="EH405" s="32"/>
      <c r="EI405" s="32"/>
      <c r="EJ405" s="32"/>
      <c r="EK405" s="32"/>
    </row>
    <row r="406" spans="42:141">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c r="CK406" s="32"/>
      <c r="CL406" s="32"/>
      <c r="CM406" s="32"/>
      <c r="CN406" s="32"/>
      <c r="CO406" s="32"/>
      <c r="CP406" s="32"/>
      <c r="CQ406" s="32"/>
      <c r="CR406" s="32"/>
      <c r="CS406" s="32"/>
      <c r="CT406" s="32"/>
      <c r="CU406" s="32"/>
      <c r="CV406" s="32"/>
      <c r="CW406" s="32"/>
      <c r="CX406" s="32"/>
      <c r="CY406" s="32"/>
      <c r="CZ406" s="32"/>
      <c r="DA406" s="32"/>
      <c r="DB406" s="32"/>
      <c r="DC406" s="32"/>
      <c r="DD406" s="32"/>
      <c r="DE406" s="32"/>
      <c r="DF406" s="32"/>
      <c r="DG406" s="32"/>
      <c r="DH406" s="32"/>
      <c r="DI406" s="32"/>
      <c r="DJ406" s="32"/>
      <c r="DK406" s="32"/>
      <c r="DL406" s="32"/>
      <c r="DM406" s="32"/>
      <c r="DN406" s="32"/>
      <c r="DO406" s="32"/>
      <c r="DP406" s="32"/>
      <c r="DQ406" s="32"/>
      <c r="DR406" s="32"/>
      <c r="DS406" s="32"/>
      <c r="DT406" s="32"/>
      <c r="DU406" s="32"/>
      <c r="DV406" s="32"/>
      <c r="DW406" s="32"/>
      <c r="DX406" s="32"/>
      <c r="DY406" s="32"/>
      <c r="DZ406" s="32"/>
      <c r="EA406" s="32"/>
      <c r="EB406" s="32"/>
      <c r="EC406" s="32"/>
      <c r="ED406" s="32"/>
      <c r="EE406" s="32"/>
      <c r="EF406" s="32"/>
      <c r="EG406" s="32"/>
      <c r="EH406" s="32"/>
      <c r="EI406" s="32"/>
      <c r="EJ406" s="32"/>
      <c r="EK406" s="32"/>
    </row>
    <row r="407" spans="42:141">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c r="BO407" s="32"/>
      <c r="BP407" s="32"/>
      <c r="BQ407" s="32"/>
      <c r="BR407" s="32"/>
      <c r="BS407" s="32"/>
      <c r="BT407" s="32"/>
      <c r="BU407" s="32"/>
      <c r="BV407" s="32"/>
      <c r="BW407" s="32"/>
      <c r="BX407" s="32"/>
      <c r="BY407" s="32"/>
      <c r="BZ407" s="32"/>
      <c r="CA407" s="32"/>
      <c r="CB407" s="32"/>
      <c r="CC407" s="32"/>
      <c r="CD407" s="32"/>
      <c r="CE407" s="32"/>
      <c r="CF407" s="32"/>
      <c r="CG407" s="32"/>
      <c r="CH407" s="32"/>
      <c r="CI407" s="32"/>
      <c r="CJ407" s="32"/>
      <c r="CK407" s="32"/>
      <c r="CL407" s="32"/>
      <c r="CM407" s="32"/>
      <c r="CN407" s="32"/>
      <c r="CO407" s="32"/>
      <c r="CP407" s="32"/>
      <c r="CQ407" s="32"/>
      <c r="CR407" s="32"/>
      <c r="CS407" s="32"/>
      <c r="CT407" s="32"/>
      <c r="CU407" s="32"/>
      <c r="CV407" s="32"/>
      <c r="CW407" s="32"/>
      <c r="CX407" s="32"/>
      <c r="CY407" s="32"/>
      <c r="CZ407" s="32"/>
      <c r="DA407" s="32"/>
      <c r="DB407" s="32"/>
      <c r="DC407" s="32"/>
      <c r="DD407" s="32"/>
      <c r="DE407" s="32"/>
      <c r="DF407" s="32"/>
      <c r="DG407" s="32"/>
      <c r="DH407" s="32"/>
      <c r="DI407" s="32"/>
      <c r="DJ407" s="32"/>
      <c r="DK407" s="32"/>
      <c r="DL407" s="32"/>
      <c r="DM407" s="32"/>
      <c r="DN407" s="32"/>
      <c r="DO407" s="32"/>
      <c r="DP407" s="32"/>
      <c r="DQ407" s="32"/>
      <c r="DR407" s="32"/>
      <c r="DS407" s="32"/>
      <c r="DT407" s="32"/>
      <c r="DU407" s="32"/>
      <c r="DV407" s="32"/>
      <c r="DW407" s="32"/>
      <c r="DX407" s="32"/>
      <c r="DY407" s="32"/>
      <c r="DZ407" s="32"/>
      <c r="EA407" s="32"/>
      <c r="EB407" s="32"/>
      <c r="EC407" s="32"/>
      <c r="ED407" s="32"/>
      <c r="EE407" s="32"/>
      <c r="EF407" s="32"/>
      <c r="EG407" s="32"/>
      <c r="EH407" s="32"/>
      <c r="EI407" s="32"/>
      <c r="EJ407" s="32"/>
      <c r="EK407" s="32"/>
    </row>
    <row r="408" spans="42:141">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c r="CK408" s="32"/>
      <c r="CL408" s="32"/>
      <c r="CM408" s="32"/>
      <c r="CN408" s="32"/>
      <c r="CO408" s="32"/>
      <c r="CP408" s="32"/>
      <c r="CQ408" s="32"/>
      <c r="CR408" s="32"/>
      <c r="CS408" s="32"/>
      <c r="CT408" s="32"/>
      <c r="CU408" s="32"/>
      <c r="CV408" s="32"/>
      <c r="CW408" s="32"/>
      <c r="CX408" s="32"/>
      <c r="CY408" s="32"/>
      <c r="CZ408" s="32"/>
      <c r="DA408" s="32"/>
      <c r="DB408" s="32"/>
      <c r="DC408" s="32"/>
      <c r="DD408" s="32"/>
      <c r="DE408" s="32"/>
      <c r="DF408" s="32"/>
      <c r="DG408" s="32"/>
      <c r="DH408" s="32"/>
      <c r="DI408" s="32"/>
      <c r="DJ408" s="32"/>
      <c r="DK408" s="32"/>
      <c r="DL408" s="32"/>
      <c r="DM408" s="32"/>
      <c r="DN408" s="32"/>
      <c r="DO408" s="32"/>
      <c r="DP408" s="32"/>
      <c r="DQ408" s="32"/>
      <c r="DR408" s="32"/>
      <c r="DS408" s="32"/>
      <c r="DT408" s="32"/>
      <c r="DU408" s="32"/>
      <c r="DV408" s="32"/>
      <c r="DW408" s="32"/>
      <c r="DX408" s="32"/>
      <c r="DY408" s="32"/>
      <c r="DZ408" s="32"/>
      <c r="EA408" s="32"/>
      <c r="EB408" s="32"/>
      <c r="EC408" s="32"/>
      <c r="ED408" s="32"/>
      <c r="EE408" s="32"/>
      <c r="EF408" s="32"/>
      <c r="EG408" s="32"/>
      <c r="EH408" s="32"/>
      <c r="EI408" s="32"/>
      <c r="EJ408" s="32"/>
      <c r="EK408" s="32"/>
    </row>
    <row r="1000" spans="648:648" ht="15.75">
      <c r="XX1000" s="151">
        <v>125713</v>
      </c>
    </row>
  </sheetData>
  <mergeCells count="5">
    <mergeCell ref="G53:R53"/>
    <mergeCell ref="G54:R54"/>
    <mergeCell ref="G55:R55"/>
    <mergeCell ref="G56:R56"/>
    <mergeCell ref="G57:R57"/>
  </mergeCells>
  <phoneticPr fontId="3"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6" id="{3872D944-ECBF-4E39-AF3E-3D7B266B678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E71 E107 E143 E180 E217 E255 E297</xm:sqref>
        </x14:conditionalFormatting>
        <x14:conditionalFormatting xmlns:xm="http://schemas.microsoft.com/office/excel/2006/main">
          <x14:cfRule type="iconSet" priority="15" id="{11BD31AF-D2AF-42F5-BC8B-234A00B4B1B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F53:F57</xm:sqref>
        </x14:conditionalFormatting>
        <x14:conditionalFormatting xmlns:xm="http://schemas.microsoft.com/office/excel/2006/main">
          <x14:cfRule type="iconSet" priority="45" id="{E0479ABC-BB17-49CF-AA18-36512313168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F63:F65</xm:sqref>
        </x14:conditionalFormatting>
        <x14:conditionalFormatting xmlns:xm="http://schemas.microsoft.com/office/excel/2006/main">
          <x14:cfRule type="iconSet" priority="43" id="{CA35CF4E-0D88-435C-BA3B-D6ACAD266C8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F66:F67 F205:F212 F71:F73 B71:D71 F58:F62 B107:D107 B143:D143 B180:D180 B217:D217 B255:D255 B297:D297 F297:F299 F255:F257 F217:F219 F143:F145 F107:F109 F75 F96:F102 F132:F137 F111 F168:F182 F147 F184 F242:F250 F221 F280:F293 F259 F322 F301</xm:sqref>
        </x14:conditionalFormatting>
        <x14:conditionalFormatting xmlns:xm="http://schemas.microsoft.com/office/excel/2006/main">
          <x14:cfRule type="iconSet" priority="39" id="{59EE1DBF-9C3E-4B27-BA4A-6FED8D996DF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F68:F70</xm:sqref>
        </x14:conditionalFormatting>
        <x14:conditionalFormatting xmlns:xm="http://schemas.microsoft.com/office/excel/2006/main">
          <x14:cfRule type="iconSet" priority="14" id="{BCB53BB3-6247-46AB-9CF0-40F003A4F8B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F74</xm:sqref>
        </x14:conditionalFormatting>
        <x14:conditionalFormatting xmlns:xm="http://schemas.microsoft.com/office/excel/2006/main">
          <x14:cfRule type="iconSet" priority="13" id="{7914C570-89C2-4C1E-9466-1B51115C091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F76:F95</xm:sqref>
        </x14:conditionalFormatting>
        <x14:conditionalFormatting xmlns:xm="http://schemas.microsoft.com/office/excel/2006/main">
          <x14:cfRule type="iconSet" priority="38" id="{BD35B29A-FFF2-4543-8950-3A1898B0874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F103:F106</xm:sqref>
        </x14:conditionalFormatting>
        <x14:conditionalFormatting xmlns:xm="http://schemas.microsoft.com/office/excel/2006/main">
          <x14:cfRule type="iconSet" priority="12" id="{A45D044C-650D-4E30-89BA-42D2BF02996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F110</xm:sqref>
        </x14:conditionalFormatting>
        <x14:conditionalFormatting xmlns:xm="http://schemas.microsoft.com/office/excel/2006/main">
          <x14:cfRule type="iconSet" priority="11" id="{FCBF3BE5-BF41-4FD1-B081-01C5EDD2525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F112:F131</xm:sqref>
        </x14:conditionalFormatting>
        <x14:conditionalFormatting xmlns:xm="http://schemas.microsoft.com/office/excel/2006/main">
          <x14:cfRule type="iconSet" priority="32" id="{093E57EE-C37A-4D77-8B22-957DA1F652E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F138:F142</xm:sqref>
        </x14:conditionalFormatting>
        <x14:conditionalFormatting xmlns:xm="http://schemas.microsoft.com/office/excel/2006/main">
          <x14:cfRule type="iconSet" priority="10" id="{89ADD484-2651-4061-ADEC-C8062533244E}">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F146</xm:sqref>
        </x14:conditionalFormatting>
        <x14:conditionalFormatting xmlns:xm="http://schemas.microsoft.com/office/excel/2006/main">
          <x14:cfRule type="iconSet" priority="9" id="{3911CA94-CE99-4BE1-AE5E-A447346F6A9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F148:F167</xm:sqref>
        </x14:conditionalFormatting>
        <x14:conditionalFormatting xmlns:xm="http://schemas.microsoft.com/office/excel/2006/main">
          <x14:cfRule type="iconSet" priority="8" id="{90AA4383-B9FE-4EFD-A271-1643C18C16E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F183</xm:sqref>
        </x14:conditionalFormatting>
        <x14:conditionalFormatting xmlns:xm="http://schemas.microsoft.com/office/excel/2006/main">
          <x14:cfRule type="iconSet" priority="7" id="{1F228B09-FD8C-44B3-9FAD-86AFCF2C22E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F185:F204</xm:sqref>
        </x14:conditionalFormatting>
        <x14:conditionalFormatting xmlns:xm="http://schemas.microsoft.com/office/excel/2006/main">
          <x14:cfRule type="iconSet" priority="19" id="{E2541AD3-2E0A-4204-9BBA-DE36DD8849AE}">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F213:F216</xm:sqref>
        </x14:conditionalFormatting>
        <x14:conditionalFormatting xmlns:xm="http://schemas.microsoft.com/office/excel/2006/main">
          <x14:cfRule type="iconSet" priority="6" id="{AB7BC168-4735-470A-AF21-EBCE815F885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F220</xm:sqref>
        </x14:conditionalFormatting>
        <x14:conditionalFormatting xmlns:xm="http://schemas.microsoft.com/office/excel/2006/main">
          <x14:cfRule type="iconSet" priority="5" id="{23F58749-E843-4D83-8917-69F38F7481E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F222:F241</xm:sqref>
        </x14:conditionalFormatting>
        <x14:conditionalFormatting xmlns:xm="http://schemas.microsoft.com/office/excel/2006/main">
          <x14:cfRule type="iconSet" priority="37" id="{89A1EDA2-FAB0-48B1-B9D0-6BCD3F4E0EF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F251:F254</xm:sqref>
        </x14:conditionalFormatting>
        <x14:conditionalFormatting xmlns:xm="http://schemas.microsoft.com/office/excel/2006/main">
          <x14:cfRule type="iconSet" priority="4" id="{CA349CAA-2B4D-4CF3-A344-81C25FAA3C9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F258</xm:sqref>
        </x14:conditionalFormatting>
        <x14:conditionalFormatting xmlns:xm="http://schemas.microsoft.com/office/excel/2006/main">
          <x14:cfRule type="iconSet" priority="3" id="{8E9F7E38-978E-4E58-B3A0-F88A5E0644E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F260:F279</xm:sqref>
        </x14:conditionalFormatting>
        <x14:conditionalFormatting xmlns:xm="http://schemas.microsoft.com/office/excel/2006/main">
          <x14:cfRule type="iconSet" priority="36" id="{99B24B16-D78A-48D7-91FE-4037271635E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F294:F296</xm:sqref>
        </x14:conditionalFormatting>
        <x14:conditionalFormatting xmlns:xm="http://schemas.microsoft.com/office/excel/2006/main">
          <x14:cfRule type="iconSet" priority="2" id="{0ADB2E3C-0EAA-4015-BFF2-E7149ADFAEC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F300</xm:sqref>
        </x14:conditionalFormatting>
        <x14:conditionalFormatting xmlns:xm="http://schemas.microsoft.com/office/excel/2006/main">
          <x14:cfRule type="iconSet" priority="1" id="{B53FD1A0-D298-4BD4-821B-B556D957AF9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F302:F321</xm:sqref>
        </x14:conditionalFormatting>
        <x14:conditionalFormatting xmlns:xm="http://schemas.microsoft.com/office/excel/2006/main">
          <x14:cfRule type="iconSet" priority="41" id="{F66DA535-960E-4C30-B309-F2A71521FB7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F364:F365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68678-C7F9-402C-A1EB-170731005845}">
  <dimension ref="A1:Q147"/>
  <sheetViews>
    <sheetView showGridLines="0" zoomScale="70" zoomScaleNormal="70" workbookViewId="0"/>
  </sheetViews>
  <sheetFormatPr defaultColWidth="8.7109375" defaultRowHeight="23.25" customHeight="1"/>
  <cols>
    <col min="1" max="1" width="3.28515625" style="119" customWidth="1"/>
    <col min="2" max="2" width="13" style="129" customWidth="1"/>
    <col min="3" max="3" width="57" style="130" customWidth="1"/>
    <col min="4" max="4" width="9.85546875" style="119" customWidth="1"/>
    <col min="5" max="17" width="5.7109375" style="119" customWidth="1"/>
    <col min="18" max="41" width="8.42578125" style="121" customWidth="1"/>
    <col min="42" max="67" width="6.42578125" style="121" customWidth="1"/>
    <col min="68" max="16384" width="8.7109375" style="121"/>
  </cols>
  <sheetData>
    <row r="1" spans="2:17" ht="23.25" customHeight="1" thickBot="1">
      <c r="B1" s="117" t="s">
        <v>148</v>
      </c>
      <c r="C1" s="118"/>
      <c r="F1" s="120"/>
      <c r="G1" s="120"/>
      <c r="H1" s="121"/>
      <c r="I1" s="121"/>
      <c r="J1" s="121"/>
      <c r="K1" s="121"/>
      <c r="L1" s="121"/>
      <c r="M1" s="121"/>
      <c r="N1" s="121"/>
      <c r="O1" s="121"/>
      <c r="P1" s="121"/>
      <c r="Q1" s="121"/>
    </row>
    <row r="2" spans="2:17" ht="23.25" customHeight="1" thickBot="1">
      <c r="B2" s="122" t="s">
        <v>8</v>
      </c>
      <c r="C2" s="123" t="s">
        <v>11</v>
      </c>
      <c r="D2" s="122" t="s">
        <v>10</v>
      </c>
      <c r="N2" s="121"/>
      <c r="O2" s="121"/>
      <c r="P2" s="121"/>
      <c r="Q2" s="121"/>
    </row>
    <row r="3" spans="2:17" ht="23.25" customHeight="1">
      <c r="B3" s="124" t="s">
        <v>26</v>
      </c>
      <c r="C3" s="125" t="str">
        <f>IF(ISBLANK(Case!E53),"",Case!E53)</f>
        <v/>
      </c>
      <c r="D3" s="126">
        <v>50</v>
      </c>
      <c r="E3" s="121"/>
      <c r="F3" s="121"/>
      <c r="G3" s="121"/>
      <c r="H3" s="121"/>
      <c r="I3" s="121"/>
      <c r="J3" s="121"/>
      <c r="K3" s="121"/>
      <c r="L3" s="121"/>
      <c r="M3" s="121"/>
      <c r="N3" s="121"/>
      <c r="O3" s="121"/>
      <c r="P3" s="121"/>
      <c r="Q3" s="121"/>
    </row>
    <row r="4" spans="2:17" ht="23.25" customHeight="1">
      <c r="B4" s="127" t="s">
        <v>27</v>
      </c>
      <c r="C4" s="125" t="str">
        <f>IF(ISBLANK(Case!E54),"",Case!E54)</f>
        <v/>
      </c>
      <c r="D4" s="128">
        <v>50</v>
      </c>
      <c r="E4" s="121"/>
      <c r="F4" s="121"/>
      <c r="G4" s="121"/>
      <c r="H4" s="121"/>
      <c r="I4" s="121"/>
      <c r="J4" s="121"/>
      <c r="K4" s="121"/>
      <c r="L4" s="121"/>
      <c r="M4" s="121"/>
      <c r="N4" s="121"/>
      <c r="O4" s="121"/>
      <c r="P4" s="121"/>
      <c r="Q4" s="121"/>
    </row>
    <row r="5" spans="2:17" ht="23.25" customHeight="1">
      <c r="B5" s="127" t="s">
        <v>28</v>
      </c>
      <c r="C5" s="125" t="str">
        <f>IF(ISBLANK(Case!E55),"",Case!E55)</f>
        <v/>
      </c>
      <c r="D5" s="128">
        <v>50</v>
      </c>
      <c r="E5" s="121"/>
      <c r="F5" s="121"/>
      <c r="G5" s="121"/>
      <c r="H5" s="121"/>
      <c r="I5" s="121"/>
      <c r="J5" s="121"/>
      <c r="K5" s="121"/>
      <c r="L5" s="121"/>
      <c r="M5" s="121"/>
      <c r="N5" s="121"/>
      <c r="O5" s="121"/>
      <c r="P5" s="121"/>
      <c r="Q5" s="121"/>
    </row>
    <row r="6" spans="2:17" ht="23.25" customHeight="1">
      <c r="B6" s="127" t="s">
        <v>29</v>
      </c>
      <c r="C6" s="125" t="str">
        <f>IF(ISBLANK(Case!E56),"",Case!E56)</f>
        <v/>
      </c>
      <c r="D6" s="128">
        <v>50</v>
      </c>
      <c r="E6" s="121"/>
      <c r="F6" s="121"/>
      <c r="G6" s="121"/>
      <c r="H6" s="121"/>
      <c r="I6" s="121"/>
      <c r="J6" s="121"/>
      <c r="K6" s="121"/>
      <c r="L6" s="121"/>
      <c r="M6" s="121"/>
      <c r="N6" s="121"/>
      <c r="O6" s="121"/>
      <c r="P6" s="121"/>
      <c r="Q6" s="121"/>
    </row>
    <row r="7" spans="2:17" ht="23.25" customHeight="1">
      <c r="B7" s="127" t="s">
        <v>30</v>
      </c>
      <c r="C7" s="125" t="str">
        <f>IF(ISBLANK(Case!E57),"",Case!E57)</f>
        <v/>
      </c>
      <c r="D7" s="128">
        <v>50</v>
      </c>
      <c r="E7" s="121"/>
      <c r="F7" s="121"/>
      <c r="G7" s="121"/>
      <c r="H7" s="121"/>
      <c r="I7" s="121"/>
      <c r="J7" s="121"/>
      <c r="K7" s="121"/>
      <c r="L7" s="121"/>
      <c r="M7" s="121"/>
      <c r="N7" s="121"/>
      <c r="O7" s="121"/>
      <c r="P7" s="121"/>
      <c r="Q7" s="121"/>
    </row>
    <row r="8" spans="2:17" ht="23.25" customHeight="1">
      <c r="B8" s="51">
        <v>1</v>
      </c>
      <c r="C8" s="125">
        <f>IF(ISBLANK(Case!E76),"",Case!E76)</f>
        <v>29</v>
      </c>
      <c r="D8" s="124">
        <v>4</v>
      </c>
      <c r="F8" s="121"/>
      <c r="G8" s="121"/>
      <c r="H8" s="121"/>
      <c r="I8" s="121"/>
      <c r="J8" s="121"/>
      <c r="K8" s="121"/>
      <c r="L8" s="121"/>
      <c r="M8" s="121"/>
      <c r="N8" s="121"/>
      <c r="O8" s="121"/>
      <c r="P8" s="121"/>
      <c r="Q8" s="121"/>
    </row>
    <row r="9" spans="2:17" ht="23.25" customHeight="1">
      <c r="B9" s="51">
        <f t="shared" ref="B9:B72" si="0">B8+1</f>
        <v>2</v>
      </c>
      <c r="C9" s="125">
        <f>IF(ISBLANK(Case!E77),"",Case!E77)</f>
        <v>31</v>
      </c>
      <c r="D9" s="124">
        <v>4</v>
      </c>
      <c r="F9" s="121"/>
      <c r="G9" s="121"/>
      <c r="H9" s="121"/>
      <c r="I9" s="121"/>
      <c r="J9" s="121"/>
      <c r="K9" s="121"/>
      <c r="L9" s="121"/>
      <c r="M9" s="121"/>
      <c r="N9" s="121"/>
      <c r="O9" s="121"/>
      <c r="P9" s="121"/>
      <c r="Q9" s="121"/>
    </row>
    <row r="10" spans="2:17" ht="23.25" customHeight="1">
      <c r="B10" s="51">
        <f t="shared" si="0"/>
        <v>3</v>
      </c>
      <c r="C10" s="125">
        <f>IF(ISBLANK(Case!E78),"",Case!E78)</f>
        <v>35</v>
      </c>
      <c r="D10" s="124">
        <v>4</v>
      </c>
      <c r="F10" s="121"/>
      <c r="G10" s="121"/>
      <c r="H10" s="121"/>
      <c r="I10" s="121"/>
      <c r="J10" s="121"/>
      <c r="K10" s="121"/>
      <c r="L10" s="121"/>
      <c r="M10" s="121"/>
      <c r="N10" s="121"/>
      <c r="O10" s="121"/>
      <c r="P10" s="121"/>
      <c r="Q10" s="121"/>
    </row>
    <row r="11" spans="2:17" ht="23.25" customHeight="1">
      <c r="B11" s="51">
        <f t="shared" si="0"/>
        <v>4</v>
      </c>
      <c r="C11" s="125">
        <f>IF(ISBLANK(Case!E79),"",Case!E79)</f>
        <v>35</v>
      </c>
      <c r="D11" s="124">
        <v>4</v>
      </c>
      <c r="F11" s="121"/>
      <c r="G11" s="121"/>
      <c r="H11" s="121"/>
      <c r="I11" s="121"/>
      <c r="J11" s="121"/>
      <c r="K11" s="121"/>
      <c r="L11" s="121"/>
      <c r="M11" s="121"/>
      <c r="N11" s="121"/>
      <c r="O11" s="121"/>
      <c r="P11" s="121"/>
      <c r="Q11" s="121"/>
    </row>
    <row r="12" spans="2:17" ht="23.25" customHeight="1">
      <c r="B12" s="51">
        <f t="shared" si="0"/>
        <v>5</v>
      </c>
      <c r="C12" s="125">
        <f>IF(ISBLANK(Case!E80),"",Case!E80)</f>
        <v>28</v>
      </c>
      <c r="D12" s="124">
        <v>4</v>
      </c>
      <c r="F12" s="121"/>
      <c r="G12" s="121"/>
      <c r="H12" s="121"/>
      <c r="I12" s="121"/>
      <c r="J12" s="121"/>
      <c r="K12" s="121"/>
      <c r="L12" s="121"/>
      <c r="M12" s="121"/>
      <c r="N12" s="121"/>
      <c r="O12" s="121"/>
      <c r="P12" s="121"/>
      <c r="Q12" s="121"/>
    </row>
    <row r="13" spans="2:17" ht="23.25" customHeight="1">
      <c r="B13" s="51">
        <f t="shared" si="0"/>
        <v>6</v>
      </c>
      <c r="C13" s="125">
        <f>IF(ISBLANK(Case!E81),"",Case!E81)</f>
        <v>31</v>
      </c>
      <c r="D13" s="124">
        <v>4</v>
      </c>
      <c r="F13" s="121"/>
      <c r="G13" s="121"/>
      <c r="H13" s="121"/>
      <c r="I13" s="121"/>
      <c r="J13" s="121"/>
      <c r="K13" s="121"/>
      <c r="L13" s="121"/>
      <c r="M13" s="121"/>
      <c r="N13" s="121"/>
      <c r="O13" s="121"/>
      <c r="P13" s="121"/>
      <c r="Q13" s="121"/>
    </row>
    <row r="14" spans="2:17" ht="23.25" customHeight="1">
      <c r="B14" s="51">
        <f t="shared" si="0"/>
        <v>7</v>
      </c>
      <c r="C14" s="125">
        <f>IF(ISBLANK(Case!E82),"",Case!E82)</f>
        <v>30</v>
      </c>
      <c r="D14" s="124">
        <v>4</v>
      </c>
      <c r="F14" s="121"/>
      <c r="G14" s="121"/>
      <c r="H14" s="121"/>
      <c r="I14" s="121"/>
      <c r="J14" s="121"/>
      <c r="K14" s="121"/>
      <c r="L14" s="121"/>
      <c r="M14" s="121"/>
      <c r="N14" s="121"/>
      <c r="O14" s="121"/>
      <c r="P14" s="121"/>
      <c r="Q14" s="121"/>
    </row>
    <row r="15" spans="2:17" ht="23.25" customHeight="1">
      <c r="B15" s="51">
        <f t="shared" si="0"/>
        <v>8</v>
      </c>
      <c r="C15" s="125">
        <f>IF(ISBLANK(Case!E83),"",Case!E83)</f>
        <v>32</v>
      </c>
      <c r="D15" s="124">
        <v>4</v>
      </c>
      <c r="F15" s="121"/>
      <c r="G15" s="121"/>
      <c r="H15" s="121"/>
      <c r="I15" s="121"/>
      <c r="J15" s="121"/>
      <c r="K15" s="121"/>
      <c r="L15" s="121"/>
      <c r="M15" s="121"/>
      <c r="N15" s="121"/>
      <c r="O15" s="121"/>
      <c r="P15" s="121"/>
      <c r="Q15" s="121"/>
    </row>
    <row r="16" spans="2:17" ht="23.25" customHeight="1">
      <c r="B16" s="51">
        <f t="shared" si="0"/>
        <v>9</v>
      </c>
      <c r="C16" s="125">
        <f>IF(ISBLANK(Case!E84),"",Case!E84)</f>
        <v>37</v>
      </c>
      <c r="D16" s="124">
        <v>4</v>
      </c>
      <c r="F16" s="121"/>
      <c r="G16" s="121"/>
      <c r="H16" s="121"/>
      <c r="I16" s="121"/>
      <c r="J16" s="121"/>
      <c r="K16" s="121"/>
      <c r="L16" s="121"/>
      <c r="M16" s="121"/>
      <c r="N16" s="121"/>
      <c r="O16" s="121"/>
      <c r="P16" s="121"/>
      <c r="Q16" s="121"/>
    </row>
    <row r="17" spans="2:17" ht="23.25" customHeight="1">
      <c r="B17" s="51">
        <f t="shared" si="0"/>
        <v>10</v>
      </c>
      <c r="C17" s="125">
        <f>IF(ISBLANK(Case!E85),"",Case!E85)</f>
        <v>33</v>
      </c>
      <c r="D17" s="124">
        <v>4</v>
      </c>
      <c r="F17" s="121"/>
      <c r="G17" s="121"/>
      <c r="H17" s="121"/>
      <c r="I17" s="121"/>
      <c r="J17" s="121"/>
      <c r="K17" s="121"/>
      <c r="L17" s="121"/>
      <c r="M17" s="121"/>
      <c r="N17" s="121"/>
      <c r="O17" s="121"/>
      <c r="P17" s="121"/>
      <c r="Q17" s="121"/>
    </row>
    <row r="18" spans="2:17" ht="23.25" customHeight="1">
      <c r="B18" s="51">
        <f t="shared" si="0"/>
        <v>11</v>
      </c>
      <c r="C18" s="125">
        <f>IF(ISBLANK(Case!E86),"",Case!E86)</f>
        <v>28</v>
      </c>
      <c r="D18" s="124">
        <v>4</v>
      </c>
      <c r="F18" s="121"/>
      <c r="G18" s="121"/>
      <c r="H18" s="121"/>
      <c r="I18" s="121"/>
      <c r="J18" s="121"/>
      <c r="K18" s="121"/>
      <c r="L18" s="121"/>
      <c r="M18" s="121"/>
      <c r="N18" s="121"/>
      <c r="O18" s="121"/>
      <c r="P18" s="121"/>
      <c r="Q18" s="121"/>
    </row>
    <row r="19" spans="2:17" ht="23.25" customHeight="1">
      <c r="B19" s="51">
        <f t="shared" si="0"/>
        <v>12</v>
      </c>
      <c r="C19" s="125">
        <f>IF(ISBLANK(Case!E87),"",Case!E87)</f>
        <v>34</v>
      </c>
      <c r="D19" s="124">
        <v>4</v>
      </c>
      <c r="F19" s="121"/>
      <c r="G19" s="121"/>
      <c r="H19" s="121"/>
      <c r="I19" s="121"/>
      <c r="J19" s="121"/>
      <c r="K19" s="121"/>
      <c r="L19" s="121"/>
      <c r="M19" s="121"/>
      <c r="N19" s="121"/>
      <c r="O19" s="121"/>
      <c r="P19" s="121"/>
      <c r="Q19" s="121"/>
    </row>
    <row r="20" spans="2:17" ht="23.25" customHeight="1">
      <c r="B20" s="51">
        <f t="shared" si="0"/>
        <v>13</v>
      </c>
      <c r="C20" s="125">
        <f>IF(ISBLANK(Case!E88),"",Case!E88)</f>
        <v>31</v>
      </c>
      <c r="D20" s="124">
        <v>4</v>
      </c>
      <c r="F20" s="121"/>
      <c r="G20" s="121"/>
      <c r="H20" s="121"/>
      <c r="I20" s="121"/>
      <c r="J20" s="121"/>
      <c r="K20" s="121"/>
      <c r="L20" s="121"/>
      <c r="M20" s="121"/>
      <c r="N20" s="121"/>
      <c r="O20" s="121"/>
      <c r="P20" s="121"/>
      <c r="Q20" s="121"/>
    </row>
    <row r="21" spans="2:17" ht="23.25" customHeight="1">
      <c r="B21" s="51">
        <f t="shared" si="0"/>
        <v>14</v>
      </c>
      <c r="C21" s="125">
        <f>IF(ISBLANK(Case!E89),"",Case!E89)</f>
        <v>35</v>
      </c>
      <c r="D21" s="124">
        <v>4</v>
      </c>
      <c r="F21" s="121"/>
      <c r="G21" s="121"/>
      <c r="H21" s="121"/>
      <c r="I21" s="121"/>
      <c r="J21" s="121"/>
      <c r="K21" s="121"/>
      <c r="L21" s="121"/>
      <c r="M21" s="121"/>
      <c r="N21" s="121"/>
      <c r="O21" s="121"/>
      <c r="P21" s="121"/>
      <c r="Q21" s="121"/>
    </row>
    <row r="22" spans="2:17" ht="23.25" customHeight="1">
      <c r="B22" s="51">
        <f t="shared" si="0"/>
        <v>15</v>
      </c>
      <c r="C22" s="125">
        <f>IF(ISBLANK(Case!E90),"",Case!E90)</f>
        <v>34</v>
      </c>
      <c r="D22" s="124">
        <v>4</v>
      </c>
      <c r="F22" s="121"/>
      <c r="G22" s="121"/>
      <c r="H22" s="121"/>
      <c r="I22" s="121"/>
      <c r="J22" s="121"/>
      <c r="K22" s="121"/>
      <c r="L22" s="121"/>
      <c r="M22" s="121"/>
      <c r="N22" s="121"/>
      <c r="O22" s="121"/>
      <c r="P22" s="121"/>
      <c r="Q22" s="121"/>
    </row>
    <row r="23" spans="2:17" ht="23.25" customHeight="1">
      <c r="B23" s="51">
        <f t="shared" si="0"/>
        <v>16</v>
      </c>
      <c r="C23" s="125">
        <f>IF(ISBLANK(Case!E91),"",Case!E91)</f>
        <v>30</v>
      </c>
      <c r="D23" s="124">
        <v>4</v>
      </c>
      <c r="F23" s="121"/>
      <c r="G23" s="121"/>
      <c r="H23" s="121"/>
      <c r="I23" s="121"/>
      <c r="J23" s="121"/>
      <c r="K23" s="121"/>
      <c r="L23" s="121"/>
      <c r="M23" s="121"/>
      <c r="N23" s="121"/>
      <c r="O23" s="121"/>
      <c r="P23" s="121"/>
      <c r="Q23" s="121"/>
    </row>
    <row r="24" spans="2:17" ht="23.25" customHeight="1">
      <c r="B24" s="51">
        <f t="shared" si="0"/>
        <v>17</v>
      </c>
      <c r="C24" s="125">
        <f>IF(ISBLANK(Case!E92),"",Case!E92)</f>
        <v>33</v>
      </c>
      <c r="D24" s="124">
        <v>4</v>
      </c>
      <c r="F24" s="121"/>
      <c r="G24" s="121"/>
      <c r="H24" s="121"/>
      <c r="I24" s="121"/>
      <c r="J24" s="121"/>
      <c r="K24" s="121"/>
      <c r="L24" s="121"/>
      <c r="M24" s="121"/>
      <c r="N24" s="121"/>
      <c r="O24" s="121"/>
      <c r="P24" s="121"/>
      <c r="Q24" s="121"/>
    </row>
    <row r="25" spans="2:17" ht="23.25" customHeight="1">
      <c r="B25" s="51">
        <f t="shared" si="0"/>
        <v>18</v>
      </c>
      <c r="C25" s="125">
        <f>IF(ISBLANK(Case!E93),"",Case!E93)</f>
        <v>29</v>
      </c>
      <c r="D25" s="124">
        <v>4</v>
      </c>
      <c r="F25" s="121"/>
      <c r="G25" s="121"/>
      <c r="H25" s="121"/>
      <c r="I25" s="121"/>
      <c r="J25" s="121"/>
      <c r="K25" s="121"/>
      <c r="L25" s="121"/>
      <c r="M25" s="121"/>
      <c r="N25" s="121"/>
      <c r="O25" s="121"/>
      <c r="P25" s="121"/>
      <c r="Q25" s="121"/>
    </row>
    <row r="26" spans="2:17" ht="23.25" customHeight="1">
      <c r="B26" s="51">
        <f t="shared" si="0"/>
        <v>19</v>
      </c>
      <c r="C26" s="125">
        <f>IF(ISBLANK(Case!E94),"",Case!E94)</f>
        <v>32</v>
      </c>
      <c r="D26" s="124">
        <v>4</v>
      </c>
      <c r="F26" s="121"/>
      <c r="G26" s="121"/>
      <c r="H26" s="121"/>
      <c r="I26" s="121"/>
      <c r="J26" s="121"/>
      <c r="K26" s="121"/>
      <c r="L26" s="121"/>
      <c r="M26" s="121"/>
      <c r="N26" s="121"/>
      <c r="O26" s="121"/>
      <c r="P26" s="121"/>
      <c r="Q26" s="121"/>
    </row>
    <row r="27" spans="2:17" ht="23.25" customHeight="1">
      <c r="B27" s="51">
        <f t="shared" si="0"/>
        <v>20</v>
      </c>
      <c r="C27" s="125">
        <f>IF(ISBLANK(Case!E95),"",Case!E95)</f>
        <v>34</v>
      </c>
      <c r="D27" s="124">
        <v>4</v>
      </c>
      <c r="F27" s="121"/>
      <c r="G27" s="121"/>
      <c r="H27" s="121"/>
      <c r="I27" s="121"/>
      <c r="J27" s="121"/>
      <c r="K27" s="121"/>
      <c r="L27" s="121"/>
      <c r="M27" s="121"/>
      <c r="N27" s="121"/>
      <c r="O27" s="121"/>
      <c r="P27" s="121"/>
      <c r="Q27" s="121"/>
    </row>
    <row r="28" spans="2:17" ht="23.25" customHeight="1">
      <c r="B28" s="51">
        <f t="shared" si="0"/>
        <v>21</v>
      </c>
      <c r="C28" s="125">
        <f>IF(ISBLANK(Case!E112),"",Case!E112)</f>
        <v>5</v>
      </c>
      <c r="D28" s="124">
        <v>5</v>
      </c>
    </row>
    <row r="29" spans="2:17" ht="23.25" customHeight="1">
      <c r="B29" s="51">
        <f t="shared" si="0"/>
        <v>22</v>
      </c>
      <c r="C29" s="125">
        <f>IF(ISBLANK(Case!E113),"",Case!E113)</f>
        <v>4</v>
      </c>
      <c r="D29" s="124">
        <v>5</v>
      </c>
    </row>
    <row r="30" spans="2:17" ht="23.25" customHeight="1">
      <c r="B30" s="51">
        <f t="shared" si="0"/>
        <v>23</v>
      </c>
      <c r="C30" s="125">
        <f>IF(ISBLANK(Case!E114),"",Case!E114)</f>
        <v>5</v>
      </c>
      <c r="D30" s="124">
        <v>5</v>
      </c>
    </row>
    <row r="31" spans="2:17" ht="23.25" customHeight="1">
      <c r="B31" s="51">
        <f t="shared" si="0"/>
        <v>24</v>
      </c>
      <c r="C31" s="125">
        <f>IF(ISBLANK(Case!E115),"",Case!E115)</f>
        <v>5</v>
      </c>
      <c r="D31" s="124">
        <v>5</v>
      </c>
    </row>
    <row r="32" spans="2:17" s="119" customFormat="1" ht="23.25" customHeight="1">
      <c r="B32" s="51">
        <f t="shared" si="0"/>
        <v>25</v>
      </c>
      <c r="C32" s="125">
        <f>IF(ISBLANK(Case!E116),"",Case!E116)</f>
        <v>5</v>
      </c>
      <c r="D32" s="124">
        <v>5</v>
      </c>
    </row>
    <row r="33" spans="2:4" s="119" customFormat="1" ht="23.25" customHeight="1">
      <c r="B33" s="51">
        <f t="shared" si="0"/>
        <v>26</v>
      </c>
      <c r="C33" s="125">
        <f>IF(ISBLANK(Case!E117),"",Case!E117)</f>
        <v>5</v>
      </c>
      <c r="D33" s="124">
        <v>5</v>
      </c>
    </row>
    <row r="34" spans="2:4" s="119" customFormat="1" ht="23.25" customHeight="1">
      <c r="B34" s="51">
        <f t="shared" si="0"/>
        <v>27</v>
      </c>
      <c r="C34" s="125">
        <f>IF(ISBLANK(Case!E118),"",Case!E118)</f>
        <v>3</v>
      </c>
      <c r="D34" s="124">
        <v>5</v>
      </c>
    </row>
    <row r="35" spans="2:4" s="119" customFormat="1" ht="23.25" customHeight="1">
      <c r="B35" s="51">
        <f t="shared" si="0"/>
        <v>28</v>
      </c>
      <c r="C35" s="125">
        <f>IF(ISBLANK(Case!E119),"",Case!E119)</f>
        <v>5</v>
      </c>
      <c r="D35" s="124">
        <v>5</v>
      </c>
    </row>
    <row r="36" spans="2:4" s="119" customFormat="1" ht="23.25" customHeight="1">
      <c r="B36" s="51">
        <f t="shared" si="0"/>
        <v>29</v>
      </c>
      <c r="C36" s="125">
        <f>IF(ISBLANK(Case!E120),"",Case!E120)</f>
        <v>5</v>
      </c>
      <c r="D36" s="124">
        <v>5</v>
      </c>
    </row>
    <row r="37" spans="2:4" s="119" customFormat="1" ht="23.25" customHeight="1">
      <c r="B37" s="51">
        <f t="shared" si="0"/>
        <v>30</v>
      </c>
      <c r="C37" s="125">
        <f>IF(ISBLANK(Case!E121),"",Case!E121)</f>
        <v>5</v>
      </c>
      <c r="D37" s="124">
        <v>5</v>
      </c>
    </row>
    <row r="38" spans="2:4" s="119" customFormat="1" ht="23.25" customHeight="1">
      <c r="B38" s="51">
        <f t="shared" si="0"/>
        <v>31</v>
      </c>
      <c r="C38" s="125">
        <f>IF(ISBLANK(Case!E122),"",Case!E122)</f>
        <v>5</v>
      </c>
      <c r="D38" s="124">
        <v>5</v>
      </c>
    </row>
    <row r="39" spans="2:4" s="119" customFormat="1" ht="23.25" customHeight="1">
      <c r="B39" s="51">
        <f t="shared" si="0"/>
        <v>32</v>
      </c>
      <c r="C39" s="125">
        <f>IF(ISBLANK(Case!E123),"",Case!E123)</f>
        <v>5</v>
      </c>
      <c r="D39" s="124">
        <v>5</v>
      </c>
    </row>
    <row r="40" spans="2:4" s="119" customFormat="1" ht="23.25" customHeight="1">
      <c r="B40" s="51">
        <f t="shared" si="0"/>
        <v>33</v>
      </c>
      <c r="C40" s="125">
        <f>IF(ISBLANK(Case!E124),"",Case!E124)</f>
        <v>5</v>
      </c>
      <c r="D40" s="124">
        <v>5</v>
      </c>
    </row>
    <row r="41" spans="2:4" s="119" customFormat="1" ht="23.25" customHeight="1">
      <c r="B41" s="51">
        <f t="shared" si="0"/>
        <v>34</v>
      </c>
      <c r="C41" s="125">
        <f>IF(ISBLANK(Case!E125),"",Case!E125)</f>
        <v>4</v>
      </c>
      <c r="D41" s="124">
        <v>5</v>
      </c>
    </row>
    <row r="42" spans="2:4" s="119" customFormat="1" ht="23.25" customHeight="1">
      <c r="B42" s="51">
        <f t="shared" si="0"/>
        <v>35</v>
      </c>
      <c r="C42" s="125">
        <f>IF(ISBLANK(Case!E126),"",Case!E126)</f>
        <v>4</v>
      </c>
      <c r="D42" s="124">
        <v>5</v>
      </c>
    </row>
    <row r="43" spans="2:4" s="119" customFormat="1" ht="23.25" customHeight="1">
      <c r="B43" s="51">
        <f t="shared" si="0"/>
        <v>36</v>
      </c>
      <c r="C43" s="125">
        <f>IF(ISBLANK(Case!E127),"",Case!E127)</f>
        <v>5</v>
      </c>
      <c r="D43" s="124">
        <v>5</v>
      </c>
    </row>
    <row r="44" spans="2:4" s="119" customFormat="1" ht="23.25" customHeight="1">
      <c r="B44" s="51">
        <f t="shared" si="0"/>
        <v>37</v>
      </c>
      <c r="C44" s="125">
        <f>IF(ISBLANK(Case!E128),"",Case!E128)</f>
        <v>5</v>
      </c>
      <c r="D44" s="124">
        <v>5</v>
      </c>
    </row>
    <row r="45" spans="2:4" s="119" customFormat="1" ht="23.25" customHeight="1">
      <c r="B45" s="51">
        <f t="shared" si="0"/>
        <v>38</v>
      </c>
      <c r="C45" s="125">
        <f>IF(ISBLANK(Case!E129),"",Case!E129)</f>
        <v>5</v>
      </c>
      <c r="D45" s="124">
        <v>5</v>
      </c>
    </row>
    <row r="46" spans="2:4" s="119" customFormat="1" ht="23.25" customHeight="1">
      <c r="B46" s="51">
        <f t="shared" si="0"/>
        <v>39</v>
      </c>
      <c r="C46" s="125">
        <f>IF(ISBLANK(Case!E130),"",Case!E130)</f>
        <v>4</v>
      </c>
      <c r="D46" s="124">
        <v>5</v>
      </c>
    </row>
    <row r="47" spans="2:4" s="119" customFormat="1" ht="23.25" customHeight="1">
      <c r="B47" s="51">
        <f t="shared" si="0"/>
        <v>40</v>
      </c>
      <c r="C47" s="125">
        <f>IF(ISBLANK(Case!E131),"",Case!E131)</f>
        <v>5</v>
      </c>
      <c r="D47" s="124">
        <v>5</v>
      </c>
    </row>
    <row r="48" spans="2:4" s="119" customFormat="1" ht="23.25" customHeight="1">
      <c r="B48" s="51">
        <f t="shared" si="0"/>
        <v>41</v>
      </c>
      <c r="C48" s="125">
        <f>IF(ISBLANK(Case!E148),"",Case!E148)</f>
        <v>8</v>
      </c>
      <c r="D48" s="124">
        <v>6</v>
      </c>
    </row>
    <row r="49" spans="2:4" s="119" customFormat="1" ht="23.25" customHeight="1">
      <c r="B49" s="51">
        <f t="shared" si="0"/>
        <v>42</v>
      </c>
      <c r="C49" s="125">
        <f>IF(ISBLANK(Case!E149),"",Case!E149)</f>
        <v>10</v>
      </c>
      <c r="D49" s="124">
        <v>6</v>
      </c>
    </row>
    <row r="50" spans="2:4" s="119" customFormat="1" ht="23.25" customHeight="1">
      <c r="B50" s="51">
        <f t="shared" si="0"/>
        <v>43</v>
      </c>
      <c r="C50" s="125">
        <f>IF(ISBLANK(Case!E150),"",Case!E150)</f>
        <v>9</v>
      </c>
      <c r="D50" s="124">
        <v>6</v>
      </c>
    </row>
    <row r="51" spans="2:4" s="119" customFormat="1" ht="23.25" customHeight="1">
      <c r="B51" s="51">
        <f t="shared" si="0"/>
        <v>44</v>
      </c>
      <c r="C51" s="125">
        <f>IF(ISBLANK(Case!E151),"",Case!E151)</f>
        <v>10</v>
      </c>
      <c r="D51" s="124">
        <v>6</v>
      </c>
    </row>
    <row r="52" spans="2:4" s="119" customFormat="1" ht="23.25" customHeight="1">
      <c r="B52" s="51">
        <f t="shared" si="0"/>
        <v>45</v>
      </c>
      <c r="C52" s="125">
        <f>IF(ISBLANK(Case!E152),"",Case!E152)</f>
        <v>10</v>
      </c>
      <c r="D52" s="124">
        <v>6</v>
      </c>
    </row>
    <row r="53" spans="2:4" s="119" customFormat="1" ht="23.25" customHeight="1">
      <c r="B53" s="51">
        <f t="shared" si="0"/>
        <v>46</v>
      </c>
      <c r="C53" s="125">
        <f>IF(ISBLANK(Case!E153),"",Case!E153)</f>
        <v>10</v>
      </c>
      <c r="D53" s="124">
        <v>6</v>
      </c>
    </row>
    <row r="54" spans="2:4" s="119" customFormat="1" ht="23.25" customHeight="1">
      <c r="B54" s="51">
        <f t="shared" si="0"/>
        <v>47</v>
      </c>
      <c r="C54" s="125">
        <f>IF(ISBLANK(Case!E154),"",Case!E154)</f>
        <v>10</v>
      </c>
      <c r="D54" s="124">
        <v>6</v>
      </c>
    </row>
    <row r="55" spans="2:4" s="119" customFormat="1" ht="23.25" customHeight="1">
      <c r="B55" s="51">
        <f t="shared" si="0"/>
        <v>48</v>
      </c>
      <c r="C55" s="125">
        <f>IF(ISBLANK(Case!E155),"",Case!E155)</f>
        <v>10</v>
      </c>
      <c r="D55" s="124">
        <v>6</v>
      </c>
    </row>
    <row r="56" spans="2:4" s="119" customFormat="1" ht="23.25" customHeight="1">
      <c r="B56" s="51">
        <f t="shared" si="0"/>
        <v>49</v>
      </c>
      <c r="C56" s="125">
        <f>IF(ISBLANK(Case!E156),"",Case!E156)</f>
        <v>10</v>
      </c>
      <c r="D56" s="124">
        <v>6</v>
      </c>
    </row>
    <row r="57" spans="2:4" s="119" customFormat="1" ht="23.25" customHeight="1">
      <c r="B57" s="51">
        <f t="shared" si="0"/>
        <v>50</v>
      </c>
      <c r="C57" s="125">
        <f>IF(ISBLANK(Case!E157),"",Case!E157)</f>
        <v>9</v>
      </c>
      <c r="D57" s="124">
        <v>6</v>
      </c>
    </row>
    <row r="58" spans="2:4" s="119" customFormat="1" ht="23.25" customHeight="1">
      <c r="B58" s="51">
        <f t="shared" si="0"/>
        <v>51</v>
      </c>
      <c r="C58" s="125">
        <f>IF(ISBLANK(Case!E158),"",Case!E158)</f>
        <v>10</v>
      </c>
      <c r="D58" s="124">
        <v>6</v>
      </c>
    </row>
    <row r="59" spans="2:4" s="119" customFormat="1" ht="23.25" customHeight="1">
      <c r="B59" s="51">
        <f t="shared" si="0"/>
        <v>52</v>
      </c>
      <c r="C59" s="125">
        <f>IF(ISBLANK(Case!E159),"",Case!E159)</f>
        <v>9</v>
      </c>
      <c r="D59" s="124">
        <v>6</v>
      </c>
    </row>
    <row r="60" spans="2:4" s="119" customFormat="1" ht="23.25" customHeight="1">
      <c r="B60" s="51">
        <f t="shared" si="0"/>
        <v>53</v>
      </c>
      <c r="C60" s="125">
        <f>IF(ISBLANK(Case!E160),"",Case!E160)</f>
        <v>10</v>
      </c>
      <c r="D60" s="124">
        <v>6</v>
      </c>
    </row>
    <row r="61" spans="2:4" s="119" customFormat="1" ht="23.25" customHeight="1">
      <c r="B61" s="51">
        <f t="shared" si="0"/>
        <v>54</v>
      </c>
      <c r="C61" s="125">
        <f>IF(ISBLANK(Case!E161),"",Case!E161)</f>
        <v>10</v>
      </c>
      <c r="D61" s="124">
        <v>6</v>
      </c>
    </row>
    <row r="62" spans="2:4" s="119" customFormat="1" ht="23.25" customHeight="1">
      <c r="B62" s="51">
        <f t="shared" si="0"/>
        <v>55</v>
      </c>
      <c r="C62" s="125">
        <f>IF(ISBLANK(Case!E162),"",Case!E162)</f>
        <v>10</v>
      </c>
      <c r="D62" s="124">
        <v>6</v>
      </c>
    </row>
    <row r="63" spans="2:4" s="119" customFormat="1" ht="23.25" customHeight="1">
      <c r="B63" s="51">
        <f t="shared" si="0"/>
        <v>56</v>
      </c>
      <c r="C63" s="125">
        <f>IF(ISBLANK(Case!E163),"",Case!E163)</f>
        <v>10</v>
      </c>
      <c r="D63" s="124">
        <v>6</v>
      </c>
    </row>
    <row r="64" spans="2:4" s="119" customFormat="1" ht="23.25" customHeight="1">
      <c r="B64" s="51">
        <f t="shared" si="0"/>
        <v>57</v>
      </c>
      <c r="C64" s="125">
        <f>IF(ISBLANK(Case!E164),"",Case!E164)</f>
        <v>10</v>
      </c>
      <c r="D64" s="124">
        <v>6</v>
      </c>
    </row>
    <row r="65" spans="2:4" s="119" customFormat="1" ht="23.25" customHeight="1">
      <c r="B65" s="51">
        <f t="shared" si="0"/>
        <v>58</v>
      </c>
      <c r="C65" s="125">
        <f>IF(ISBLANK(Case!E165),"",Case!E165)</f>
        <v>10</v>
      </c>
      <c r="D65" s="124">
        <v>6</v>
      </c>
    </row>
    <row r="66" spans="2:4" s="119" customFormat="1" ht="23.25" customHeight="1">
      <c r="B66" s="51">
        <f t="shared" si="0"/>
        <v>59</v>
      </c>
      <c r="C66" s="125">
        <f>IF(ISBLANK(Case!E166),"",Case!E166)</f>
        <v>9</v>
      </c>
      <c r="D66" s="124">
        <v>6</v>
      </c>
    </row>
    <row r="67" spans="2:4" s="119" customFormat="1" ht="23.25" customHeight="1">
      <c r="B67" s="51">
        <f t="shared" si="0"/>
        <v>60</v>
      </c>
      <c r="C67" s="125">
        <f>IF(ISBLANK(Case!E167),"",Case!E167)</f>
        <v>10</v>
      </c>
      <c r="D67" s="124">
        <v>6</v>
      </c>
    </row>
    <row r="68" spans="2:4" s="119" customFormat="1" ht="23.25" customHeight="1">
      <c r="B68" s="51">
        <f t="shared" si="0"/>
        <v>61</v>
      </c>
      <c r="C68" s="125">
        <f>IF(ISBLANK(Case!E185),"",Case!E185)</f>
        <v>25</v>
      </c>
      <c r="D68" s="124">
        <v>7</v>
      </c>
    </row>
    <row r="69" spans="2:4" s="119" customFormat="1" ht="23.25" customHeight="1">
      <c r="B69" s="51">
        <f t="shared" si="0"/>
        <v>62</v>
      </c>
      <c r="C69" s="125">
        <f>IF(ISBLANK(Case!E186),"",Case!E186)</f>
        <v>30</v>
      </c>
      <c r="D69" s="124">
        <v>7</v>
      </c>
    </row>
    <row r="70" spans="2:4" s="119" customFormat="1" ht="23.25" customHeight="1">
      <c r="B70" s="51">
        <f t="shared" si="0"/>
        <v>63</v>
      </c>
      <c r="C70" s="125">
        <f>IF(ISBLANK(Case!E187),"",Case!E187)</f>
        <v>12</v>
      </c>
      <c r="D70" s="124">
        <v>7</v>
      </c>
    </row>
    <row r="71" spans="2:4" s="119" customFormat="1" ht="23.25" customHeight="1">
      <c r="B71" s="51">
        <f t="shared" si="0"/>
        <v>64</v>
      </c>
      <c r="C71" s="125">
        <f>IF(ISBLANK(Case!E188),"",Case!E188)</f>
        <v>29</v>
      </c>
      <c r="D71" s="124">
        <v>7</v>
      </c>
    </row>
    <row r="72" spans="2:4" s="119" customFormat="1" ht="23.25" customHeight="1">
      <c r="B72" s="51">
        <f t="shared" si="0"/>
        <v>65</v>
      </c>
      <c r="C72" s="125">
        <f>IF(ISBLANK(Case!E189),"",Case!E189)</f>
        <v>25</v>
      </c>
      <c r="D72" s="124">
        <v>7</v>
      </c>
    </row>
    <row r="73" spans="2:4" s="119" customFormat="1" ht="23.25" customHeight="1">
      <c r="B73" s="51">
        <f t="shared" ref="B73:B136" si="1">B72+1</f>
        <v>66</v>
      </c>
      <c r="C73" s="125">
        <f>IF(ISBLANK(Case!E190),"",Case!E190)</f>
        <v>15</v>
      </c>
      <c r="D73" s="124">
        <v>7</v>
      </c>
    </row>
    <row r="74" spans="2:4" s="119" customFormat="1" ht="23.25" customHeight="1">
      <c r="B74" s="51">
        <f t="shared" si="1"/>
        <v>67</v>
      </c>
      <c r="C74" s="125">
        <f>IF(ISBLANK(Case!E191),"",Case!E191)</f>
        <v>28</v>
      </c>
      <c r="D74" s="124">
        <v>7</v>
      </c>
    </row>
    <row r="75" spans="2:4" s="119" customFormat="1" ht="23.25" customHeight="1">
      <c r="B75" s="51">
        <f t="shared" si="1"/>
        <v>68</v>
      </c>
      <c r="C75" s="125">
        <f>IF(ISBLANK(Case!E192),"",Case!E192)</f>
        <v>29</v>
      </c>
      <c r="D75" s="124">
        <v>7</v>
      </c>
    </row>
    <row r="76" spans="2:4" s="119" customFormat="1" ht="23.25" customHeight="1">
      <c r="B76" s="51">
        <f t="shared" si="1"/>
        <v>69</v>
      </c>
      <c r="C76" s="125">
        <f>IF(ISBLANK(Case!E193),"",Case!E193)</f>
        <v>31</v>
      </c>
      <c r="D76" s="124">
        <v>7</v>
      </c>
    </row>
    <row r="77" spans="2:4" s="119" customFormat="1" ht="23.25" customHeight="1">
      <c r="B77" s="51">
        <f t="shared" si="1"/>
        <v>70</v>
      </c>
      <c r="C77" s="125">
        <f>IF(ISBLANK(Case!E194),"",Case!E194)</f>
        <v>20</v>
      </c>
      <c r="D77" s="124">
        <v>7</v>
      </c>
    </row>
    <row r="78" spans="2:4" s="119" customFormat="1" ht="23.25" customHeight="1">
      <c r="B78" s="51">
        <f t="shared" si="1"/>
        <v>71</v>
      </c>
      <c r="C78" s="125">
        <f>IF(ISBLANK(Case!E195),"",Case!E195)</f>
        <v>19</v>
      </c>
      <c r="D78" s="124">
        <v>7</v>
      </c>
    </row>
    <row r="79" spans="2:4" s="119" customFormat="1" ht="23.25" customHeight="1">
      <c r="B79" s="51">
        <f t="shared" si="1"/>
        <v>72</v>
      </c>
      <c r="C79" s="125">
        <f>IF(ISBLANK(Case!E196),"",Case!E196)</f>
        <v>26</v>
      </c>
      <c r="D79" s="124">
        <v>7</v>
      </c>
    </row>
    <row r="80" spans="2:4" s="119" customFormat="1" ht="23.25" customHeight="1">
      <c r="B80" s="51">
        <f t="shared" si="1"/>
        <v>73</v>
      </c>
      <c r="C80" s="125">
        <f>IF(ISBLANK(Case!E197),"",Case!E197)</f>
        <v>18</v>
      </c>
      <c r="D80" s="124">
        <v>7</v>
      </c>
    </row>
    <row r="81" spans="2:4" s="119" customFormat="1" ht="23.25" customHeight="1">
      <c r="B81" s="51">
        <f t="shared" si="1"/>
        <v>74</v>
      </c>
      <c r="C81" s="125">
        <f>IF(ISBLANK(Case!E198),"",Case!E198)</f>
        <v>15</v>
      </c>
      <c r="D81" s="124">
        <v>7</v>
      </c>
    </row>
    <row r="82" spans="2:4" s="119" customFormat="1" ht="23.25" customHeight="1">
      <c r="B82" s="51">
        <f t="shared" si="1"/>
        <v>75</v>
      </c>
      <c r="C82" s="125">
        <f>IF(ISBLANK(Case!E199),"",Case!E199)</f>
        <v>15</v>
      </c>
      <c r="D82" s="124">
        <v>7</v>
      </c>
    </row>
    <row r="83" spans="2:4" s="119" customFormat="1" ht="23.25" customHeight="1">
      <c r="B83" s="51">
        <f t="shared" si="1"/>
        <v>76</v>
      </c>
      <c r="C83" s="125">
        <f>IF(ISBLANK(Case!E200),"",Case!E200)</f>
        <v>28</v>
      </c>
      <c r="D83" s="124">
        <v>7</v>
      </c>
    </row>
    <row r="84" spans="2:4" s="119" customFormat="1" ht="23.25" customHeight="1">
      <c r="B84" s="51">
        <f t="shared" si="1"/>
        <v>77</v>
      </c>
      <c r="C84" s="125">
        <f>IF(ISBLANK(Case!E201),"",Case!E201)</f>
        <v>20</v>
      </c>
      <c r="D84" s="124">
        <v>7</v>
      </c>
    </row>
    <row r="85" spans="2:4" s="119" customFormat="1" ht="23.25" customHeight="1">
      <c r="B85" s="51">
        <f t="shared" si="1"/>
        <v>78</v>
      </c>
      <c r="C85" s="125">
        <f>IF(ISBLANK(Case!E202),"",Case!E202)</f>
        <v>25</v>
      </c>
      <c r="D85" s="124">
        <v>7</v>
      </c>
    </row>
    <row r="86" spans="2:4" s="119" customFormat="1" ht="23.25" customHeight="1">
      <c r="B86" s="51">
        <f t="shared" si="1"/>
        <v>79</v>
      </c>
      <c r="C86" s="125">
        <f>IF(ISBLANK(Case!E203),"",Case!E203)</f>
        <v>26</v>
      </c>
      <c r="D86" s="124">
        <v>7</v>
      </c>
    </row>
    <row r="87" spans="2:4" s="119" customFormat="1" ht="23.25" customHeight="1">
      <c r="B87" s="51">
        <f t="shared" si="1"/>
        <v>80</v>
      </c>
      <c r="C87" s="125">
        <f>IF(ISBLANK(Case!E204),"",Case!E204)</f>
        <v>34</v>
      </c>
      <c r="D87" s="124">
        <v>7</v>
      </c>
    </row>
    <row r="88" spans="2:4" s="119" customFormat="1" ht="23.25" customHeight="1">
      <c r="B88" s="51">
        <f t="shared" si="1"/>
        <v>81</v>
      </c>
      <c r="C88" s="125">
        <f>IF(ISBLANK(Case!E222),"",Case!E222)</f>
        <v>9</v>
      </c>
      <c r="D88" s="124">
        <v>8</v>
      </c>
    </row>
    <row r="89" spans="2:4" s="119" customFormat="1" ht="23.25" customHeight="1">
      <c r="B89" s="51">
        <f t="shared" si="1"/>
        <v>82</v>
      </c>
      <c r="C89" s="125">
        <f>IF(ISBLANK(Case!E223),"",Case!E223)</f>
        <v>13</v>
      </c>
      <c r="D89" s="124">
        <v>8</v>
      </c>
    </row>
    <row r="90" spans="2:4" s="119" customFormat="1" ht="23.25" customHeight="1">
      <c r="B90" s="51">
        <f t="shared" si="1"/>
        <v>83</v>
      </c>
      <c r="C90" s="125">
        <f>IF(ISBLANK(Case!E224),"",Case!E224)</f>
        <v>13</v>
      </c>
      <c r="D90" s="124">
        <v>8</v>
      </c>
    </row>
    <row r="91" spans="2:4" s="119" customFormat="1" ht="23.25" customHeight="1">
      <c r="B91" s="51">
        <f t="shared" si="1"/>
        <v>84</v>
      </c>
      <c r="C91" s="125">
        <f>IF(ISBLANK(Case!E225),"",Case!E225)</f>
        <v>10</v>
      </c>
      <c r="D91" s="124">
        <v>8</v>
      </c>
    </row>
    <row r="92" spans="2:4" s="119" customFormat="1" ht="23.25" customHeight="1">
      <c r="B92" s="51">
        <f t="shared" si="1"/>
        <v>85</v>
      </c>
      <c r="C92" s="125">
        <f>IF(ISBLANK(Case!E226),"",Case!E226)</f>
        <v>6</v>
      </c>
      <c r="D92" s="124">
        <v>8</v>
      </c>
    </row>
    <row r="93" spans="2:4" s="119" customFormat="1" ht="23.25" customHeight="1">
      <c r="B93" s="51">
        <f t="shared" si="1"/>
        <v>86</v>
      </c>
      <c r="C93" s="125">
        <f>IF(ISBLANK(Case!E227),"",Case!E227)</f>
        <v>12</v>
      </c>
      <c r="D93" s="124">
        <v>8</v>
      </c>
    </row>
    <row r="94" spans="2:4" s="119" customFormat="1" ht="23.25" customHeight="1">
      <c r="B94" s="51">
        <f t="shared" si="1"/>
        <v>87</v>
      </c>
      <c r="C94" s="125">
        <f>IF(ISBLANK(Case!E228),"",Case!E228)</f>
        <v>3</v>
      </c>
      <c r="D94" s="124">
        <v>8</v>
      </c>
    </row>
    <row r="95" spans="2:4" s="119" customFormat="1" ht="23.25" customHeight="1">
      <c r="B95" s="51">
        <f t="shared" si="1"/>
        <v>88</v>
      </c>
      <c r="C95" s="125">
        <f>IF(ISBLANK(Case!E229),"",Case!E229)</f>
        <v>6</v>
      </c>
      <c r="D95" s="124">
        <v>8</v>
      </c>
    </row>
    <row r="96" spans="2:4" s="119" customFormat="1" ht="23.25" customHeight="1">
      <c r="B96" s="51">
        <f t="shared" si="1"/>
        <v>89</v>
      </c>
      <c r="C96" s="125">
        <f>IF(ISBLANK(Case!E230),"",Case!E230)</f>
        <v>9</v>
      </c>
      <c r="D96" s="124">
        <v>8</v>
      </c>
    </row>
    <row r="97" spans="2:4" s="119" customFormat="1" ht="23.25" customHeight="1">
      <c r="B97" s="51">
        <f t="shared" si="1"/>
        <v>90</v>
      </c>
      <c r="C97" s="125">
        <f>IF(ISBLANK(Case!E231),"",Case!E231)</f>
        <v>15</v>
      </c>
      <c r="D97" s="124">
        <v>8</v>
      </c>
    </row>
    <row r="98" spans="2:4" s="119" customFormat="1" ht="23.25" customHeight="1">
      <c r="B98" s="51">
        <f t="shared" si="1"/>
        <v>91</v>
      </c>
      <c r="C98" s="125">
        <f>IF(ISBLANK(Case!E232),"",Case!E232)</f>
        <v>6</v>
      </c>
      <c r="D98" s="124">
        <v>8</v>
      </c>
    </row>
    <row r="99" spans="2:4" s="119" customFormat="1" ht="23.25" customHeight="1">
      <c r="B99" s="51">
        <f t="shared" si="1"/>
        <v>92</v>
      </c>
      <c r="C99" s="125">
        <f>IF(ISBLANK(Case!E233),"",Case!E233)</f>
        <v>15</v>
      </c>
      <c r="D99" s="124">
        <v>8</v>
      </c>
    </row>
    <row r="100" spans="2:4" s="119" customFormat="1" ht="23.25" customHeight="1">
      <c r="B100" s="51">
        <f t="shared" si="1"/>
        <v>93</v>
      </c>
      <c r="C100" s="125">
        <f>IF(ISBLANK(Case!E234),"",Case!E234)</f>
        <v>11</v>
      </c>
      <c r="D100" s="124">
        <v>8</v>
      </c>
    </row>
    <row r="101" spans="2:4" s="119" customFormat="1" ht="23.25" customHeight="1">
      <c r="B101" s="51">
        <f t="shared" si="1"/>
        <v>94</v>
      </c>
      <c r="C101" s="125">
        <f>IF(ISBLANK(Case!E235),"",Case!E235)</f>
        <v>9</v>
      </c>
      <c r="D101" s="124">
        <v>8</v>
      </c>
    </row>
    <row r="102" spans="2:4" s="119" customFormat="1" ht="23.25" customHeight="1">
      <c r="B102" s="51">
        <f t="shared" si="1"/>
        <v>95</v>
      </c>
      <c r="C102" s="125">
        <f>IF(ISBLANK(Case!E236),"",Case!E236)</f>
        <v>11</v>
      </c>
      <c r="D102" s="124">
        <v>8</v>
      </c>
    </row>
    <row r="103" spans="2:4" s="119" customFormat="1" ht="23.25" customHeight="1">
      <c r="B103" s="51">
        <f t="shared" si="1"/>
        <v>96</v>
      </c>
      <c r="C103" s="125">
        <f>IF(ISBLANK(Case!E237),"",Case!E237)</f>
        <v>3</v>
      </c>
      <c r="D103" s="124">
        <v>8</v>
      </c>
    </row>
    <row r="104" spans="2:4" s="119" customFormat="1" ht="23.25" customHeight="1">
      <c r="B104" s="51">
        <f t="shared" si="1"/>
        <v>97</v>
      </c>
      <c r="C104" s="125">
        <f>IF(ISBLANK(Case!E238),"",Case!E238)</f>
        <v>6</v>
      </c>
      <c r="D104" s="124">
        <v>8</v>
      </c>
    </row>
    <row r="105" spans="2:4" s="119" customFormat="1" ht="23.25" customHeight="1">
      <c r="B105" s="51">
        <f t="shared" si="1"/>
        <v>98</v>
      </c>
      <c r="C105" s="125">
        <f>IF(ISBLANK(Case!E239),"",Case!E239)</f>
        <v>10</v>
      </c>
      <c r="D105" s="124">
        <v>8</v>
      </c>
    </row>
    <row r="106" spans="2:4" s="119" customFormat="1" ht="23.25" customHeight="1">
      <c r="B106" s="51">
        <f t="shared" si="1"/>
        <v>99</v>
      </c>
      <c r="C106" s="125">
        <f>IF(ISBLANK(Case!E240),"",Case!E240)</f>
        <v>3</v>
      </c>
      <c r="D106" s="124">
        <v>8</v>
      </c>
    </row>
    <row r="107" spans="2:4" s="119" customFormat="1" ht="23.25" customHeight="1">
      <c r="B107" s="51">
        <f t="shared" si="1"/>
        <v>100</v>
      </c>
      <c r="C107" s="125">
        <f>IF(ISBLANK(Case!E241),"",Case!E241)</f>
        <v>3</v>
      </c>
      <c r="D107" s="124">
        <v>8</v>
      </c>
    </row>
    <row r="108" spans="2:4" s="119" customFormat="1" ht="23.25" customHeight="1">
      <c r="B108" s="51">
        <f t="shared" si="1"/>
        <v>101</v>
      </c>
      <c r="C108" s="125">
        <f>IF(ISBLANK(Case!E260),"",Case!E260)</f>
        <v>3</v>
      </c>
      <c r="D108" s="124">
        <v>9</v>
      </c>
    </row>
    <row r="109" spans="2:4" s="119" customFormat="1" ht="23.25" customHeight="1">
      <c r="B109" s="51">
        <f t="shared" si="1"/>
        <v>102</v>
      </c>
      <c r="C109" s="125">
        <f>IF(ISBLANK(Case!E261),"",Case!E261)</f>
        <v>-1</v>
      </c>
      <c r="D109" s="124">
        <v>9</v>
      </c>
    </row>
    <row r="110" spans="2:4" s="119" customFormat="1" ht="23.25" customHeight="1">
      <c r="B110" s="51">
        <f t="shared" si="1"/>
        <v>103</v>
      </c>
      <c r="C110" s="125">
        <f>IF(ISBLANK(Case!E262),"",Case!E262)</f>
        <v>1</v>
      </c>
      <c r="D110" s="124">
        <v>9</v>
      </c>
    </row>
    <row r="111" spans="2:4" s="119" customFormat="1" ht="23.25" customHeight="1">
      <c r="B111" s="51">
        <f t="shared" si="1"/>
        <v>104</v>
      </c>
      <c r="C111" s="125" t="str">
        <f>IF(ISBLANK(Case!E263),"",Case!E263)</f>
        <v/>
      </c>
      <c r="D111" s="124">
        <v>9</v>
      </c>
    </row>
    <row r="112" spans="2:4" s="119" customFormat="1" ht="23.25" customHeight="1">
      <c r="B112" s="51">
        <f t="shared" si="1"/>
        <v>105</v>
      </c>
      <c r="C112" s="125" t="str">
        <f>IF(ISBLANK(Case!E264),"",Case!E264)</f>
        <v/>
      </c>
      <c r="D112" s="124">
        <v>9</v>
      </c>
    </row>
    <row r="113" spans="2:4" s="119" customFormat="1" ht="23.25" customHeight="1">
      <c r="B113" s="51">
        <f t="shared" si="1"/>
        <v>106</v>
      </c>
      <c r="C113" s="125" t="str">
        <f>IF(ISBLANK(Case!E265),"",Case!E265)</f>
        <v/>
      </c>
      <c r="D113" s="124">
        <v>9</v>
      </c>
    </row>
    <row r="114" spans="2:4" s="119" customFormat="1" ht="23.25" customHeight="1">
      <c r="B114" s="51">
        <f t="shared" si="1"/>
        <v>107</v>
      </c>
      <c r="C114" s="125" t="str">
        <f>IF(ISBLANK(Case!E266),"",Case!E266)</f>
        <v/>
      </c>
      <c r="D114" s="124">
        <v>9</v>
      </c>
    </row>
    <row r="115" spans="2:4" s="119" customFormat="1" ht="23.25" customHeight="1">
      <c r="B115" s="51">
        <f t="shared" si="1"/>
        <v>108</v>
      </c>
      <c r="C115" s="125" t="str">
        <f>IF(ISBLANK(Case!E267),"",Case!E267)</f>
        <v/>
      </c>
      <c r="D115" s="124">
        <v>9</v>
      </c>
    </row>
    <row r="116" spans="2:4" s="119" customFormat="1" ht="23.25" customHeight="1">
      <c r="B116" s="51">
        <f t="shared" si="1"/>
        <v>109</v>
      </c>
      <c r="C116" s="125" t="str">
        <f>IF(ISBLANK(Case!E268),"",Case!E268)</f>
        <v/>
      </c>
      <c r="D116" s="124">
        <v>9</v>
      </c>
    </row>
    <row r="117" spans="2:4" s="119" customFormat="1" ht="23.25" customHeight="1">
      <c r="B117" s="51">
        <f t="shared" si="1"/>
        <v>110</v>
      </c>
      <c r="C117" s="125" t="str">
        <f>IF(ISBLANK(Case!E269),"",Case!E269)</f>
        <v/>
      </c>
      <c r="D117" s="124">
        <v>9</v>
      </c>
    </row>
    <row r="118" spans="2:4" s="119" customFormat="1" ht="23.25" customHeight="1">
      <c r="B118" s="51">
        <f t="shared" si="1"/>
        <v>111</v>
      </c>
      <c r="C118" s="125" t="str">
        <f>IF(ISBLANK(Case!E270),"",Case!E270)</f>
        <v/>
      </c>
      <c r="D118" s="124">
        <v>9</v>
      </c>
    </row>
    <row r="119" spans="2:4" s="119" customFormat="1" ht="23.25" customHeight="1">
      <c r="B119" s="51">
        <f t="shared" si="1"/>
        <v>112</v>
      </c>
      <c r="C119" s="125" t="str">
        <f>IF(ISBLANK(Case!E271),"",Case!E271)</f>
        <v/>
      </c>
      <c r="D119" s="124">
        <v>9</v>
      </c>
    </row>
    <row r="120" spans="2:4" s="119" customFormat="1" ht="23.25" customHeight="1">
      <c r="B120" s="51">
        <f t="shared" si="1"/>
        <v>113</v>
      </c>
      <c r="C120" s="125" t="str">
        <f>IF(ISBLANK(Case!E272),"",Case!E272)</f>
        <v/>
      </c>
      <c r="D120" s="124">
        <v>9</v>
      </c>
    </row>
    <row r="121" spans="2:4" s="119" customFormat="1" ht="23.25" customHeight="1">
      <c r="B121" s="51">
        <f t="shared" si="1"/>
        <v>114</v>
      </c>
      <c r="C121" s="125" t="str">
        <f>IF(ISBLANK(Case!E273),"",Case!E273)</f>
        <v/>
      </c>
      <c r="D121" s="124">
        <v>9</v>
      </c>
    </row>
    <row r="122" spans="2:4" s="119" customFormat="1" ht="23.25" customHeight="1">
      <c r="B122" s="51">
        <f t="shared" si="1"/>
        <v>115</v>
      </c>
      <c r="C122" s="125" t="str">
        <f>IF(ISBLANK(Case!E274),"",Case!E274)</f>
        <v/>
      </c>
      <c r="D122" s="124">
        <v>9</v>
      </c>
    </row>
    <row r="123" spans="2:4" s="119" customFormat="1" ht="23.25" customHeight="1">
      <c r="B123" s="51">
        <f t="shared" si="1"/>
        <v>116</v>
      </c>
      <c r="C123" s="125" t="str">
        <f>IF(ISBLANK(Case!E275),"",Case!E275)</f>
        <v/>
      </c>
      <c r="D123" s="124">
        <v>9</v>
      </c>
    </row>
    <row r="124" spans="2:4" s="119" customFormat="1" ht="23.25" customHeight="1">
      <c r="B124" s="51">
        <f t="shared" si="1"/>
        <v>117</v>
      </c>
      <c r="C124" s="125" t="str">
        <f>IF(ISBLANK(Case!E276),"",Case!E276)</f>
        <v/>
      </c>
      <c r="D124" s="124">
        <v>9</v>
      </c>
    </row>
    <row r="125" spans="2:4" s="119" customFormat="1" ht="23.25" customHeight="1">
      <c r="B125" s="51">
        <f t="shared" si="1"/>
        <v>118</v>
      </c>
      <c r="C125" s="125" t="str">
        <f>IF(ISBLANK(Case!E277),"",Case!E277)</f>
        <v/>
      </c>
      <c r="D125" s="124">
        <v>9</v>
      </c>
    </row>
    <row r="126" spans="2:4" s="119" customFormat="1" ht="23.25" customHeight="1">
      <c r="B126" s="51">
        <f t="shared" si="1"/>
        <v>119</v>
      </c>
      <c r="C126" s="125" t="str">
        <f>IF(ISBLANK(Case!E278),"",Case!E278)</f>
        <v/>
      </c>
      <c r="D126" s="124">
        <v>9</v>
      </c>
    </row>
    <row r="127" spans="2:4" s="119" customFormat="1" ht="23.25" customHeight="1">
      <c r="B127" s="51">
        <f t="shared" si="1"/>
        <v>120</v>
      </c>
      <c r="C127" s="125" t="str">
        <f>IF(ISBLANK(Case!E279),"",Case!E279)</f>
        <v/>
      </c>
      <c r="D127" s="124">
        <v>9</v>
      </c>
    </row>
    <row r="128" spans="2:4" s="119" customFormat="1" ht="23.25" customHeight="1">
      <c r="B128" s="51">
        <f t="shared" si="1"/>
        <v>121</v>
      </c>
      <c r="C128" s="125" t="str">
        <f>IF(ISBLANK(Case!E302),"",Case!E302)</f>
        <v/>
      </c>
      <c r="D128" s="124">
        <v>11</v>
      </c>
    </row>
    <row r="129" spans="2:4" ht="23.25" customHeight="1">
      <c r="B129" s="51">
        <f t="shared" si="1"/>
        <v>122</v>
      </c>
      <c r="C129" s="125" t="str">
        <f>IF(ISBLANK(Case!E303),"",Case!E303)</f>
        <v/>
      </c>
      <c r="D129" s="124">
        <v>11</v>
      </c>
    </row>
    <row r="130" spans="2:4" ht="23.25" customHeight="1">
      <c r="B130" s="51">
        <f t="shared" si="1"/>
        <v>123</v>
      </c>
      <c r="C130" s="125" t="str">
        <f>IF(ISBLANK(Case!E304),"",Case!E304)</f>
        <v/>
      </c>
      <c r="D130" s="124">
        <v>11</v>
      </c>
    </row>
    <row r="131" spans="2:4" ht="23.25" customHeight="1">
      <c r="B131" s="51">
        <f t="shared" si="1"/>
        <v>124</v>
      </c>
      <c r="C131" s="125" t="str">
        <f>IF(ISBLANK(Case!E305),"",Case!E305)</f>
        <v/>
      </c>
      <c r="D131" s="124">
        <v>11</v>
      </c>
    </row>
    <row r="132" spans="2:4" ht="23.25" customHeight="1">
      <c r="B132" s="51">
        <f t="shared" si="1"/>
        <v>125</v>
      </c>
      <c r="C132" s="125" t="str">
        <f>IF(ISBLANK(Case!E306),"",Case!E306)</f>
        <v/>
      </c>
      <c r="D132" s="124">
        <v>11</v>
      </c>
    </row>
    <row r="133" spans="2:4" ht="23.25" customHeight="1">
      <c r="B133" s="51">
        <f t="shared" si="1"/>
        <v>126</v>
      </c>
      <c r="C133" s="125" t="str">
        <f>IF(ISBLANK(Case!E307),"",Case!E307)</f>
        <v/>
      </c>
      <c r="D133" s="124">
        <v>11</v>
      </c>
    </row>
    <row r="134" spans="2:4" ht="23.25" customHeight="1">
      <c r="B134" s="51">
        <f t="shared" si="1"/>
        <v>127</v>
      </c>
      <c r="C134" s="125" t="str">
        <f>IF(ISBLANK(Case!E308),"",Case!E308)</f>
        <v/>
      </c>
      <c r="D134" s="124">
        <v>11</v>
      </c>
    </row>
    <row r="135" spans="2:4" ht="23.25" customHeight="1">
      <c r="B135" s="51">
        <f t="shared" si="1"/>
        <v>128</v>
      </c>
      <c r="C135" s="125" t="str">
        <f>IF(ISBLANK(Case!E309),"",Case!E309)</f>
        <v/>
      </c>
      <c r="D135" s="124">
        <v>11</v>
      </c>
    </row>
    <row r="136" spans="2:4" ht="23.25" customHeight="1">
      <c r="B136" s="51">
        <f t="shared" si="1"/>
        <v>129</v>
      </c>
      <c r="C136" s="125" t="str">
        <f>IF(ISBLANK(Case!E310),"",Case!E310)</f>
        <v/>
      </c>
      <c r="D136" s="124">
        <v>11</v>
      </c>
    </row>
    <row r="137" spans="2:4" ht="23.25" customHeight="1">
      <c r="B137" s="51">
        <f t="shared" ref="B137:B147" si="2">B136+1</f>
        <v>130</v>
      </c>
      <c r="C137" s="125" t="str">
        <f>IF(ISBLANK(Case!E311),"",Case!E311)</f>
        <v/>
      </c>
      <c r="D137" s="124">
        <v>11</v>
      </c>
    </row>
    <row r="138" spans="2:4" ht="23.25" customHeight="1">
      <c r="B138" s="51">
        <f t="shared" si="2"/>
        <v>131</v>
      </c>
      <c r="C138" s="125" t="str">
        <f>IF(ISBLANK(Case!E312),"",Case!E312)</f>
        <v/>
      </c>
      <c r="D138" s="124">
        <v>11</v>
      </c>
    </row>
    <row r="139" spans="2:4" ht="23.25" customHeight="1">
      <c r="B139" s="51">
        <f t="shared" si="2"/>
        <v>132</v>
      </c>
      <c r="C139" s="125" t="str">
        <f>IF(ISBLANK(Case!E313),"",Case!E313)</f>
        <v/>
      </c>
      <c r="D139" s="124">
        <v>11</v>
      </c>
    </row>
    <row r="140" spans="2:4" ht="23.25" customHeight="1">
      <c r="B140" s="51">
        <f t="shared" si="2"/>
        <v>133</v>
      </c>
      <c r="C140" s="125" t="str">
        <f>IF(ISBLANK(Case!E314),"",Case!E314)</f>
        <v/>
      </c>
      <c r="D140" s="124">
        <v>11</v>
      </c>
    </row>
    <row r="141" spans="2:4" ht="23.25" customHeight="1">
      <c r="B141" s="51">
        <f t="shared" si="2"/>
        <v>134</v>
      </c>
      <c r="C141" s="125" t="str">
        <f>IF(ISBLANK(Case!E315),"",Case!E315)</f>
        <v/>
      </c>
      <c r="D141" s="124">
        <v>11</v>
      </c>
    </row>
    <row r="142" spans="2:4" ht="23.25" customHeight="1">
      <c r="B142" s="51">
        <f t="shared" si="2"/>
        <v>135</v>
      </c>
      <c r="C142" s="125" t="str">
        <f>IF(ISBLANK(Case!E316),"",Case!E316)</f>
        <v/>
      </c>
      <c r="D142" s="124">
        <v>11</v>
      </c>
    </row>
    <row r="143" spans="2:4" ht="23.25" customHeight="1">
      <c r="B143" s="51">
        <f t="shared" si="2"/>
        <v>136</v>
      </c>
      <c r="C143" s="125" t="str">
        <f>IF(ISBLANK(Case!E317),"",Case!E317)</f>
        <v/>
      </c>
      <c r="D143" s="124">
        <v>11</v>
      </c>
    </row>
    <row r="144" spans="2:4" ht="23.25" customHeight="1">
      <c r="B144" s="51">
        <f t="shared" si="2"/>
        <v>137</v>
      </c>
      <c r="C144" s="125" t="str">
        <f>IF(ISBLANK(Case!E318),"",Case!E318)</f>
        <v/>
      </c>
      <c r="D144" s="124">
        <v>11</v>
      </c>
    </row>
    <row r="145" spans="2:4" ht="23.25" customHeight="1">
      <c r="B145" s="51">
        <f t="shared" si="2"/>
        <v>138</v>
      </c>
      <c r="C145" s="125" t="str">
        <f>IF(ISBLANK(Case!E319),"",Case!E319)</f>
        <v/>
      </c>
      <c r="D145" s="124">
        <v>11</v>
      </c>
    </row>
    <row r="146" spans="2:4" ht="23.25" customHeight="1">
      <c r="B146" s="51">
        <f t="shared" si="2"/>
        <v>139</v>
      </c>
      <c r="C146" s="125" t="str">
        <f>IF(ISBLANK(Case!E320),"",Case!E320)</f>
        <v/>
      </c>
      <c r="D146" s="124">
        <v>11</v>
      </c>
    </row>
    <row r="147" spans="2:4" ht="23.25" customHeight="1">
      <c r="B147" s="51">
        <f t="shared" si="2"/>
        <v>140</v>
      </c>
      <c r="C147" s="125" t="str">
        <f>IF(ISBLANK(Case!E321),"",Case!E321)</f>
        <v/>
      </c>
      <c r="D147" s="124">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624B-F82F-42D1-88F4-CD6862BB5BB9}">
  <sheetPr>
    <tabColor rgb="FFBC1F36"/>
    <pageSetUpPr autoPageBreaks="0"/>
  </sheetPr>
  <dimension ref="A1:XX1000"/>
  <sheetViews>
    <sheetView showGridLines="0" zoomScale="70" zoomScaleNormal="70" workbookViewId="0"/>
  </sheetViews>
  <sheetFormatPr defaultColWidth="4.140625" defaultRowHeight="15"/>
  <cols>
    <col min="1" max="1" width="4.7109375" style="32" customWidth="1"/>
    <col min="2" max="2" width="12.140625" style="32" customWidth="1"/>
    <col min="3" max="3" width="13" style="32" customWidth="1"/>
    <col min="4" max="4" width="10.42578125" style="32" customWidth="1"/>
    <col min="5" max="5" width="41.85546875" style="32" customWidth="1"/>
    <col min="6" max="6" width="4.85546875" style="32" customWidth="1"/>
    <col min="7" max="10" width="9.7109375" style="32" customWidth="1"/>
    <col min="11" max="15" width="9.7109375" style="33" customWidth="1"/>
    <col min="16" max="31" width="8.42578125" style="33" customWidth="1"/>
    <col min="32" max="131" width="5.140625" style="33" customWidth="1"/>
    <col min="132" max="16384" width="4.140625" style="33"/>
  </cols>
  <sheetData>
    <row r="1" spans="1:18" s="16" customFormat="1" ht="15" customHeight="1">
      <c r="A1" s="16" t="s">
        <v>22</v>
      </c>
    </row>
    <row r="2" spans="1:18" s="16" customFormat="1" ht="33" customHeight="1">
      <c r="B2" s="17" t="s">
        <v>130</v>
      </c>
      <c r="C2" s="18"/>
      <c r="D2" s="18"/>
      <c r="E2" s="18"/>
      <c r="F2" s="18"/>
      <c r="G2" s="18"/>
      <c r="H2" s="18"/>
      <c r="I2" s="18"/>
      <c r="J2" s="18"/>
      <c r="K2" s="18"/>
      <c r="L2" s="18"/>
      <c r="M2" s="18"/>
      <c r="N2" s="18"/>
      <c r="O2" s="18"/>
      <c r="P2" s="18"/>
      <c r="Q2" s="18"/>
      <c r="R2" s="18"/>
    </row>
    <row r="3" spans="1:18" s="16" customFormat="1" ht="15" customHeight="1">
      <c r="E3" s="19"/>
    </row>
    <row r="4" spans="1:18" s="16" customFormat="1" ht="30" customHeight="1">
      <c r="B4" s="20" t="s">
        <v>54</v>
      </c>
      <c r="C4" s="21"/>
      <c r="D4" s="21"/>
      <c r="E4" s="21"/>
      <c r="F4" s="21"/>
      <c r="G4" s="21"/>
      <c r="H4" s="21"/>
      <c r="I4" s="21"/>
      <c r="J4" s="21"/>
      <c r="K4" s="21"/>
      <c r="L4" s="21"/>
      <c r="N4" s="22" t="s">
        <v>83</v>
      </c>
      <c r="O4" s="22"/>
      <c r="P4" s="22"/>
      <c r="Q4" s="22"/>
      <c r="R4" s="22"/>
    </row>
    <row r="5" spans="1:18" s="16" customFormat="1" ht="30" customHeight="1">
      <c r="E5" s="19"/>
      <c r="N5" s="107" t="s">
        <v>88</v>
      </c>
      <c r="O5" s="108"/>
      <c r="P5" s="108"/>
      <c r="Q5" s="108"/>
      <c r="R5" s="108"/>
    </row>
    <row r="6" spans="1:18" s="16" customFormat="1" ht="30" customHeight="1">
      <c r="E6" s="19"/>
    </row>
    <row r="7" spans="1:18" s="16" customFormat="1" ht="30" customHeight="1">
      <c r="E7" s="19"/>
      <c r="N7" s="22" t="s">
        <v>84</v>
      </c>
      <c r="O7" s="22"/>
      <c r="P7" s="22"/>
      <c r="Q7" s="22"/>
      <c r="R7" s="22"/>
    </row>
    <row r="8" spans="1:18" s="16" customFormat="1" ht="30" customHeight="1">
      <c r="E8" s="19"/>
      <c r="N8" s="107" t="s">
        <v>85</v>
      </c>
      <c r="O8" s="108"/>
      <c r="P8" s="108"/>
      <c r="Q8" s="108"/>
      <c r="R8" s="108"/>
    </row>
    <row r="9" spans="1:18" s="16" customFormat="1" ht="30" customHeight="1">
      <c r="E9" s="19"/>
      <c r="N9" s="107" t="s">
        <v>86</v>
      </c>
      <c r="O9" s="108"/>
      <c r="P9" s="108"/>
      <c r="Q9" s="108"/>
      <c r="R9" s="108"/>
    </row>
    <row r="10" spans="1:18" s="16" customFormat="1" ht="30" customHeight="1">
      <c r="E10" s="19"/>
      <c r="N10" s="107" t="s">
        <v>87</v>
      </c>
      <c r="O10" s="108"/>
      <c r="P10" s="108"/>
      <c r="Q10" s="108"/>
      <c r="R10" s="108"/>
    </row>
    <row r="11" spans="1:18" s="16" customFormat="1" ht="30" customHeight="1">
      <c r="E11" s="19"/>
      <c r="N11" s="107" t="s">
        <v>131</v>
      </c>
      <c r="O11" s="108"/>
      <c r="P11" s="108"/>
      <c r="Q11" s="108"/>
      <c r="R11" s="108"/>
    </row>
    <row r="12" spans="1:18" s="16" customFormat="1" ht="30" customHeight="1">
      <c r="E12" s="19"/>
    </row>
    <row r="13" spans="1:18" s="16" customFormat="1" ht="30" customHeight="1">
      <c r="B13" s="23" t="s">
        <v>0</v>
      </c>
      <c r="C13" s="24"/>
      <c r="D13" s="24"/>
      <c r="E13" s="24"/>
      <c r="F13" s="24"/>
      <c r="G13" s="24"/>
      <c r="H13" s="24"/>
      <c r="I13" s="24"/>
      <c r="J13" s="24"/>
      <c r="K13" s="24"/>
      <c r="L13" s="24"/>
      <c r="M13" s="24"/>
      <c r="N13" s="24"/>
      <c r="O13" s="24"/>
      <c r="P13" s="24"/>
      <c r="Q13" s="24"/>
      <c r="R13" s="24"/>
    </row>
    <row r="14" spans="1:18" s="16" customFormat="1" ht="15" customHeight="1">
      <c r="B14" s="25" t="s">
        <v>59</v>
      </c>
      <c r="C14" s="26"/>
      <c r="D14" s="26"/>
      <c r="E14" s="26"/>
      <c r="F14" s="26"/>
      <c r="G14" s="26"/>
      <c r="H14" s="26"/>
      <c r="I14" s="26"/>
      <c r="J14" s="26"/>
      <c r="K14" s="26"/>
      <c r="L14" s="26"/>
      <c r="M14" s="26"/>
      <c r="N14" s="26"/>
      <c r="O14" s="26"/>
      <c r="P14" s="26"/>
      <c r="Q14" s="116"/>
      <c r="R14" s="27"/>
    </row>
    <row r="15" spans="1:18" s="16" customFormat="1" ht="15" customHeight="1">
      <c r="B15" s="28" t="s">
        <v>60</v>
      </c>
      <c r="C15" s="29"/>
      <c r="D15" s="29"/>
      <c r="E15" s="29"/>
      <c r="F15" s="29"/>
      <c r="G15" s="29"/>
      <c r="H15" s="29"/>
      <c r="I15" s="29"/>
      <c r="J15" s="29"/>
      <c r="K15" s="29"/>
      <c r="L15" s="29"/>
      <c r="M15" s="29"/>
      <c r="N15" s="29"/>
      <c r="O15" s="29"/>
      <c r="P15" s="29"/>
      <c r="R15" s="30"/>
    </row>
    <row r="16" spans="1:18" s="16" customFormat="1" ht="15" customHeight="1">
      <c r="B16" s="31"/>
      <c r="R16" s="30"/>
    </row>
    <row r="17" spans="2:18" s="16" customFormat="1" ht="15" customHeight="1">
      <c r="B17" s="31" t="s">
        <v>61</v>
      </c>
      <c r="R17" s="30"/>
    </row>
    <row r="18" spans="2:18" s="16" customFormat="1" ht="15" customHeight="1">
      <c r="B18" s="31" t="s">
        <v>62</v>
      </c>
      <c r="R18" s="30"/>
    </row>
    <row r="19" spans="2:18" s="16" customFormat="1" ht="15" customHeight="1">
      <c r="B19" s="31" t="s">
        <v>63</v>
      </c>
      <c r="R19" s="30"/>
    </row>
    <row r="20" spans="2:18" s="16" customFormat="1" ht="15" customHeight="1">
      <c r="B20" s="31" t="s">
        <v>72</v>
      </c>
      <c r="R20" s="30"/>
    </row>
    <row r="21" spans="2:18" s="16" customFormat="1" ht="15" customHeight="1">
      <c r="B21" s="31" t="s">
        <v>132</v>
      </c>
      <c r="R21" s="30"/>
    </row>
    <row r="22" spans="2:18" s="16" customFormat="1" ht="15" customHeight="1">
      <c r="B22" s="31"/>
      <c r="R22" s="30"/>
    </row>
    <row r="23" spans="2:18" s="16" customFormat="1" ht="15" customHeight="1">
      <c r="B23" s="31" t="s">
        <v>64</v>
      </c>
      <c r="R23" s="30"/>
    </row>
    <row r="24" spans="2:18" s="16" customFormat="1" ht="15" customHeight="1">
      <c r="B24" s="31" t="s">
        <v>65</v>
      </c>
      <c r="R24" s="30"/>
    </row>
    <row r="25" spans="2:18" s="16" customFormat="1" ht="15" customHeight="1">
      <c r="B25" s="31" t="s">
        <v>73</v>
      </c>
      <c r="R25" s="30"/>
    </row>
    <row r="26" spans="2:18" s="16" customFormat="1" ht="15" customHeight="1">
      <c r="B26" s="31" t="s">
        <v>128</v>
      </c>
      <c r="R26" s="30"/>
    </row>
    <row r="27" spans="2:18" s="16" customFormat="1" ht="15" customHeight="1">
      <c r="B27" s="31" t="s">
        <v>133</v>
      </c>
      <c r="R27" s="30"/>
    </row>
    <row r="28" spans="2:18" ht="15.75">
      <c r="B28" s="28"/>
      <c r="R28" s="34"/>
    </row>
    <row r="29" spans="2:18" ht="15.75">
      <c r="B29" s="28" t="s">
        <v>66</v>
      </c>
      <c r="R29" s="34"/>
    </row>
    <row r="30" spans="2:18" ht="15.75">
      <c r="B30" s="28" t="s">
        <v>67</v>
      </c>
      <c r="R30" s="34"/>
    </row>
    <row r="31" spans="2:18" ht="15.75">
      <c r="B31" s="28" t="s">
        <v>68</v>
      </c>
      <c r="R31" s="34"/>
    </row>
    <row r="32" spans="2:18" ht="15.75">
      <c r="B32" s="28" t="s">
        <v>69</v>
      </c>
      <c r="R32" s="34"/>
    </row>
    <row r="33" spans="2:18" ht="15.75">
      <c r="B33" s="28" t="s">
        <v>70</v>
      </c>
      <c r="R33" s="34"/>
    </row>
    <row r="34" spans="2:18" ht="15.75">
      <c r="B34" s="28" t="s">
        <v>71</v>
      </c>
      <c r="R34" s="34"/>
    </row>
    <row r="35" spans="2:18" s="16" customFormat="1" ht="15" customHeight="1">
      <c r="B35" s="35"/>
      <c r="C35" s="36"/>
      <c r="D35" s="36"/>
      <c r="E35" s="36"/>
      <c r="F35" s="36"/>
      <c r="G35" s="36"/>
      <c r="H35" s="36"/>
      <c r="I35" s="36"/>
      <c r="J35" s="36"/>
      <c r="K35" s="36"/>
      <c r="L35" s="36"/>
      <c r="M35" s="36"/>
      <c r="N35" s="36"/>
      <c r="O35" s="36"/>
      <c r="P35" s="36"/>
      <c r="Q35" s="36"/>
      <c r="R35" s="37"/>
    </row>
    <row r="36" spans="2:18" s="16" customFormat="1" ht="15" customHeight="1" thickBot="1">
      <c r="B36" s="84"/>
      <c r="C36" s="29"/>
      <c r="D36" s="29"/>
      <c r="E36" s="29"/>
      <c r="F36" s="29"/>
      <c r="G36" s="29"/>
      <c r="H36" s="29"/>
      <c r="I36" s="29"/>
      <c r="J36" s="29"/>
      <c r="K36" s="29"/>
      <c r="L36" s="29"/>
      <c r="M36" s="29"/>
      <c r="N36" s="29"/>
      <c r="O36" s="29"/>
      <c r="P36" s="29"/>
      <c r="Q36" s="29"/>
      <c r="R36" s="29"/>
    </row>
    <row r="37" spans="2:18" s="16" customFormat="1" ht="15" customHeight="1" thickBot="1">
      <c r="B37" s="89" t="s">
        <v>74</v>
      </c>
      <c r="C37" s="90"/>
      <c r="D37" s="90"/>
      <c r="E37" s="90"/>
      <c r="F37" s="91"/>
      <c r="G37" s="29"/>
      <c r="H37" s="29"/>
      <c r="I37" s="89" t="s">
        <v>80</v>
      </c>
      <c r="J37" s="90"/>
      <c r="K37" s="90"/>
      <c r="L37" s="90"/>
      <c r="M37" s="90"/>
      <c r="N37" s="90"/>
      <c r="O37" s="90"/>
      <c r="P37" s="91"/>
      <c r="R37" s="29"/>
    </row>
    <row r="38" spans="2:18" s="16" customFormat="1" ht="15" customHeight="1" thickBot="1">
      <c r="B38" s="92" t="s">
        <v>75</v>
      </c>
      <c r="C38" s="29"/>
      <c r="D38" s="29"/>
      <c r="E38" s="84" t="s">
        <v>81</v>
      </c>
      <c r="F38" s="93"/>
      <c r="G38" s="29"/>
      <c r="H38" s="29"/>
      <c r="I38" s="88"/>
      <c r="J38" s="88">
        <v>1</v>
      </c>
      <c r="K38" s="88">
        <v>2</v>
      </c>
      <c r="L38" s="88">
        <v>3</v>
      </c>
      <c r="M38" s="88">
        <v>4</v>
      </c>
      <c r="N38" s="88">
        <v>5</v>
      </c>
      <c r="O38" s="88">
        <v>6</v>
      </c>
      <c r="P38" s="88">
        <v>7</v>
      </c>
      <c r="R38" s="29"/>
    </row>
    <row r="39" spans="2:18" s="16" customFormat="1" ht="15" customHeight="1">
      <c r="B39" s="92" t="s">
        <v>76</v>
      </c>
      <c r="C39" s="29"/>
      <c r="D39" s="29"/>
      <c r="E39" s="84" t="s">
        <v>82</v>
      </c>
      <c r="F39" s="93"/>
      <c r="G39" s="29"/>
      <c r="H39" s="29"/>
      <c r="I39" s="87" t="s">
        <v>1</v>
      </c>
      <c r="J39" s="1">
        <v>3</v>
      </c>
      <c r="K39" s="2">
        <v>1</v>
      </c>
      <c r="L39" s="2">
        <v>2</v>
      </c>
      <c r="M39" s="2">
        <v>2</v>
      </c>
      <c r="N39" s="2">
        <v>2</v>
      </c>
      <c r="O39" s="2">
        <v>1</v>
      </c>
      <c r="P39" s="3">
        <v>2</v>
      </c>
      <c r="R39" s="29"/>
    </row>
    <row r="40" spans="2:18" s="16" customFormat="1" ht="15" customHeight="1" thickBot="1">
      <c r="B40" s="94" t="s">
        <v>77</v>
      </c>
      <c r="C40" s="95"/>
      <c r="D40" s="95"/>
      <c r="E40" s="96" t="s">
        <v>134</v>
      </c>
      <c r="F40" s="97"/>
      <c r="G40" s="29"/>
      <c r="H40" s="29"/>
      <c r="I40" s="87" t="s">
        <v>2</v>
      </c>
      <c r="J40" s="4">
        <v>2</v>
      </c>
      <c r="K40" s="15">
        <v>3</v>
      </c>
      <c r="L40" s="15">
        <v>5</v>
      </c>
      <c r="M40" s="15">
        <v>5</v>
      </c>
      <c r="N40" s="15">
        <v>5</v>
      </c>
      <c r="O40" s="15">
        <v>3</v>
      </c>
      <c r="P40" s="5">
        <v>1</v>
      </c>
      <c r="R40" s="29"/>
    </row>
    <row r="41" spans="2:18" s="16" customFormat="1" ht="15" customHeight="1" thickBot="1">
      <c r="E41" s="29"/>
      <c r="F41" s="29"/>
      <c r="G41" s="29"/>
      <c r="H41" s="29"/>
      <c r="I41" s="87" t="s">
        <v>3</v>
      </c>
      <c r="J41" s="4">
        <v>3</v>
      </c>
      <c r="K41" s="15">
        <v>3</v>
      </c>
      <c r="L41" s="10">
        <v>3</v>
      </c>
      <c r="M41" s="11">
        <v>5</v>
      </c>
      <c r="N41" s="10">
        <v>3</v>
      </c>
      <c r="O41" s="15">
        <v>2</v>
      </c>
      <c r="P41" s="5">
        <v>2</v>
      </c>
      <c r="R41" s="29"/>
    </row>
    <row r="42" spans="2:18" s="16" customFormat="1" ht="15" customHeight="1" thickBot="1">
      <c r="B42" s="89" t="s">
        <v>21</v>
      </c>
      <c r="C42" s="90"/>
      <c r="D42" s="90"/>
      <c r="E42" s="90"/>
      <c r="F42" s="91"/>
      <c r="G42" s="29"/>
      <c r="H42" s="29"/>
      <c r="I42" s="87" t="s">
        <v>4</v>
      </c>
      <c r="J42" s="4">
        <v>3</v>
      </c>
      <c r="K42" s="15">
        <v>2</v>
      </c>
      <c r="L42" s="12">
        <v>4</v>
      </c>
      <c r="M42" s="9">
        <v>3</v>
      </c>
      <c r="N42" s="13">
        <v>3</v>
      </c>
      <c r="O42" s="15">
        <v>2</v>
      </c>
      <c r="P42" s="5">
        <v>1</v>
      </c>
      <c r="R42" s="29"/>
    </row>
    <row r="43" spans="2:18" s="16" customFormat="1" ht="15" customHeight="1">
      <c r="B43" s="98"/>
      <c r="C43" s="99" t="s">
        <v>78</v>
      </c>
      <c r="D43" s="100"/>
      <c r="E43" s="100"/>
      <c r="F43" s="101"/>
      <c r="G43" s="29"/>
      <c r="H43" s="29"/>
      <c r="I43" s="87" t="s">
        <v>5</v>
      </c>
      <c r="J43" s="4">
        <v>2</v>
      </c>
      <c r="K43" s="15">
        <v>3</v>
      </c>
      <c r="L43" s="10">
        <v>2</v>
      </c>
      <c r="M43" s="14">
        <v>3</v>
      </c>
      <c r="N43" s="10">
        <v>3</v>
      </c>
      <c r="O43" s="15">
        <v>3</v>
      </c>
      <c r="P43" s="5">
        <v>2</v>
      </c>
      <c r="R43" s="29"/>
    </row>
    <row r="44" spans="2:18" s="16" customFormat="1" ht="15" customHeight="1">
      <c r="B44" s="102"/>
      <c r="C44" s="99" t="s">
        <v>89</v>
      </c>
      <c r="D44" s="100"/>
      <c r="E44" s="100"/>
      <c r="F44" s="101"/>
      <c r="G44" s="29"/>
      <c r="H44" s="29"/>
      <c r="I44" s="87" t="s">
        <v>6</v>
      </c>
      <c r="J44" s="4">
        <v>1</v>
      </c>
      <c r="K44" s="15">
        <v>2</v>
      </c>
      <c r="L44" s="15">
        <v>2</v>
      </c>
      <c r="M44" s="15">
        <v>3</v>
      </c>
      <c r="N44" s="15">
        <v>3</v>
      </c>
      <c r="O44" s="15">
        <v>2</v>
      </c>
      <c r="P44" s="5">
        <v>3</v>
      </c>
      <c r="R44" s="29"/>
    </row>
    <row r="45" spans="2:18" s="16" customFormat="1" ht="15.75" customHeight="1" thickBot="1">
      <c r="B45" s="103"/>
      <c r="C45" s="104" t="s">
        <v>79</v>
      </c>
      <c r="D45" s="105"/>
      <c r="E45" s="105"/>
      <c r="F45" s="106"/>
      <c r="G45" s="40"/>
      <c r="H45" s="42"/>
      <c r="I45" s="87" t="s">
        <v>7</v>
      </c>
      <c r="J45" s="6">
        <v>2</v>
      </c>
      <c r="K45" s="7">
        <v>1</v>
      </c>
      <c r="L45" s="7">
        <v>1</v>
      </c>
      <c r="M45" s="7">
        <v>2</v>
      </c>
      <c r="N45" s="7">
        <v>3</v>
      </c>
      <c r="O45" s="7">
        <v>2</v>
      </c>
      <c r="P45" s="8">
        <v>2</v>
      </c>
    </row>
    <row r="46" spans="2:18" s="16" customFormat="1" ht="15.75" customHeight="1">
      <c r="B46" s="38"/>
      <c r="C46" s="39"/>
      <c r="D46" s="40"/>
      <c r="E46" s="41"/>
      <c r="F46" s="39"/>
      <c r="G46" s="40"/>
      <c r="H46" s="42"/>
      <c r="I46" s="85"/>
      <c r="J46" s="85"/>
      <c r="K46" s="85"/>
      <c r="L46" s="85"/>
      <c r="M46" s="85"/>
      <c r="N46" s="85"/>
      <c r="O46" s="85"/>
      <c r="P46" s="85"/>
      <c r="Q46" s="85"/>
    </row>
    <row r="47" spans="2:18" s="16" customFormat="1" ht="30" customHeight="1">
      <c r="B47" s="86" t="s">
        <v>23</v>
      </c>
      <c r="C47" s="44"/>
      <c r="D47" s="44"/>
      <c r="E47" s="44"/>
      <c r="F47" s="44"/>
      <c r="G47" s="44"/>
      <c r="H47" s="44"/>
      <c r="I47" s="44"/>
      <c r="J47" s="44"/>
      <c r="K47" s="44"/>
      <c r="L47" s="44"/>
      <c r="M47" s="44"/>
      <c r="N47" s="44"/>
      <c r="O47" s="44"/>
      <c r="P47" s="44"/>
      <c r="Q47" s="44"/>
      <c r="R47" s="44"/>
    </row>
    <row r="48" spans="2:18" s="16" customFormat="1" ht="15" customHeight="1">
      <c r="E48" s="19"/>
    </row>
    <row r="49" spans="2:18" s="32" customFormat="1" ht="15" customHeight="1">
      <c r="B49" s="45" t="s">
        <v>94</v>
      </c>
      <c r="C49" s="46"/>
      <c r="D49" s="46"/>
      <c r="E49" s="46"/>
      <c r="F49" s="46"/>
      <c r="G49" s="46"/>
      <c r="H49" s="46"/>
      <c r="I49" s="46"/>
      <c r="J49" s="46"/>
      <c r="K49" s="46"/>
      <c r="L49" s="46"/>
    </row>
    <row r="50" spans="2:18" s="32" customFormat="1" ht="15" customHeight="1">
      <c r="B50" s="45" t="s">
        <v>95</v>
      </c>
      <c r="C50" s="46"/>
      <c r="D50" s="46"/>
      <c r="E50" s="46"/>
      <c r="F50" s="46"/>
      <c r="G50" s="46"/>
      <c r="H50" s="46"/>
      <c r="I50" s="46"/>
      <c r="J50" s="46"/>
      <c r="K50" s="46"/>
      <c r="L50" s="46"/>
    </row>
    <row r="51" spans="2:18" s="32" customFormat="1" ht="15" customHeight="1" thickBot="1">
      <c r="B51" s="46"/>
      <c r="C51" s="46"/>
      <c r="D51" s="46"/>
      <c r="E51" s="46"/>
      <c r="F51" s="46"/>
      <c r="G51" s="46"/>
      <c r="H51" s="46"/>
      <c r="I51" s="46"/>
      <c r="J51" s="46"/>
      <c r="K51" s="46"/>
      <c r="L51" s="46"/>
    </row>
    <row r="52" spans="2:18" s="50" customFormat="1" ht="30" customHeight="1" thickBot="1">
      <c r="B52" s="47" t="s">
        <v>8</v>
      </c>
      <c r="C52" s="48" t="s">
        <v>24</v>
      </c>
      <c r="D52" s="47" t="s">
        <v>10</v>
      </c>
      <c r="E52" s="47" t="s">
        <v>11</v>
      </c>
      <c r="F52" s="49"/>
      <c r="G52" s="110" t="s">
        <v>25</v>
      </c>
      <c r="H52" s="111"/>
      <c r="I52" s="111"/>
      <c r="J52" s="111"/>
      <c r="K52" s="111"/>
      <c r="L52" s="112"/>
      <c r="M52" s="112"/>
      <c r="N52" s="112"/>
      <c r="O52" s="112"/>
      <c r="P52" s="112"/>
      <c r="Q52" s="112"/>
      <c r="R52" s="112"/>
    </row>
    <row r="53" spans="2:18" ht="30" customHeight="1">
      <c r="B53" s="51" t="s">
        <v>26</v>
      </c>
      <c r="C53" s="113" t="s">
        <v>96</v>
      </c>
      <c r="D53" s="52">
        <v>50</v>
      </c>
      <c r="E53" s="53">
        <v>355</v>
      </c>
      <c r="F53" s="54"/>
      <c r="G53" s="158" t="s">
        <v>145</v>
      </c>
      <c r="H53" s="158"/>
      <c r="I53" s="158"/>
      <c r="J53" s="158"/>
      <c r="K53" s="158"/>
      <c r="L53" s="158"/>
      <c r="M53" s="158"/>
      <c r="N53" s="158"/>
      <c r="O53" s="158"/>
      <c r="P53" s="158"/>
      <c r="Q53" s="158"/>
      <c r="R53" s="158"/>
    </row>
    <row r="54" spans="2:18" ht="30" customHeight="1">
      <c r="B54" s="51" t="s">
        <v>27</v>
      </c>
      <c r="C54" s="113" t="s">
        <v>96</v>
      </c>
      <c r="D54" s="52">
        <v>50</v>
      </c>
      <c r="E54" s="55">
        <v>53</v>
      </c>
      <c r="F54" s="54"/>
      <c r="G54" s="159" t="s">
        <v>92</v>
      </c>
      <c r="H54" s="159"/>
      <c r="I54" s="159"/>
      <c r="J54" s="159"/>
      <c r="K54" s="159"/>
      <c r="L54" s="159"/>
      <c r="M54" s="159"/>
      <c r="N54" s="159"/>
      <c r="O54" s="159"/>
      <c r="P54" s="159"/>
      <c r="Q54" s="159"/>
      <c r="R54" s="159"/>
    </row>
    <row r="55" spans="2:18" ht="30" customHeight="1">
      <c r="B55" s="51" t="s">
        <v>28</v>
      </c>
      <c r="C55" s="113" t="s">
        <v>96</v>
      </c>
      <c r="D55" s="52">
        <v>50</v>
      </c>
      <c r="E55" s="55">
        <v>6</v>
      </c>
      <c r="F55" s="54"/>
      <c r="G55" s="159" t="s">
        <v>146</v>
      </c>
      <c r="H55" s="159"/>
      <c r="I55" s="159"/>
      <c r="J55" s="159"/>
      <c r="K55" s="159"/>
      <c r="L55" s="159"/>
      <c r="M55" s="159"/>
      <c r="N55" s="159"/>
      <c r="O55" s="159"/>
      <c r="P55" s="159"/>
      <c r="Q55" s="159"/>
      <c r="R55" s="159"/>
    </row>
    <row r="56" spans="2:18" ht="30" customHeight="1">
      <c r="B56" s="51" t="s">
        <v>29</v>
      </c>
      <c r="C56" s="113" t="s">
        <v>96</v>
      </c>
      <c r="D56" s="52">
        <v>50</v>
      </c>
      <c r="E56" s="55">
        <v>10</v>
      </c>
      <c r="F56" s="54"/>
      <c r="G56" s="159" t="s">
        <v>91</v>
      </c>
      <c r="H56" s="159"/>
      <c r="I56" s="159"/>
      <c r="J56" s="159"/>
      <c r="K56" s="159"/>
      <c r="L56" s="159"/>
      <c r="M56" s="159"/>
      <c r="N56" s="159"/>
      <c r="O56" s="159"/>
      <c r="P56" s="159"/>
      <c r="Q56" s="159"/>
      <c r="R56" s="159"/>
    </row>
    <row r="57" spans="2:18" ht="30" customHeight="1">
      <c r="B57" s="51" t="s">
        <v>30</v>
      </c>
      <c r="C57" s="113" t="s">
        <v>96</v>
      </c>
      <c r="D57" s="52">
        <v>50</v>
      </c>
      <c r="E57" s="56">
        <v>1746</v>
      </c>
      <c r="F57" s="54"/>
      <c r="G57" s="159" t="s">
        <v>93</v>
      </c>
      <c r="H57" s="159"/>
      <c r="I57" s="159"/>
      <c r="J57" s="159"/>
      <c r="K57" s="159"/>
      <c r="L57" s="159"/>
      <c r="M57" s="159"/>
      <c r="N57" s="159"/>
      <c r="O57" s="159"/>
      <c r="P57" s="159"/>
      <c r="Q57" s="159"/>
      <c r="R57" s="159"/>
    </row>
    <row r="58" spans="2:18" s="32" customFormat="1" ht="15" customHeight="1"/>
    <row r="59" spans="2:18" s="16" customFormat="1" ht="30" customHeight="1">
      <c r="B59" s="43" t="s">
        <v>31</v>
      </c>
      <c r="C59" s="44"/>
      <c r="D59" s="44"/>
      <c r="E59" s="44"/>
      <c r="F59" s="44"/>
      <c r="G59" s="44"/>
      <c r="H59" s="44"/>
      <c r="I59" s="44"/>
      <c r="J59" s="44"/>
      <c r="K59" s="44"/>
      <c r="L59" s="44"/>
      <c r="M59" s="44"/>
      <c r="N59" s="44"/>
      <c r="O59" s="44"/>
      <c r="P59" s="44"/>
      <c r="Q59" s="44"/>
      <c r="R59" s="44"/>
    </row>
    <row r="60" spans="2:18" s="32" customFormat="1" ht="15" customHeight="1" thickBot="1"/>
    <row r="61" spans="2:18" s="32" customFormat="1" ht="22.5" customHeight="1" thickBot="1">
      <c r="B61" s="57" t="s">
        <v>32</v>
      </c>
      <c r="C61" s="58" t="s">
        <v>33</v>
      </c>
      <c r="D61" s="59"/>
    </row>
    <row r="62" spans="2:18" s="32" customFormat="1" ht="15" customHeight="1"/>
    <row r="63" spans="2:18" ht="15" customHeight="1">
      <c r="B63" s="60" t="s">
        <v>55</v>
      </c>
      <c r="C63" s="61"/>
      <c r="D63" s="33"/>
      <c r="E63" s="33"/>
      <c r="F63" s="33"/>
      <c r="G63" s="33"/>
      <c r="H63" s="33"/>
      <c r="I63" s="33"/>
      <c r="J63" s="33"/>
    </row>
    <row r="64" spans="2:18" ht="15" customHeight="1">
      <c r="B64" s="60"/>
      <c r="C64" s="61"/>
      <c r="D64" s="33"/>
      <c r="E64" s="33"/>
      <c r="F64" s="33"/>
      <c r="G64" s="33"/>
      <c r="H64" s="33"/>
      <c r="I64" s="33"/>
      <c r="J64" s="33"/>
    </row>
    <row r="65" spans="2:41" ht="15" customHeight="1">
      <c r="B65" s="60" t="s">
        <v>97</v>
      </c>
      <c r="C65" s="61"/>
      <c r="D65" s="33"/>
      <c r="E65" s="33"/>
      <c r="F65" s="33"/>
      <c r="G65" s="33"/>
      <c r="H65" s="33"/>
      <c r="I65" s="33"/>
      <c r="J65" s="33"/>
    </row>
    <row r="66" spans="2:41" s="32" customFormat="1" ht="15" customHeight="1">
      <c r="B66" s="16"/>
      <c r="C66" s="61"/>
    </row>
    <row r="67" spans="2:41" s="32" customFormat="1" ht="15" customHeight="1">
      <c r="B67" s="63" t="s">
        <v>34</v>
      </c>
      <c r="C67" s="61"/>
    </row>
    <row r="68" spans="2:41" s="32" customFormat="1" ht="15" customHeight="1">
      <c r="B68" s="61" t="s">
        <v>98</v>
      </c>
      <c r="D68" s="33"/>
      <c r="E68" s="33"/>
      <c r="F68" s="33"/>
      <c r="G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row>
    <row r="69" spans="2:41" s="32" customFormat="1" ht="15" customHeight="1">
      <c r="B69" s="61" t="s">
        <v>100</v>
      </c>
      <c r="D69" s="33"/>
      <c r="E69" s="33"/>
      <c r="F69" s="33"/>
      <c r="G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row>
    <row r="70" spans="2:41" s="32" customFormat="1" ht="15" customHeight="1" thickBot="1">
      <c r="B70" s="61" t="s">
        <v>99</v>
      </c>
      <c r="D70" s="33"/>
      <c r="E70" s="33"/>
      <c r="F70" s="33"/>
      <c r="G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row>
    <row r="71" spans="2:41" s="50" customFormat="1" ht="22.5" customHeight="1" thickBot="1">
      <c r="B71" s="16"/>
      <c r="C71" s="16"/>
      <c r="D71" s="16"/>
      <c r="E71" s="16"/>
      <c r="F71" s="16"/>
      <c r="G71" s="110" t="s">
        <v>90</v>
      </c>
      <c r="H71" s="111"/>
      <c r="I71" s="111"/>
      <c r="J71" s="111"/>
      <c r="K71" s="111"/>
      <c r="L71" s="111"/>
      <c r="M71" s="111"/>
      <c r="N71" s="111"/>
      <c r="O71" s="112"/>
    </row>
    <row r="72" spans="2:41" s="50" customFormat="1" ht="22.5" customHeight="1" thickBot="1">
      <c r="B72" s="47" t="s">
        <v>8</v>
      </c>
      <c r="C72" s="48" t="s">
        <v>9</v>
      </c>
      <c r="D72" s="47" t="s">
        <v>10</v>
      </c>
      <c r="E72" s="64" t="s">
        <v>11</v>
      </c>
      <c r="F72" s="16"/>
      <c r="G72" s="109" t="s">
        <v>12</v>
      </c>
      <c r="H72" s="109" t="s">
        <v>13</v>
      </c>
      <c r="I72" s="109" t="s">
        <v>14</v>
      </c>
      <c r="J72" s="109" t="s">
        <v>15</v>
      </c>
      <c r="K72" s="109" t="s">
        <v>16</v>
      </c>
      <c r="L72" s="109" t="s">
        <v>17</v>
      </c>
      <c r="M72" s="109" t="s">
        <v>18</v>
      </c>
      <c r="N72" s="109" t="s">
        <v>19</v>
      </c>
      <c r="O72" s="109" t="s">
        <v>20</v>
      </c>
    </row>
    <row r="73" spans="2:41" s="32" customFormat="1" ht="15" customHeight="1">
      <c r="J73" s="33"/>
      <c r="K73" s="33"/>
      <c r="L73" s="33"/>
      <c r="M73" s="33"/>
      <c r="N73" s="33"/>
      <c r="O73" s="33"/>
      <c r="P73" s="33"/>
      <c r="Q73" s="33"/>
      <c r="R73" s="33"/>
      <c r="S73" s="33"/>
      <c r="T73" s="33"/>
      <c r="U73" s="33"/>
      <c r="V73" s="33"/>
      <c r="W73" s="33"/>
      <c r="X73" s="33"/>
      <c r="Y73" s="33"/>
      <c r="Z73" s="33"/>
      <c r="AA73" s="33"/>
      <c r="AB73" s="33"/>
      <c r="AC73" s="33"/>
      <c r="AD73" s="33"/>
      <c r="AE73" s="33"/>
      <c r="AF73" s="33"/>
      <c r="AG73" s="33"/>
    </row>
    <row r="74" spans="2:41" s="32" customFormat="1" ht="24.95" customHeight="1">
      <c r="B74" s="65" t="s">
        <v>35</v>
      </c>
      <c r="C74" s="51">
        <v>1</v>
      </c>
      <c r="D74" s="52">
        <v>0</v>
      </c>
      <c r="E74" s="55">
        <v>29</v>
      </c>
      <c r="F74" s="54"/>
      <c r="G74" s="66">
        <v>3</v>
      </c>
      <c r="H74" s="66">
        <v>5</v>
      </c>
      <c r="I74" s="66">
        <v>3</v>
      </c>
      <c r="J74" s="66">
        <v>4</v>
      </c>
      <c r="K74" s="66">
        <v>3</v>
      </c>
      <c r="L74" s="66">
        <v>3</v>
      </c>
      <c r="M74" s="66">
        <v>2</v>
      </c>
      <c r="N74" s="66">
        <v>3</v>
      </c>
      <c r="O74" s="66">
        <v>3</v>
      </c>
      <c r="P74" s="33"/>
      <c r="Q74" s="33"/>
      <c r="R74" s="33"/>
      <c r="S74" s="33"/>
      <c r="T74" s="33"/>
      <c r="U74" s="33"/>
      <c r="V74" s="33"/>
      <c r="W74" s="33"/>
      <c r="X74" s="33"/>
      <c r="Y74" s="33"/>
      <c r="Z74" s="33"/>
      <c r="AA74" s="33"/>
      <c r="AB74" s="33"/>
      <c r="AC74" s="33"/>
      <c r="AD74" s="33"/>
      <c r="AE74" s="33"/>
      <c r="AF74" s="33"/>
      <c r="AG74" s="33"/>
    </row>
    <row r="75" spans="2:41" s="32" customFormat="1" ht="15" customHeight="1">
      <c r="P75" s="33"/>
      <c r="Q75" s="33"/>
      <c r="R75" s="33"/>
      <c r="S75" s="33"/>
      <c r="T75" s="33"/>
      <c r="U75" s="33"/>
      <c r="V75" s="33"/>
      <c r="W75" s="33"/>
      <c r="X75" s="33"/>
      <c r="Y75" s="33"/>
      <c r="Z75" s="33"/>
      <c r="AA75" s="33"/>
      <c r="AB75" s="33"/>
      <c r="AC75" s="33"/>
      <c r="AD75" s="33"/>
      <c r="AE75" s="33"/>
      <c r="AF75" s="33"/>
      <c r="AG75" s="33"/>
    </row>
    <row r="76" spans="2:41" s="32" customFormat="1" ht="24.95" customHeight="1">
      <c r="B76" s="51">
        <v>1</v>
      </c>
      <c r="C76" s="51">
        <v>1</v>
      </c>
      <c r="D76" s="67">
        <v>4</v>
      </c>
      <c r="E76" s="55">
        <v>29</v>
      </c>
      <c r="F76" s="54"/>
      <c r="G76" s="68">
        <v>3</v>
      </c>
      <c r="H76" s="68">
        <v>5</v>
      </c>
      <c r="I76" s="68">
        <v>3</v>
      </c>
      <c r="J76" s="68">
        <v>2</v>
      </c>
      <c r="K76" s="68">
        <v>3</v>
      </c>
      <c r="L76" s="68">
        <v>2</v>
      </c>
      <c r="M76" s="68">
        <v>4</v>
      </c>
      <c r="N76" s="68">
        <v>5</v>
      </c>
      <c r="O76" s="68">
        <v>2</v>
      </c>
      <c r="P76" s="33"/>
      <c r="Q76" s="33"/>
      <c r="R76" s="33"/>
      <c r="S76" s="33"/>
      <c r="T76" s="33"/>
      <c r="U76" s="33"/>
      <c r="V76" s="33"/>
      <c r="W76" s="33"/>
      <c r="X76" s="33"/>
      <c r="Y76" s="33"/>
      <c r="Z76" s="33"/>
      <c r="AA76" s="33"/>
      <c r="AB76" s="33"/>
      <c r="AC76" s="33"/>
      <c r="AD76" s="33"/>
      <c r="AE76" s="33"/>
      <c r="AF76" s="33"/>
      <c r="AG76" s="33"/>
    </row>
    <row r="77" spans="2:41" s="32" customFormat="1" ht="24.95" customHeight="1">
      <c r="B77" s="51">
        <v>2</v>
      </c>
      <c r="C77" s="51">
        <v>1</v>
      </c>
      <c r="D77" s="67">
        <v>4</v>
      </c>
      <c r="E77" s="55">
        <v>31</v>
      </c>
      <c r="F77" s="54"/>
      <c r="G77" s="66">
        <v>3</v>
      </c>
      <c r="H77" s="66">
        <v>2</v>
      </c>
      <c r="I77" s="66">
        <v>4</v>
      </c>
      <c r="J77" s="66">
        <v>3</v>
      </c>
      <c r="K77" s="66">
        <v>5</v>
      </c>
      <c r="L77" s="66">
        <v>4</v>
      </c>
      <c r="M77" s="66">
        <v>3</v>
      </c>
      <c r="N77" s="66">
        <v>5</v>
      </c>
      <c r="O77" s="66">
        <v>2</v>
      </c>
      <c r="P77" s="33"/>
      <c r="Q77" s="33"/>
      <c r="R77" s="33"/>
      <c r="S77" s="33"/>
      <c r="T77" s="33"/>
      <c r="U77" s="33"/>
      <c r="V77" s="33"/>
      <c r="W77" s="33"/>
      <c r="X77" s="33"/>
      <c r="Y77" s="33"/>
      <c r="Z77" s="33"/>
      <c r="AA77" s="33"/>
      <c r="AB77" s="33"/>
      <c r="AC77" s="33"/>
      <c r="AD77" s="33"/>
      <c r="AE77" s="33"/>
      <c r="AF77" s="33"/>
      <c r="AG77" s="33"/>
    </row>
    <row r="78" spans="2:41" s="32" customFormat="1" ht="24.95" customHeight="1">
      <c r="B78" s="51">
        <v>3</v>
      </c>
      <c r="C78" s="51">
        <v>1</v>
      </c>
      <c r="D78" s="67">
        <v>4</v>
      </c>
      <c r="E78" s="55">
        <v>35</v>
      </c>
      <c r="F78" s="54"/>
      <c r="G78" s="66">
        <v>3</v>
      </c>
      <c r="H78" s="66">
        <v>5</v>
      </c>
      <c r="I78" s="66">
        <v>3</v>
      </c>
      <c r="J78" s="66">
        <v>4</v>
      </c>
      <c r="K78" s="66">
        <v>5</v>
      </c>
      <c r="L78" s="66">
        <v>5</v>
      </c>
      <c r="M78" s="66">
        <v>4</v>
      </c>
      <c r="N78" s="66">
        <v>3</v>
      </c>
      <c r="O78" s="66">
        <v>3</v>
      </c>
      <c r="P78" s="33"/>
      <c r="Q78" s="33"/>
      <c r="R78" s="33"/>
      <c r="S78" s="33"/>
      <c r="T78" s="33"/>
      <c r="U78" s="33"/>
      <c r="V78" s="33"/>
      <c r="W78" s="33"/>
      <c r="X78" s="33"/>
      <c r="Y78" s="33"/>
      <c r="Z78" s="33"/>
      <c r="AA78" s="33"/>
      <c r="AB78" s="33"/>
      <c r="AC78" s="33"/>
      <c r="AD78" s="33"/>
      <c r="AE78" s="33"/>
      <c r="AF78" s="33"/>
      <c r="AG78" s="33"/>
    </row>
    <row r="79" spans="2:41" s="32" customFormat="1" ht="24.95" customHeight="1">
      <c r="B79" s="51">
        <v>4</v>
      </c>
      <c r="C79" s="51">
        <v>1</v>
      </c>
      <c r="D79" s="67">
        <v>4</v>
      </c>
      <c r="E79" s="55">
        <v>35</v>
      </c>
      <c r="F79" s="54"/>
      <c r="G79" s="66">
        <v>4</v>
      </c>
      <c r="H79" s="66">
        <v>3</v>
      </c>
      <c r="I79" s="66">
        <v>5</v>
      </c>
      <c r="J79" s="66">
        <v>5</v>
      </c>
      <c r="K79" s="66">
        <v>2</v>
      </c>
      <c r="L79" s="66">
        <v>4</v>
      </c>
      <c r="M79" s="66">
        <v>5</v>
      </c>
      <c r="N79" s="66">
        <v>4</v>
      </c>
      <c r="O79" s="66">
        <v>3</v>
      </c>
      <c r="P79" s="33"/>
      <c r="Q79" s="33"/>
      <c r="R79" s="33"/>
      <c r="S79" s="33"/>
      <c r="T79" s="33"/>
      <c r="U79" s="33"/>
      <c r="V79" s="33"/>
      <c r="W79" s="33"/>
      <c r="X79" s="33"/>
      <c r="Y79" s="33"/>
      <c r="Z79" s="33"/>
      <c r="AA79" s="33"/>
      <c r="AB79" s="33"/>
      <c r="AC79" s="33"/>
      <c r="AD79" s="33"/>
      <c r="AE79" s="33"/>
      <c r="AF79" s="33"/>
      <c r="AG79" s="33"/>
    </row>
    <row r="80" spans="2:41" s="32" customFormat="1" ht="24.95" customHeight="1">
      <c r="B80" s="51">
        <v>5</v>
      </c>
      <c r="C80" s="51">
        <v>1</v>
      </c>
      <c r="D80" s="67">
        <v>4</v>
      </c>
      <c r="E80" s="55">
        <v>28</v>
      </c>
      <c r="F80" s="54"/>
      <c r="G80" s="66">
        <v>2</v>
      </c>
      <c r="H80" s="66">
        <v>3</v>
      </c>
      <c r="I80" s="66">
        <v>3</v>
      </c>
      <c r="J80" s="66">
        <v>5</v>
      </c>
      <c r="K80" s="66">
        <v>4</v>
      </c>
      <c r="L80" s="66">
        <v>4</v>
      </c>
      <c r="M80" s="66">
        <v>2</v>
      </c>
      <c r="N80" s="66">
        <v>2</v>
      </c>
      <c r="O80" s="66">
        <v>3</v>
      </c>
      <c r="P80" s="33"/>
      <c r="Q80" s="33"/>
      <c r="R80" s="33"/>
      <c r="S80" s="33"/>
      <c r="T80" s="33"/>
      <c r="U80" s="33"/>
      <c r="V80" s="33"/>
      <c r="W80" s="33"/>
      <c r="X80" s="33"/>
      <c r="Y80" s="33"/>
      <c r="Z80" s="33"/>
      <c r="AA80" s="33"/>
      <c r="AB80" s="33"/>
      <c r="AC80" s="33"/>
      <c r="AD80" s="33"/>
      <c r="AE80" s="33"/>
      <c r="AF80" s="33"/>
      <c r="AG80" s="33"/>
    </row>
    <row r="81" spans="2:36" s="32" customFormat="1" ht="24.95" customHeight="1">
      <c r="B81" s="51">
        <v>6</v>
      </c>
      <c r="C81" s="51">
        <v>1</v>
      </c>
      <c r="D81" s="67">
        <v>4</v>
      </c>
      <c r="E81" s="55">
        <v>31</v>
      </c>
      <c r="F81" s="54"/>
      <c r="G81" s="66">
        <v>4</v>
      </c>
      <c r="H81" s="66">
        <v>4</v>
      </c>
      <c r="I81" s="66">
        <v>3</v>
      </c>
      <c r="J81" s="66">
        <v>2</v>
      </c>
      <c r="K81" s="66">
        <v>2</v>
      </c>
      <c r="L81" s="66">
        <v>4</v>
      </c>
      <c r="M81" s="66">
        <v>5</v>
      </c>
      <c r="N81" s="66">
        <v>2</v>
      </c>
      <c r="O81" s="66">
        <v>5</v>
      </c>
      <c r="P81" s="33"/>
      <c r="Q81" s="33"/>
      <c r="R81" s="33"/>
      <c r="S81" s="33"/>
      <c r="T81" s="33"/>
      <c r="U81" s="33"/>
      <c r="V81" s="33"/>
      <c r="W81" s="33"/>
      <c r="X81" s="33"/>
      <c r="Y81" s="33"/>
      <c r="Z81" s="33"/>
      <c r="AA81" s="33"/>
      <c r="AB81" s="33"/>
      <c r="AC81" s="33"/>
      <c r="AD81" s="33"/>
      <c r="AE81" s="33"/>
      <c r="AF81" s="33"/>
      <c r="AG81" s="33"/>
    </row>
    <row r="82" spans="2:36" s="32" customFormat="1" ht="24.95" customHeight="1">
      <c r="B82" s="51">
        <v>7</v>
      </c>
      <c r="C82" s="51">
        <v>1</v>
      </c>
      <c r="D82" s="67">
        <v>4</v>
      </c>
      <c r="E82" s="55">
        <v>30</v>
      </c>
      <c r="F82" s="54"/>
      <c r="G82" s="66">
        <v>5</v>
      </c>
      <c r="H82" s="66">
        <v>5</v>
      </c>
      <c r="I82" s="66">
        <v>4</v>
      </c>
      <c r="J82" s="66">
        <v>4</v>
      </c>
      <c r="K82" s="66">
        <v>2</v>
      </c>
      <c r="L82" s="66">
        <v>2</v>
      </c>
      <c r="M82" s="66">
        <v>4</v>
      </c>
      <c r="N82" s="66">
        <v>2</v>
      </c>
      <c r="O82" s="66">
        <v>2</v>
      </c>
      <c r="P82" s="33"/>
      <c r="Q82" s="33"/>
      <c r="R82" s="33"/>
      <c r="S82" s="33"/>
      <c r="T82" s="33"/>
      <c r="U82" s="33"/>
      <c r="V82" s="33"/>
      <c r="W82" s="33"/>
      <c r="X82" s="33"/>
      <c r="Y82" s="33"/>
      <c r="Z82" s="33"/>
      <c r="AA82" s="33"/>
      <c r="AB82" s="33"/>
      <c r="AC82" s="33"/>
      <c r="AD82" s="33"/>
      <c r="AE82" s="33"/>
      <c r="AF82" s="33"/>
      <c r="AG82" s="33"/>
    </row>
    <row r="83" spans="2:36" s="32" customFormat="1" ht="24.95" customHeight="1">
      <c r="B83" s="51">
        <v>8</v>
      </c>
      <c r="C83" s="51">
        <v>1</v>
      </c>
      <c r="D83" s="67">
        <v>4</v>
      </c>
      <c r="E83" s="55">
        <v>32</v>
      </c>
      <c r="F83" s="54"/>
      <c r="G83" s="66">
        <v>4</v>
      </c>
      <c r="H83" s="66">
        <v>3</v>
      </c>
      <c r="I83" s="66">
        <v>4</v>
      </c>
      <c r="J83" s="66">
        <v>5</v>
      </c>
      <c r="K83" s="66">
        <v>3</v>
      </c>
      <c r="L83" s="66">
        <v>2</v>
      </c>
      <c r="M83" s="66">
        <v>2</v>
      </c>
      <c r="N83" s="66">
        <v>5</v>
      </c>
      <c r="O83" s="66">
        <v>4</v>
      </c>
      <c r="P83" s="33"/>
      <c r="Q83" s="33"/>
      <c r="R83" s="33"/>
      <c r="S83" s="33"/>
      <c r="T83" s="33"/>
      <c r="U83" s="33"/>
      <c r="V83" s="33"/>
      <c r="W83" s="33"/>
      <c r="X83" s="33"/>
      <c r="Y83" s="33"/>
      <c r="Z83" s="33"/>
      <c r="AA83" s="33"/>
      <c r="AB83" s="33"/>
      <c r="AC83" s="33"/>
      <c r="AD83" s="33"/>
      <c r="AE83" s="33"/>
      <c r="AF83" s="33"/>
      <c r="AG83" s="33"/>
    </row>
    <row r="84" spans="2:36" s="32" customFormat="1" ht="24.95" customHeight="1">
      <c r="B84" s="51">
        <v>9</v>
      </c>
      <c r="C84" s="51">
        <v>1</v>
      </c>
      <c r="D84" s="67">
        <v>4</v>
      </c>
      <c r="E84" s="55">
        <v>37</v>
      </c>
      <c r="F84" s="54"/>
      <c r="G84" s="66">
        <v>5</v>
      </c>
      <c r="H84" s="66">
        <v>4</v>
      </c>
      <c r="I84" s="66">
        <v>3</v>
      </c>
      <c r="J84" s="66">
        <v>4</v>
      </c>
      <c r="K84" s="66">
        <v>5</v>
      </c>
      <c r="L84" s="66">
        <v>2</v>
      </c>
      <c r="M84" s="66">
        <v>5</v>
      </c>
      <c r="N84" s="66">
        <v>5</v>
      </c>
      <c r="O84" s="66">
        <v>4</v>
      </c>
      <c r="P84" s="33"/>
      <c r="Q84" s="33"/>
      <c r="R84" s="33"/>
      <c r="S84" s="33"/>
      <c r="T84" s="33"/>
      <c r="U84" s="33"/>
      <c r="V84" s="33"/>
      <c r="W84" s="33"/>
      <c r="X84" s="33"/>
      <c r="Y84" s="33"/>
      <c r="Z84" s="33"/>
      <c r="AA84" s="33"/>
      <c r="AB84" s="33"/>
      <c r="AC84" s="33"/>
      <c r="AD84" s="33"/>
      <c r="AE84" s="33"/>
      <c r="AF84" s="33"/>
      <c r="AG84" s="33"/>
    </row>
    <row r="85" spans="2:36" s="32" customFormat="1" ht="24.95" customHeight="1">
      <c r="B85" s="51">
        <v>10</v>
      </c>
      <c r="C85" s="51">
        <v>1</v>
      </c>
      <c r="D85" s="67">
        <v>4</v>
      </c>
      <c r="E85" s="55">
        <v>33</v>
      </c>
      <c r="F85" s="54"/>
      <c r="G85" s="66">
        <v>3</v>
      </c>
      <c r="H85" s="66">
        <v>5</v>
      </c>
      <c r="I85" s="66">
        <v>2</v>
      </c>
      <c r="J85" s="66">
        <v>4</v>
      </c>
      <c r="K85" s="66">
        <v>5</v>
      </c>
      <c r="L85" s="66">
        <v>5</v>
      </c>
      <c r="M85" s="66">
        <v>3</v>
      </c>
      <c r="N85" s="66">
        <v>2</v>
      </c>
      <c r="O85" s="66">
        <v>4</v>
      </c>
      <c r="P85" s="33"/>
      <c r="Q85" s="33"/>
      <c r="R85" s="33"/>
      <c r="S85" s="33"/>
      <c r="T85" s="33"/>
      <c r="U85" s="33"/>
      <c r="V85" s="33"/>
      <c r="W85" s="33"/>
      <c r="X85" s="33"/>
      <c r="Y85" s="33"/>
      <c r="Z85" s="33"/>
      <c r="AA85" s="33"/>
      <c r="AB85" s="33"/>
      <c r="AC85" s="33"/>
      <c r="AD85" s="33"/>
      <c r="AE85" s="33"/>
      <c r="AF85" s="33"/>
      <c r="AG85" s="33"/>
    </row>
    <row r="86" spans="2:36" s="32" customFormat="1" ht="24.95" customHeight="1">
      <c r="B86" s="51">
        <v>11</v>
      </c>
      <c r="C86" s="51">
        <v>1</v>
      </c>
      <c r="D86" s="67">
        <v>4</v>
      </c>
      <c r="E86" s="55">
        <v>28</v>
      </c>
      <c r="F86" s="54"/>
      <c r="G86" s="66">
        <v>5</v>
      </c>
      <c r="H86" s="66">
        <v>2</v>
      </c>
      <c r="I86" s="66">
        <v>2</v>
      </c>
      <c r="J86" s="66">
        <v>3</v>
      </c>
      <c r="K86" s="66">
        <v>2</v>
      </c>
      <c r="L86" s="66">
        <v>3</v>
      </c>
      <c r="M86" s="66">
        <v>5</v>
      </c>
      <c r="N86" s="66">
        <v>4</v>
      </c>
      <c r="O86" s="66">
        <v>2</v>
      </c>
      <c r="P86" s="33"/>
      <c r="Q86" s="33"/>
      <c r="R86" s="33"/>
      <c r="S86" s="33"/>
      <c r="T86" s="33"/>
      <c r="U86" s="33"/>
      <c r="V86" s="33"/>
      <c r="W86" s="33"/>
      <c r="X86" s="33"/>
      <c r="Y86" s="33"/>
      <c r="Z86" s="33"/>
      <c r="AA86" s="33"/>
      <c r="AB86" s="33"/>
      <c r="AC86" s="33"/>
      <c r="AD86" s="33"/>
      <c r="AE86" s="33"/>
      <c r="AF86" s="33"/>
      <c r="AG86" s="33"/>
    </row>
    <row r="87" spans="2:36" s="32" customFormat="1" ht="24.95" customHeight="1">
      <c r="B87" s="51">
        <v>12</v>
      </c>
      <c r="C87" s="51">
        <v>1</v>
      </c>
      <c r="D87" s="67">
        <v>4</v>
      </c>
      <c r="E87" s="55">
        <v>34</v>
      </c>
      <c r="F87" s="54"/>
      <c r="G87" s="66">
        <v>5</v>
      </c>
      <c r="H87" s="66">
        <v>4</v>
      </c>
      <c r="I87" s="66">
        <v>5</v>
      </c>
      <c r="J87" s="66">
        <v>2</v>
      </c>
      <c r="K87" s="66">
        <v>4</v>
      </c>
      <c r="L87" s="66">
        <v>5</v>
      </c>
      <c r="M87" s="66">
        <v>2</v>
      </c>
      <c r="N87" s="66">
        <v>5</v>
      </c>
      <c r="O87" s="66">
        <v>2</v>
      </c>
      <c r="P87" s="33"/>
      <c r="Q87" s="33"/>
      <c r="R87" s="33"/>
      <c r="S87" s="33"/>
      <c r="T87" s="33"/>
      <c r="U87" s="33"/>
      <c r="V87" s="33"/>
      <c r="W87" s="33"/>
      <c r="X87" s="33"/>
      <c r="Y87" s="33"/>
      <c r="Z87" s="33"/>
      <c r="AA87" s="33"/>
      <c r="AB87" s="33"/>
      <c r="AC87" s="33"/>
      <c r="AD87" s="33"/>
      <c r="AE87" s="33"/>
      <c r="AF87" s="33"/>
      <c r="AG87" s="33"/>
    </row>
    <row r="88" spans="2:36" s="32" customFormat="1" ht="24.95" customHeight="1">
      <c r="B88" s="51">
        <v>13</v>
      </c>
      <c r="C88" s="51">
        <v>1</v>
      </c>
      <c r="D88" s="67">
        <v>4</v>
      </c>
      <c r="E88" s="55">
        <v>31</v>
      </c>
      <c r="F88" s="54"/>
      <c r="G88" s="66">
        <v>3</v>
      </c>
      <c r="H88" s="66">
        <v>4</v>
      </c>
      <c r="I88" s="66">
        <v>2</v>
      </c>
      <c r="J88" s="66">
        <v>3</v>
      </c>
      <c r="K88" s="66">
        <v>2</v>
      </c>
      <c r="L88" s="66">
        <v>5</v>
      </c>
      <c r="M88" s="66">
        <v>4</v>
      </c>
      <c r="N88" s="66">
        <v>3</v>
      </c>
      <c r="O88" s="66">
        <v>5</v>
      </c>
      <c r="P88" s="33"/>
      <c r="Q88" s="33"/>
      <c r="R88" s="33"/>
      <c r="S88" s="33"/>
      <c r="T88" s="33"/>
      <c r="U88" s="33"/>
      <c r="V88" s="33"/>
      <c r="W88" s="33"/>
      <c r="X88" s="33"/>
      <c r="Y88" s="33"/>
      <c r="Z88" s="33"/>
      <c r="AA88" s="33"/>
      <c r="AB88" s="33"/>
      <c r="AC88" s="33"/>
      <c r="AD88" s="33"/>
      <c r="AE88" s="33"/>
      <c r="AF88" s="33"/>
      <c r="AG88" s="33"/>
    </row>
    <row r="89" spans="2:36" s="32" customFormat="1" ht="24.95" customHeight="1">
      <c r="B89" s="51">
        <v>14</v>
      </c>
      <c r="C89" s="51">
        <v>1</v>
      </c>
      <c r="D89" s="67">
        <v>4</v>
      </c>
      <c r="E89" s="55">
        <v>35</v>
      </c>
      <c r="F89" s="54"/>
      <c r="G89" s="66">
        <v>4</v>
      </c>
      <c r="H89" s="66">
        <v>4</v>
      </c>
      <c r="I89" s="66">
        <v>4</v>
      </c>
      <c r="J89" s="66">
        <v>3</v>
      </c>
      <c r="K89" s="66">
        <v>2</v>
      </c>
      <c r="L89" s="66">
        <v>5</v>
      </c>
      <c r="M89" s="66">
        <v>5</v>
      </c>
      <c r="N89" s="66">
        <v>3</v>
      </c>
      <c r="O89" s="66">
        <v>5</v>
      </c>
      <c r="P89" s="33"/>
      <c r="Q89" s="33"/>
      <c r="R89" s="33"/>
      <c r="S89" s="33"/>
      <c r="T89" s="33"/>
      <c r="U89" s="33"/>
      <c r="V89" s="33"/>
      <c r="W89" s="33"/>
      <c r="X89" s="33"/>
      <c r="Y89" s="33"/>
      <c r="Z89" s="33"/>
      <c r="AA89" s="33"/>
      <c r="AB89" s="33"/>
      <c r="AC89" s="33"/>
      <c r="AD89" s="33"/>
      <c r="AE89" s="33"/>
      <c r="AF89" s="33"/>
      <c r="AG89" s="33"/>
    </row>
    <row r="90" spans="2:36" s="32" customFormat="1" ht="24.95" customHeight="1">
      <c r="B90" s="51">
        <v>15</v>
      </c>
      <c r="C90" s="51">
        <v>1</v>
      </c>
      <c r="D90" s="67">
        <v>4</v>
      </c>
      <c r="E90" s="55">
        <v>34</v>
      </c>
      <c r="F90" s="54"/>
      <c r="G90" s="66">
        <v>3</v>
      </c>
      <c r="H90" s="66">
        <v>3</v>
      </c>
      <c r="I90" s="66">
        <v>3</v>
      </c>
      <c r="J90" s="66">
        <v>5</v>
      </c>
      <c r="K90" s="66">
        <v>2</v>
      </c>
      <c r="L90" s="66">
        <v>5</v>
      </c>
      <c r="M90" s="66">
        <v>3</v>
      </c>
      <c r="N90" s="66">
        <v>5</v>
      </c>
      <c r="O90" s="66">
        <v>5</v>
      </c>
      <c r="P90" s="33"/>
      <c r="Q90" s="33"/>
      <c r="R90" s="33"/>
      <c r="S90" s="33"/>
      <c r="T90" s="33"/>
      <c r="U90" s="33"/>
      <c r="V90" s="33"/>
      <c r="W90" s="33"/>
      <c r="X90" s="33"/>
      <c r="Y90" s="33"/>
      <c r="Z90" s="33"/>
      <c r="AA90" s="33"/>
      <c r="AB90" s="33"/>
      <c r="AC90" s="33"/>
      <c r="AD90" s="33"/>
      <c r="AE90" s="33"/>
      <c r="AF90" s="33"/>
      <c r="AG90" s="33"/>
    </row>
    <row r="91" spans="2:36" s="32" customFormat="1" ht="24.95" customHeight="1">
      <c r="B91" s="51">
        <v>16</v>
      </c>
      <c r="C91" s="51">
        <v>1</v>
      </c>
      <c r="D91" s="67">
        <v>4</v>
      </c>
      <c r="E91" s="55">
        <v>30</v>
      </c>
      <c r="F91" s="54"/>
      <c r="G91" s="66">
        <v>2</v>
      </c>
      <c r="H91" s="66">
        <v>3</v>
      </c>
      <c r="I91" s="66">
        <v>2</v>
      </c>
      <c r="J91" s="66">
        <v>2</v>
      </c>
      <c r="K91" s="66">
        <v>5</v>
      </c>
      <c r="L91" s="66">
        <v>4</v>
      </c>
      <c r="M91" s="66">
        <v>5</v>
      </c>
      <c r="N91" s="66">
        <v>5</v>
      </c>
      <c r="O91" s="66">
        <v>2</v>
      </c>
      <c r="P91" s="33"/>
      <c r="Q91" s="33"/>
      <c r="R91" s="33"/>
      <c r="S91" s="33"/>
      <c r="T91" s="33"/>
      <c r="U91" s="33"/>
      <c r="V91" s="33"/>
      <c r="W91" s="33"/>
      <c r="X91" s="33"/>
      <c r="Y91" s="33"/>
      <c r="Z91" s="33"/>
      <c r="AA91" s="33"/>
      <c r="AB91" s="33"/>
      <c r="AC91" s="33"/>
      <c r="AD91" s="33"/>
      <c r="AE91" s="33"/>
      <c r="AF91" s="33"/>
      <c r="AG91" s="33"/>
    </row>
    <row r="92" spans="2:36" s="32" customFormat="1" ht="24.95" customHeight="1">
      <c r="B92" s="51">
        <v>17</v>
      </c>
      <c r="C92" s="51">
        <v>1</v>
      </c>
      <c r="D92" s="67">
        <v>4</v>
      </c>
      <c r="E92" s="55">
        <v>33</v>
      </c>
      <c r="F92" s="54"/>
      <c r="G92" s="66">
        <v>3</v>
      </c>
      <c r="H92" s="66">
        <v>4</v>
      </c>
      <c r="I92" s="66">
        <v>4</v>
      </c>
      <c r="J92" s="66">
        <v>3</v>
      </c>
      <c r="K92" s="66">
        <v>4</v>
      </c>
      <c r="L92" s="66">
        <v>3</v>
      </c>
      <c r="M92" s="66">
        <v>4</v>
      </c>
      <c r="N92" s="66">
        <v>4</v>
      </c>
      <c r="O92" s="66">
        <v>4</v>
      </c>
      <c r="P92" s="33"/>
      <c r="Q92" s="33"/>
      <c r="R92" s="33"/>
      <c r="S92" s="33"/>
      <c r="T92" s="33"/>
      <c r="U92" s="33"/>
      <c r="V92" s="33"/>
      <c r="W92" s="33"/>
      <c r="X92" s="33"/>
      <c r="Y92" s="33"/>
      <c r="Z92" s="33"/>
      <c r="AA92" s="33"/>
      <c r="AB92" s="33"/>
      <c r="AC92" s="33"/>
      <c r="AD92" s="33"/>
      <c r="AE92" s="33"/>
      <c r="AF92" s="33"/>
      <c r="AG92" s="33"/>
    </row>
    <row r="93" spans="2:36" s="32" customFormat="1" ht="24.95" customHeight="1">
      <c r="B93" s="51">
        <v>18</v>
      </c>
      <c r="C93" s="51">
        <v>1</v>
      </c>
      <c r="D93" s="67">
        <v>4</v>
      </c>
      <c r="E93" s="55">
        <v>29</v>
      </c>
      <c r="F93" s="54"/>
      <c r="G93" s="66">
        <v>3</v>
      </c>
      <c r="H93" s="66">
        <v>4</v>
      </c>
      <c r="I93" s="66">
        <v>5</v>
      </c>
      <c r="J93" s="66">
        <v>2</v>
      </c>
      <c r="K93" s="66">
        <v>2</v>
      </c>
      <c r="L93" s="66">
        <v>5</v>
      </c>
      <c r="M93" s="66">
        <v>2</v>
      </c>
      <c r="N93" s="66">
        <v>3</v>
      </c>
      <c r="O93" s="66">
        <v>3</v>
      </c>
      <c r="P93" s="33"/>
      <c r="Q93" s="33"/>
      <c r="R93" s="33"/>
      <c r="S93" s="33"/>
      <c r="T93" s="33"/>
      <c r="U93" s="33"/>
      <c r="V93" s="33"/>
      <c r="W93" s="33"/>
      <c r="X93" s="33"/>
      <c r="Y93" s="33"/>
      <c r="Z93" s="33"/>
      <c r="AA93" s="33"/>
      <c r="AB93" s="33"/>
      <c r="AC93" s="33"/>
      <c r="AD93" s="33"/>
      <c r="AE93" s="33"/>
      <c r="AF93" s="33"/>
      <c r="AG93" s="33"/>
      <c r="AH93" s="33"/>
      <c r="AI93" s="33"/>
      <c r="AJ93" s="33"/>
    </row>
    <row r="94" spans="2:36" s="32" customFormat="1" ht="24.95" customHeight="1">
      <c r="B94" s="51">
        <v>19</v>
      </c>
      <c r="C94" s="51">
        <v>1</v>
      </c>
      <c r="D94" s="67">
        <v>4</v>
      </c>
      <c r="E94" s="55">
        <v>32</v>
      </c>
      <c r="F94" s="54"/>
      <c r="G94" s="66">
        <v>3</v>
      </c>
      <c r="H94" s="66">
        <v>3</v>
      </c>
      <c r="I94" s="66">
        <v>4</v>
      </c>
      <c r="J94" s="66">
        <v>4</v>
      </c>
      <c r="K94" s="66">
        <v>2</v>
      </c>
      <c r="L94" s="66">
        <v>3</v>
      </c>
      <c r="M94" s="66">
        <v>5</v>
      </c>
      <c r="N94" s="66">
        <v>4</v>
      </c>
      <c r="O94" s="66">
        <v>4</v>
      </c>
      <c r="P94" s="33"/>
      <c r="Q94" s="33"/>
      <c r="R94" s="33"/>
      <c r="S94" s="33"/>
      <c r="T94" s="33"/>
      <c r="U94" s="33"/>
      <c r="V94" s="33"/>
      <c r="W94" s="33"/>
      <c r="X94" s="33"/>
      <c r="Y94" s="33"/>
      <c r="Z94" s="33"/>
      <c r="AA94" s="33"/>
      <c r="AB94" s="33"/>
      <c r="AC94" s="33"/>
      <c r="AD94" s="33"/>
      <c r="AE94" s="33"/>
      <c r="AF94" s="33"/>
      <c r="AG94" s="33"/>
      <c r="AH94" s="33"/>
      <c r="AI94" s="33"/>
      <c r="AJ94" s="33"/>
    </row>
    <row r="95" spans="2:36" s="32" customFormat="1" ht="24.95" customHeight="1">
      <c r="B95" s="51">
        <v>20</v>
      </c>
      <c r="C95" s="51">
        <v>1</v>
      </c>
      <c r="D95" s="67">
        <v>4</v>
      </c>
      <c r="E95" s="55">
        <v>34</v>
      </c>
      <c r="F95" s="54"/>
      <c r="G95" s="66">
        <v>5</v>
      </c>
      <c r="H95" s="66">
        <v>3</v>
      </c>
      <c r="I95" s="66">
        <v>4</v>
      </c>
      <c r="J95" s="66">
        <v>4</v>
      </c>
      <c r="K95" s="66">
        <v>4</v>
      </c>
      <c r="L95" s="66">
        <v>5</v>
      </c>
      <c r="M95" s="66">
        <v>4</v>
      </c>
      <c r="N95" s="66">
        <v>3</v>
      </c>
      <c r="O95" s="66">
        <v>2</v>
      </c>
      <c r="P95" s="33"/>
      <c r="Q95" s="33"/>
      <c r="R95" s="33"/>
      <c r="S95" s="33"/>
      <c r="T95" s="33"/>
      <c r="U95" s="33"/>
      <c r="V95" s="33"/>
      <c r="W95" s="33"/>
      <c r="X95" s="33"/>
      <c r="Y95" s="33"/>
      <c r="Z95" s="33"/>
      <c r="AA95" s="33"/>
      <c r="AB95" s="33"/>
      <c r="AC95" s="33"/>
      <c r="AD95" s="33"/>
      <c r="AE95" s="33"/>
      <c r="AF95" s="33"/>
      <c r="AG95" s="33"/>
      <c r="AH95" s="33"/>
      <c r="AI95" s="33"/>
      <c r="AJ95" s="33"/>
    </row>
    <row r="96" spans="2:36" s="32" customFormat="1" ht="15" customHeight="1" thickBot="1">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row>
    <row r="97" spans="2:41" s="32" customFormat="1" ht="22.5" customHeight="1" thickBot="1">
      <c r="B97" s="57" t="s">
        <v>36</v>
      </c>
      <c r="C97" s="114" t="s">
        <v>126</v>
      </c>
      <c r="D97" s="59"/>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row>
    <row r="98" spans="2:41" s="16" customFormat="1" ht="15" customHeight="1">
      <c r="H98" s="32"/>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row>
    <row r="99" spans="2:41" s="16" customFormat="1" ht="15" customHeight="1">
      <c r="B99" s="60" t="s">
        <v>101</v>
      </c>
      <c r="C99" s="61"/>
      <c r="H99" s="32"/>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row>
    <row r="100" spans="2:41" s="16" customFormat="1" ht="15" customHeight="1">
      <c r="B100" s="61"/>
      <c r="C100" s="61"/>
      <c r="H100" s="32"/>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row>
    <row r="101" spans="2:41" s="16" customFormat="1" ht="15" customHeight="1">
      <c r="B101" s="60" t="s">
        <v>102</v>
      </c>
      <c r="C101" s="61"/>
      <c r="H101" s="32"/>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row>
    <row r="102" spans="2:41" s="16" customFormat="1" ht="15" customHeight="1">
      <c r="H102" s="32"/>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row>
    <row r="103" spans="2:41" s="16" customFormat="1" ht="15" customHeight="1">
      <c r="B103" s="63" t="s">
        <v>34</v>
      </c>
      <c r="C103" s="61"/>
      <c r="D103" s="50"/>
      <c r="E103" s="50"/>
      <c r="F103" s="50"/>
      <c r="G103" s="50"/>
      <c r="H103" s="32"/>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row>
    <row r="104" spans="2:41" s="16" customFormat="1" ht="15" customHeight="1">
      <c r="B104" s="61" t="s">
        <v>104</v>
      </c>
      <c r="D104" s="50"/>
      <c r="E104" s="50"/>
      <c r="F104" s="50"/>
      <c r="G104" s="50"/>
      <c r="H104" s="32"/>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row>
    <row r="105" spans="2:41" s="16" customFormat="1" ht="15" customHeight="1">
      <c r="B105" s="61" t="s">
        <v>105</v>
      </c>
      <c r="D105" s="50"/>
      <c r="E105" s="50"/>
      <c r="F105" s="50"/>
      <c r="G105" s="50"/>
      <c r="H105" s="32"/>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row>
    <row r="106" spans="2:41" s="16" customFormat="1" ht="15" customHeight="1" thickBot="1">
      <c r="B106" s="61" t="s">
        <v>106</v>
      </c>
      <c r="D106" s="50"/>
      <c r="E106" s="50"/>
      <c r="F106" s="50"/>
      <c r="G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row>
    <row r="107" spans="2:41" s="50" customFormat="1" ht="22.5" customHeight="1" thickBot="1">
      <c r="B107" s="16"/>
      <c r="C107" s="16"/>
      <c r="D107" s="16"/>
      <c r="E107" s="16"/>
      <c r="F107" s="16"/>
      <c r="G107" s="110" t="s">
        <v>90</v>
      </c>
      <c r="H107" s="111"/>
      <c r="I107" s="111"/>
      <c r="J107" s="111"/>
      <c r="K107" s="111"/>
      <c r="L107" s="111"/>
      <c r="M107" s="111"/>
      <c r="N107" s="111"/>
      <c r="O107" s="112"/>
    </row>
    <row r="108" spans="2:41" s="50" customFormat="1" ht="22.5" customHeight="1" thickBot="1">
      <c r="B108" s="47" t="s">
        <v>8</v>
      </c>
      <c r="C108" s="48" t="s">
        <v>9</v>
      </c>
      <c r="D108" s="47" t="s">
        <v>10</v>
      </c>
      <c r="E108" s="64" t="s">
        <v>11</v>
      </c>
      <c r="F108" s="16"/>
      <c r="G108" s="47" t="s">
        <v>12</v>
      </c>
      <c r="H108" s="47" t="s">
        <v>13</v>
      </c>
      <c r="I108" s="47" t="s">
        <v>14</v>
      </c>
      <c r="J108" s="47" t="s">
        <v>15</v>
      </c>
      <c r="K108" s="47" t="s">
        <v>16</v>
      </c>
      <c r="L108" s="47" t="s">
        <v>17</v>
      </c>
      <c r="M108" s="47" t="s">
        <v>18</v>
      </c>
      <c r="N108" s="47" t="s">
        <v>19</v>
      </c>
      <c r="O108" s="47" t="s">
        <v>20</v>
      </c>
    </row>
    <row r="109" spans="2:41" s="32" customFormat="1" ht="15" customHeight="1">
      <c r="J109" s="33"/>
      <c r="K109" s="33"/>
      <c r="L109" s="33"/>
      <c r="M109" s="33"/>
      <c r="N109" s="33"/>
      <c r="O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row>
    <row r="110" spans="2:41" s="32" customFormat="1" ht="24.95" customHeight="1">
      <c r="B110" s="65" t="s">
        <v>37</v>
      </c>
      <c r="C110" s="51">
        <v>2</v>
      </c>
      <c r="D110" s="52">
        <v>0</v>
      </c>
      <c r="E110" s="55">
        <v>5</v>
      </c>
      <c r="F110" s="54"/>
      <c r="G110" s="66">
        <v>3</v>
      </c>
      <c r="H110" s="66">
        <v>5</v>
      </c>
      <c r="I110" s="66">
        <v>3</v>
      </c>
      <c r="J110" s="66">
        <v>4</v>
      </c>
      <c r="K110" s="66">
        <v>3</v>
      </c>
      <c r="L110" s="66">
        <v>3</v>
      </c>
      <c r="M110" s="66">
        <v>2</v>
      </c>
      <c r="N110" s="66">
        <v>3</v>
      </c>
      <c r="O110" s="66">
        <v>3</v>
      </c>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row>
    <row r="111" spans="2:41" s="32" customFormat="1" ht="15" customHeight="1">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row>
    <row r="112" spans="2:41" s="32" customFormat="1" ht="24.95" customHeight="1">
      <c r="B112" s="51">
        <v>21</v>
      </c>
      <c r="C112" s="51">
        <v>2</v>
      </c>
      <c r="D112" s="67">
        <v>5</v>
      </c>
      <c r="E112" s="55">
        <v>5</v>
      </c>
      <c r="F112" s="54"/>
      <c r="G112" s="68">
        <v>3</v>
      </c>
      <c r="H112" s="68">
        <v>5</v>
      </c>
      <c r="I112" s="68">
        <v>2</v>
      </c>
      <c r="J112" s="68">
        <v>3</v>
      </c>
      <c r="K112" s="68">
        <v>2</v>
      </c>
      <c r="L112" s="68">
        <v>2</v>
      </c>
      <c r="M112" s="68">
        <v>5</v>
      </c>
      <c r="N112" s="68">
        <v>2</v>
      </c>
      <c r="O112" s="68">
        <v>5</v>
      </c>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row>
    <row r="113" spans="2:41" s="32" customFormat="1" ht="24.95" customHeight="1">
      <c r="B113" s="51">
        <v>22</v>
      </c>
      <c r="C113" s="51">
        <v>2</v>
      </c>
      <c r="D113" s="67">
        <v>5</v>
      </c>
      <c r="E113" s="55">
        <v>4</v>
      </c>
      <c r="F113" s="54"/>
      <c r="G113" s="66">
        <v>2</v>
      </c>
      <c r="H113" s="66">
        <v>2</v>
      </c>
      <c r="I113" s="66">
        <v>4</v>
      </c>
      <c r="J113" s="66">
        <v>4</v>
      </c>
      <c r="K113" s="66">
        <v>4</v>
      </c>
      <c r="L113" s="66">
        <v>3</v>
      </c>
      <c r="M113" s="66">
        <v>2</v>
      </c>
      <c r="N113" s="66">
        <v>2</v>
      </c>
      <c r="O113" s="66">
        <v>4</v>
      </c>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row>
    <row r="114" spans="2:41" s="32" customFormat="1" ht="24.95" customHeight="1">
      <c r="B114" s="51">
        <v>23</v>
      </c>
      <c r="C114" s="51">
        <v>2</v>
      </c>
      <c r="D114" s="67">
        <v>5</v>
      </c>
      <c r="E114" s="55">
        <v>5</v>
      </c>
      <c r="F114" s="54"/>
      <c r="G114" s="66">
        <v>4</v>
      </c>
      <c r="H114" s="66">
        <v>4</v>
      </c>
      <c r="I114" s="66">
        <v>5</v>
      </c>
      <c r="J114" s="66">
        <v>2</v>
      </c>
      <c r="K114" s="66">
        <v>2</v>
      </c>
      <c r="L114" s="66">
        <v>5</v>
      </c>
      <c r="M114" s="66">
        <v>3</v>
      </c>
      <c r="N114" s="66">
        <v>3</v>
      </c>
      <c r="O114" s="66">
        <v>2</v>
      </c>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row>
    <row r="115" spans="2:41" s="32" customFormat="1" ht="24.95" customHeight="1">
      <c r="B115" s="51">
        <v>24</v>
      </c>
      <c r="C115" s="51">
        <v>2</v>
      </c>
      <c r="D115" s="67">
        <v>5</v>
      </c>
      <c r="E115" s="55">
        <v>5</v>
      </c>
      <c r="F115" s="54"/>
      <c r="G115" s="66">
        <v>3</v>
      </c>
      <c r="H115" s="66">
        <v>5</v>
      </c>
      <c r="I115" s="66">
        <v>3</v>
      </c>
      <c r="J115" s="66">
        <v>3</v>
      </c>
      <c r="K115" s="66">
        <v>3</v>
      </c>
      <c r="L115" s="66">
        <v>5</v>
      </c>
      <c r="M115" s="66">
        <v>5</v>
      </c>
      <c r="N115" s="66">
        <v>4</v>
      </c>
      <c r="O115" s="66">
        <v>5</v>
      </c>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row>
    <row r="116" spans="2:41" s="32" customFormat="1" ht="24.95" customHeight="1">
      <c r="B116" s="51">
        <v>25</v>
      </c>
      <c r="C116" s="51">
        <v>2</v>
      </c>
      <c r="D116" s="67">
        <v>5</v>
      </c>
      <c r="E116" s="55">
        <v>5</v>
      </c>
      <c r="F116" s="54"/>
      <c r="G116" s="66">
        <v>2</v>
      </c>
      <c r="H116" s="66">
        <v>5</v>
      </c>
      <c r="I116" s="66">
        <v>4</v>
      </c>
      <c r="J116" s="66">
        <v>3</v>
      </c>
      <c r="K116" s="66">
        <v>3</v>
      </c>
      <c r="L116" s="66">
        <v>5</v>
      </c>
      <c r="M116" s="66">
        <v>2</v>
      </c>
      <c r="N116" s="66">
        <v>2</v>
      </c>
      <c r="O116" s="66">
        <v>4</v>
      </c>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row>
    <row r="117" spans="2:41" s="32" customFormat="1" ht="24.95" customHeight="1">
      <c r="B117" s="51">
        <v>26</v>
      </c>
      <c r="C117" s="51">
        <v>2</v>
      </c>
      <c r="D117" s="67">
        <v>5</v>
      </c>
      <c r="E117" s="55">
        <v>5</v>
      </c>
      <c r="F117" s="54"/>
      <c r="G117" s="66">
        <v>4</v>
      </c>
      <c r="H117" s="66">
        <v>3</v>
      </c>
      <c r="I117" s="66">
        <v>4</v>
      </c>
      <c r="J117" s="66">
        <v>5</v>
      </c>
      <c r="K117" s="66">
        <v>2</v>
      </c>
      <c r="L117" s="66">
        <v>2</v>
      </c>
      <c r="M117" s="66">
        <v>5</v>
      </c>
      <c r="N117" s="66">
        <v>2</v>
      </c>
      <c r="O117" s="66">
        <v>2</v>
      </c>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row>
    <row r="118" spans="2:41" s="32" customFormat="1" ht="24.95" customHeight="1">
      <c r="B118" s="51">
        <v>27</v>
      </c>
      <c r="C118" s="51">
        <v>2</v>
      </c>
      <c r="D118" s="67">
        <v>5</v>
      </c>
      <c r="E118" s="55">
        <v>3</v>
      </c>
      <c r="F118" s="54"/>
      <c r="G118" s="66">
        <v>2</v>
      </c>
      <c r="H118" s="66">
        <v>3</v>
      </c>
      <c r="I118" s="66">
        <v>2</v>
      </c>
      <c r="J118" s="66">
        <v>2</v>
      </c>
      <c r="K118" s="66">
        <v>3</v>
      </c>
      <c r="L118" s="66">
        <v>2</v>
      </c>
      <c r="M118" s="66">
        <v>3</v>
      </c>
      <c r="N118" s="66">
        <v>3</v>
      </c>
      <c r="O118" s="66">
        <v>3</v>
      </c>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row>
    <row r="119" spans="2:41" s="32" customFormat="1" ht="24.95" customHeight="1">
      <c r="B119" s="51">
        <v>28</v>
      </c>
      <c r="C119" s="51">
        <v>2</v>
      </c>
      <c r="D119" s="67">
        <v>5</v>
      </c>
      <c r="E119" s="55">
        <v>5</v>
      </c>
      <c r="F119" s="54"/>
      <c r="G119" s="66">
        <v>5</v>
      </c>
      <c r="H119" s="66">
        <v>2</v>
      </c>
      <c r="I119" s="66">
        <v>5</v>
      </c>
      <c r="J119" s="66">
        <v>2</v>
      </c>
      <c r="K119" s="66">
        <v>4</v>
      </c>
      <c r="L119" s="66">
        <v>2</v>
      </c>
      <c r="M119" s="66">
        <v>5</v>
      </c>
      <c r="N119" s="66">
        <v>3</v>
      </c>
      <c r="O119" s="66">
        <v>5</v>
      </c>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row>
    <row r="120" spans="2:41" s="32" customFormat="1" ht="24.95" customHeight="1">
      <c r="B120" s="51">
        <v>29</v>
      </c>
      <c r="C120" s="51">
        <v>2</v>
      </c>
      <c r="D120" s="67">
        <v>5</v>
      </c>
      <c r="E120" s="55">
        <v>5</v>
      </c>
      <c r="F120" s="54"/>
      <c r="G120" s="66">
        <v>5</v>
      </c>
      <c r="H120" s="66">
        <v>2</v>
      </c>
      <c r="I120" s="66">
        <v>2</v>
      </c>
      <c r="J120" s="66">
        <v>4</v>
      </c>
      <c r="K120" s="66">
        <v>5</v>
      </c>
      <c r="L120" s="66">
        <v>2</v>
      </c>
      <c r="M120" s="66">
        <v>2</v>
      </c>
      <c r="N120" s="66">
        <v>3</v>
      </c>
      <c r="O120" s="66">
        <v>3</v>
      </c>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row>
    <row r="121" spans="2:41" s="32" customFormat="1" ht="24.95" customHeight="1">
      <c r="B121" s="51">
        <v>30</v>
      </c>
      <c r="C121" s="51">
        <v>2</v>
      </c>
      <c r="D121" s="67">
        <v>5</v>
      </c>
      <c r="E121" s="55">
        <v>5</v>
      </c>
      <c r="F121" s="54"/>
      <c r="G121" s="66">
        <v>2</v>
      </c>
      <c r="H121" s="66">
        <v>5</v>
      </c>
      <c r="I121" s="66">
        <v>5</v>
      </c>
      <c r="J121" s="66">
        <v>2</v>
      </c>
      <c r="K121" s="66">
        <v>3</v>
      </c>
      <c r="L121" s="66">
        <v>5</v>
      </c>
      <c r="M121" s="66">
        <v>3</v>
      </c>
      <c r="N121" s="66">
        <v>3</v>
      </c>
      <c r="O121" s="66">
        <v>4</v>
      </c>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row>
    <row r="122" spans="2:41" s="32" customFormat="1" ht="24.95" customHeight="1">
      <c r="B122" s="51">
        <v>31</v>
      </c>
      <c r="C122" s="51">
        <v>2</v>
      </c>
      <c r="D122" s="67">
        <v>5</v>
      </c>
      <c r="E122" s="55">
        <v>5</v>
      </c>
      <c r="F122" s="54"/>
      <c r="G122" s="66">
        <v>2</v>
      </c>
      <c r="H122" s="66">
        <v>2</v>
      </c>
      <c r="I122" s="66">
        <v>5</v>
      </c>
      <c r="J122" s="66">
        <v>5</v>
      </c>
      <c r="K122" s="66">
        <v>5</v>
      </c>
      <c r="L122" s="66">
        <v>2</v>
      </c>
      <c r="M122" s="66">
        <v>2</v>
      </c>
      <c r="N122" s="66">
        <v>3</v>
      </c>
      <c r="O122" s="66">
        <v>5</v>
      </c>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row>
    <row r="123" spans="2:41" s="32" customFormat="1" ht="24.95" customHeight="1">
      <c r="B123" s="51">
        <v>32</v>
      </c>
      <c r="C123" s="51">
        <v>2</v>
      </c>
      <c r="D123" s="67">
        <v>5</v>
      </c>
      <c r="E123" s="55">
        <v>5</v>
      </c>
      <c r="F123" s="54"/>
      <c r="G123" s="66">
        <v>2</v>
      </c>
      <c r="H123" s="66">
        <v>2</v>
      </c>
      <c r="I123" s="66">
        <v>3</v>
      </c>
      <c r="J123" s="66">
        <v>5</v>
      </c>
      <c r="K123" s="66">
        <v>3</v>
      </c>
      <c r="L123" s="66">
        <v>5</v>
      </c>
      <c r="M123" s="66">
        <v>3</v>
      </c>
      <c r="N123" s="66">
        <v>3</v>
      </c>
      <c r="O123" s="66">
        <v>2</v>
      </c>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row>
    <row r="124" spans="2:41" s="32" customFormat="1" ht="24.95" customHeight="1">
      <c r="B124" s="51">
        <v>33</v>
      </c>
      <c r="C124" s="51">
        <v>2</v>
      </c>
      <c r="D124" s="67">
        <v>5</v>
      </c>
      <c r="E124" s="55">
        <v>5</v>
      </c>
      <c r="F124" s="54"/>
      <c r="G124" s="66">
        <v>5</v>
      </c>
      <c r="H124" s="66">
        <v>4</v>
      </c>
      <c r="I124" s="66">
        <v>3</v>
      </c>
      <c r="J124" s="66">
        <v>3</v>
      </c>
      <c r="K124" s="66">
        <v>5</v>
      </c>
      <c r="L124" s="66">
        <v>5</v>
      </c>
      <c r="M124" s="66">
        <v>5</v>
      </c>
      <c r="N124" s="66">
        <v>5</v>
      </c>
      <c r="O124" s="66">
        <v>3</v>
      </c>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row>
    <row r="125" spans="2:41" s="32" customFormat="1" ht="24.95" customHeight="1">
      <c r="B125" s="51">
        <v>34</v>
      </c>
      <c r="C125" s="51">
        <v>2</v>
      </c>
      <c r="D125" s="67">
        <v>5</v>
      </c>
      <c r="E125" s="55">
        <v>4</v>
      </c>
      <c r="F125" s="54"/>
      <c r="G125" s="66">
        <v>4</v>
      </c>
      <c r="H125" s="66">
        <v>4</v>
      </c>
      <c r="I125" s="66">
        <v>4</v>
      </c>
      <c r="J125" s="66">
        <v>4</v>
      </c>
      <c r="K125" s="66">
        <v>4</v>
      </c>
      <c r="L125" s="66">
        <v>4</v>
      </c>
      <c r="M125" s="66">
        <v>4</v>
      </c>
      <c r="N125" s="66">
        <v>4</v>
      </c>
      <c r="O125" s="66">
        <v>4</v>
      </c>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row>
    <row r="126" spans="2:41" s="32" customFormat="1" ht="24.95" customHeight="1">
      <c r="B126" s="51">
        <v>35</v>
      </c>
      <c r="C126" s="51">
        <v>2</v>
      </c>
      <c r="D126" s="67">
        <v>5</v>
      </c>
      <c r="E126" s="55">
        <v>4</v>
      </c>
      <c r="F126" s="54"/>
      <c r="G126" s="66">
        <v>2</v>
      </c>
      <c r="H126" s="66">
        <v>4</v>
      </c>
      <c r="I126" s="66">
        <v>3</v>
      </c>
      <c r="J126" s="66">
        <v>3</v>
      </c>
      <c r="K126" s="66">
        <v>2</v>
      </c>
      <c r="L126" s="66">
        <v>2</v>
      </c>
      <c r="M126" s="66">
        <v>4</v>
      </c>
      <c r="N126" s="66">
        <v>4</v>
      </c>
      <c r="O126" s="66">
        <v>4</v>
      </c>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row>
    <row r="127" spans="2:41" s="32" customFormat="1" ht="24.95" customHeight="1">
      <c r="B127" s="51">
        <v>36</v>
      </c>
      <c r="C127" s="51">
        <v>2</v>
      </c>
      <c r="D127" s="67">
        <v>5</v>
      </c>
      <c r="E127" s="55">
        <v>5</v>
      </c>
      <c r="F127" s="54"/>
      <c r="G127" s="66">
        <v>5</v>
      </c>
      <c r="H127" s="66">
        <v>2</v>
      </c>
      <c r="I127" s="66">
        <v>5</v>
      </c>
      <c r="J127" s="66">
        <v>4</v>
      </c>
      <c r="K127" s="66">
        <v>3</v>
      </c>
      <c r="L127" s="66">
        <v>2</v>
      </c>
      <c r="M127" s="66">
        <v>5</v>
      </c>
      <c r="N127" s="66">
        <v>5</v>
      </c>
      <c r="O127" s="66">
        <v>4</v>
      </c>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row>
    <row r="128" spans="2:41" s="32" customFormat="1" ht="24.95" customHeight="1">
      <c r="B128" s="51">
        <v>37</v>
      </c>
      <c r="C128" s="51">
        <v>2</v>
      </c>
      <c r="D128" s="67">
        <v>5</v>
      </c>
      <c r="E128" s="55">
        <v>5</v>
      </c>
      <c r="F128" s="54"/>
      <c r="G128" s="66">
        <v>2</v>
      </c>
      <c r="H128" s="66">
        <v>2</v>
      </c>
      <c r="I128" s="66">
        <v>5</v>
      </c>
      <c r="J128" s="66">
        <v>5</v>
      </c>
      <c r="K128" s="66">
        <v>2</v>
      </c>
      <c r="L128" s="66">
        <v>5</v>
      </c>
      <c r="M128" s="66">
        <v>4</v>
      </c>
      <c r="N128" s="66">
        <v>5</v>
      </c>
      <c r="O128" s="66">
        <v>5</v>
      </c>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row>
    <row r="129" spans="2:41" s="32" customFormat="1" ht="24.95" customHeight="1">
      <c r="B129" s="51">
        <v>38</v>
      </c>
      <c r="C129" s="51">
        <v>2</v>
      </c>
      <c r="D129" s="67">
        <v>5</v>
      </c>
      <c r="E129" s="55">
        <v>5</v>
      </c>
      <c r="F129" s="54"/>
      <c r="G129" s="66">
        <v>3</v>
      </c>
      <c r="H129" s="66">
        <v>2</v>
      </c>
      <c r="I129" s="66">
        <v>2</v>
      </c>
      <c r="J129" s="66">
        <v>3</v>
      </c>
      <c r="K129" s="66">
        <v>2</v>
      </c>
      <c r="L129" s="66">
        <v>5</v>
      </c>
      <c r="M129" s="66">
        <v>5</v>
      </c>
      <c r="N129" s="66">
        <v>4</v>
      </c>
      <c r="O129" s="66">
        <v>3</v>
      </c>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row>
    <row r="130" spans="2:41" s="32" customFormat="1" ht="24.95" customHeight="1">
      <c r="B130" s="51">
        <v>39</v>
      </c>
      <c r="C130" s="51">
        <v>2</v>
      </c>
      <c r="D130" s="67">
        <v>5</v>
      </c>
      <c r="E130" s="55">
        <v>4</v>
      </c>
      <c r="F130" s="54"/>
      <c r="G130" s="66">
        <v>3</v>
      </c>
      <c r="H130" s="66">
        <v>4</v>
      </c>
      <c r="I130" s="66">
        <v>2</v>
      </c>
      <c r="J130" s="66">
        <v>3</v>
      </c>
      <c r="K130" s="66">
        <v>3</v>
      </c>
      <c r="L130" s="66">
        <v>3</v>
      </c>
      <c r="M130" s="66">
        <v>2</v>
      </c>
      <c r="N130" s="66">
        <v>4</v>
      </c>
      <c r="O130" s="66">
        <v>4</v>
      </c>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row>
    <row r="131" spans="2:41" s="32" customFormat="1" ht="24.95" customHeight="1">
      <c r="B131" s="51">
        <v>40</v>
      </c>
      <c r="C131" s="51">
        <v>2</v>
      </c>
      <c r="D131" s="67">
        <v>5</v>
      </c>
      <c r="E131" s="55">
        <v>5</v>
      </c>
      <c r="F131" s="54"/>
      <c r="G131" s="66">
        <v>5</v>
      </c>
      <c r="H131" s="66">
        <v>4</v>
      </c>
      <c r="I131" s="66">
        <v>2</v>
      </c>
      <c r="J131" s="66">
        <v>2</v>
      </c>
      <c r="K131" s="66">
        <v>4</v>
      </c>
      <c r="L131" s="66">
        <v>4</v>
      </c>
      <c r="M131" s="66">
        <v>3</v>
      </c>
      <c r="N131" s="66">
        <v>4</v>
      </c>
      <c r="O131" s="66">
        <v>3</v>
      </c>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row>
    <row r="132" spans="2:41" s="32" customFormat="1" ht="15" customHeight="1" thickBot="1">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row>
    <row r="133" spans="2:41" s="32" customFormat="1" ht="22.5" customHeight="1" thickBot="1">
      <c r="B133" s="57" t="s">
        <v>38</v>
      </c>
      <c r="C133" s="70" t="s">
        <v>39</v>
      </c>
      <c r="D133" s="59"/>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row>
    <row r="134" spans="2:41" s="16" customFormat="1" ht="15" customHeight="1">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row>
    <row r="135" spans="2:41" s="16" customFormat="1" ht="15" customHeight="1">
      <c r="B135" s="60" t="s">
        <v>103</v>
      </c>
      <c r="C135" s="61"/>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row>
    <row r="136" spans="2:41" s="16" customFormat="1" ht="15" customHeight="1">
      <c r="B136" s="60"/>
      <c r="C136" s="61"/>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row>
    <row r="137" spans="2:41" s="16" customFormat="1" ht="15" customHeight="1">
      <c r="B137" s="60" t="s">
        <v>112</v>
      </c>
      <c r="C137" s="61"/>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row>
    <row r="138" spans="2:41" s="16" customFormat="1" ht="15" customHeight="1">
      <c r="C138" s="61"/>
      <c r="D138" s="50"/>
      <c r="E138" s="50"/>
      <c r="F138" s="50"/>
      <c r="G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row>
    <row r="139" spans="2:41" s="16" customFormat="1" ht="15" customHeight="1">
      <c r="B139" s="63" t="s">
        <v>34</v>
      </c>
      <c r="C139" s="61"/>
      <c r="D139" s="50"/>
      <c r="E139" s="50"/>
      <c r="F139" s="50"/>
      <c r="G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row>
    <row r="140" spans="2:41" s="16" customFormat="1" ht="15" customHeight="1">
      <c r="B140" s="61" t="s">
        <v>40</v>
      </c>
      <c r="D140" s="50"/>
      <c r="E140" s="50"/>
      <c r="F140" s="50"/>
      <c r="G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row>
    <row r="141" spans="2:41" s="16" customFormat="1" ht="15" customHeight="1">
      <c r="B141" s="61" t="s">
        <v>107</v>
      </c>
      <c r="D141" s="50"/>
      <c r="E141" s="50"/>
      <c r="F141" s="50"/>
      <c r="G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row>
    <row r="142" spans="2:41" s="16" customFormat="1" ht="15" customHeight="1" thickBot="1">
      <c r="B142" s="61" t="s">
        <v>41</v>
      </c>
      <c r="D142" s="50"/>
      <c r="E142" s="50"/>
      <c r="F142" s="50"/>
      <c r="G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row>
    <row r="143" spans="2:41" s="50" customFormat="1" ht="22.5" customHeight="1" thickBot="1">
      <c r="B143" s="16"/>
      <c r="C143" s="16"/>
      <c r="D143" s="16"/>
      <c r="E143" s="16"/>
      <c r="F143" s="16"/>
      <c r="G143" s="110" t="s">
        <v>90</v>
      </c>
      <c r="H143" s="111"/>
      <c r="I143" s="111"/>
      <c r="J143" s="111"/>
      <c r="K143" s="111"/>
      <c r="L143" s="111"/>
      <c r="M143" s="111"/>
      <c r="N143" s="111"/>
      <c r="O143" s="112"/>
    </row>
    <row r="144" spans="2:41" s="50" customFormat="1" ht="22.5" customHeight="1" thickBot="1">
      <c r="B144" s="47" t="s">
        <v>8</v>
      </c>
      <c r="C144" s="48" t="s">
        <v>9</v>
      </c>
      <c r="D144" s="47" t="s">
        <v>10</v>
      </c>
      <c r="E144" s="64" t="s">
        <v>11</v>
      </c>
      <c r="F144" s="16"/>
      <c r="G144" s="47" t="s">
        <v>12</v>
      </c>
      <c r="H144" s="47" t="s">
        <v>13</v>
      </c>
      <c r="I144" s="47" t="s">
        <v>14</v>
      </c>
      <c r="J144" s="47" t="s">
        <v>15</v>
      </c>
      <c r="K144" s="47" t="s">
        <v>16</v>
      </c>
      <c r="L144" s="47" t="s">
        <v>17</v>
      </c>
      <c r="M144" s="47" t="s">
        <v>18</v>
      </c>
      <c r="N144" s="47" t="s">
        <v>19</v>
      </c>
      <c r="O144" s="47" t="s">
        <v>20</v>
      </c>
    </row>
    <row r="145" spans="2:41" s="32" customFormat="1" ht="15" customHeight="1">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row>
    <row r="146" spans="2:41" s="32" customFormat="1" ht="24.95" customHeight="1">
      <c r="B146" s="65" t="s">
        <v>42</v>
      </c>
      <c r="C146" s="51">
        <v>3</v>
      </c>
      <c r="D146" s="52">
        <v>0</v>
      </c>
      <c r="E146" s="55">
        <v>9</v>
      </c>
      <c r="F146" s="54"/>
      <c r="G146" s="66">
        <v>3</v>
      </c>
      <c r="H146" s="66">
        <v>5</v>
      </c>
      <c r="I146" s="66">
        <v>3</v>
      </c>
      <c r="J146" s="66">
        <v>4</v>
      </c>
      <c r="K146" s="66">
        <v>3</v>
      </c>
      <c r="L146" s="66">
        <v>3</v>
      </c>
      <c r="M146" s="66">
        <v>2</v>
      </c>
      <c r="N146" s="66">
        <v>3</v>
      </c>
      <c r="O146" s="66">
        <v>3</v>
      </c>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row>
    <row r="147" spans="2:41" s="32" customFormat="1" ht="15" customHeight="1">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row>
    <row r="148" spans="2:41" s="32" customFormat="1" ht="24.95" customHeight="1">
      <c r="B148" s="51">
        <v>41</v>
      </c>
      <c r="C148" s="51">
        <v>3</v>
      </c>
      <c r="D148" s="67">
        <v>6</v>
      </c>
      <c r="E148" s="55">
        <v>8</v>
      </c>
      <c r="F148" s="54"/>
      <c r="G148" s="68">
        <v>5</v>
      </c>
      <c r="H148" s="68">
        <v>3</v>
      </c>
      <c r="I148" s="68">
        <v>3</v>
      </c>
      <c r="J148" s="68">
        <v>3</v>
      </c>
      <c r="K148" s="68">
        <v>3</v>
      </c>
      <c r="L148" s="68">
        <v>3</v>
      </c>
      <c r="M148" s="68">
        <v>2</v>
      </c>
      <c r="N148" s="68">
        <v>2</v>
      </c>
      <c r="O148" s="68">
        <v>2</v>
      </c>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row>
    <row r="149" spans="2:41" s="32" customFormat="1" ht="24.95" customHeight="1">
      <c r="B149" s="51">
        <v>42</v>
      </c>
      <c r="C149" s="51">
        <v>3</v>
      </c>
      <c r="D149" s="67">
        <v>6</v>
      </c>
      <c r="E149" s="55">
        <v>10</v>
      </c>
      <c r="F149" s="54"/>
      <c r="G149" s="66">
        <v>5</v>
      </c>
      <c r="H149" s="66">
        <v>5</v>
      </c>
      <c r="I149" s="66">
        <v>3</v>
      </c>
      <c r="J149" s="66">
        <v>5</v>
      </c>
      <c r="K149" s="66">
        <v>3</v>
      </c>
      <c r="L149" s="66">
        <v>4</v>
      </c>
      <c r="M149" s="66">
        <v>3</v>
      </c>
      <c r="N149" s="66">
        <v>5</v>
      </c>
      <c r="O149" s="66">
        <v>3</v>
      </c>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row>
    <row r="150" spans="2:41" s="32" customFormat="1" ht="24.95" customHeight="1">
      <c r="B150" s="51">
        <v>43</v>
      </c>
      <c r="C150" s="51">
        <v>3</v>
      </c>
      <c r="D150" s="67">
        <v>6</v>
      </c>
      <c r="E150" s="55">
        <v>9</v>
      </c>
      <c r="F150" s="54"/>
      <c r="G150" s="66">
        <v>3</v>
      </c>
      <c r="H150" s="66">
        <v>2</v>
      </c>
      <c r="I150" s="66">
        <v>3</v>
      </c>
      <c r="J150" s="66">
        <v>4</v>
      </c>
      <c r="K150" s="66">
        <v>3</v>
      </c>
      <c r="L150" s="66">
        <v>2</v>
      </c>
      <c r="M150" s="66">
        <v>5</v>
      </c>
      <c r="N150" s="66">
        <v>2</v>
      </c>
      <c r="O150" s="66">
        <v>3</v>
      </c>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row>
    <row r="151" spans="2:41" s="32" customFormat="1" ht="24.95" customHeight="1">
      <c r="B151" s="51">
        <v>44</v>
      </c>
      <c r="C151" s="51">
        <v>3</v>
      </c>
      <c r="D151" s="67">
        <v>6</v>
      </c>
      <c r="E151" s="55">
        <v>10</v>
      </c>
      <c r="F151" s="54"/>
      <c r="G151" s="66">
        <v>5</v>
      </c>
      <c r="H151" s="66">
        <v>4</v>
      </c>
      <c r="I151" s="66">
        <v>2</v>
      </c>
      <c r="J151" s="66">
        <v>2</v>
      </c>
      <c r="K151" s="66">
        <v>2</v>
      </c>
      <c r="L151" s="66">
        <v>2</v>
      </c>
      <c r="M151" s="66">
        <v>2</v>
      </c>
      <c r="N151" s="66">
        <v>5</v>
      </c>
      <c r="O151" s="66">
        <v>3</v>
      </c>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row>
    <row r="152" spans="2:41" s="32" customFormat="1" ht="24.95" customHeight="1">
      <c r="B152" s="51">
        <v>45</v>
      </c>
      <c r="C152" s="51">
        <v>3</v>
      </c>
      <c r="D152" s="67">
        <v>6</v>
      </c>
      <c r="E152" s="55">
        <v>10</v>
      </c>
      <c r="F152" s="54"/>
      <c r="G152" s="66">
        <v>5</v>
      </c>
      <c r="H152" s="66">
        <v>5</v>
      </c>
      <c r="I152" s="66">
        <v>5</v>
      </c>
      <c r="J152" s="66">
        <v>4</v>
      </c>
      <c r="K152" s="66">
        <v>5</v>
      </c>
      <c r="L152" s="66">
        <v>3</v>
      </c>
      <c r="M152" s="66">
        <v>4</v>
      </c>
      <c r="N152" s="66">
        <v>3</v>
      </c>
      <c r="O152" s="66">
        <v>4</v>
      </c>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row>
    <row r="153" spans="2:41" s="32" customFormat="1" ht="24.95" customHeight="1">
      <c r="B153" s="51">
        <v>46</v>
      </c>
      <c r="C153" s="51">
        <v>3</v>
      </c>
      <c r="D153" s="67">
        <v>6</v>
      </c>
      <c r="E153" s="55">
        <v>10</v>
      </c>
      <c r="F153" s="54"/>
      <c r="G153" s="66">
        <v>5</v>
      </c>
      <c r="H153" s="66">
        <v>4</v>
      </c>
      <c r="I153" s="66">
        <v>3</v>
      </c>
      <c r="J153" s="66">
        <v>5</v>
      </c>
      <c r="K153" s="66">
        <v>2</v>
      </c>
      <c r="L153" s="66">
        <v>2</v>
      </c>
      <c r="M153" s="66">
        <v>4</v>
      </c>
      <c r="N153" s="66">
        <v>3</v>
      </c>
      <c r="O153" s="66">
        <v>5</v>
      </c>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row>
    <row r="154" spans="2:41" s="32" customFormat="1" ht="24.95" customHeight="1">
      <c r="B154" s="51">
        <v>47</v>
      </c>
      <c r="C154" s="51">
        <v>3</v>
      </c>
      <c r="D154" s="67">
        <v>6</v>
      </c>
      <c r="E154" s="55">
        <v>10</v>
      </c>
      <c r="F154" s="54"/>
      <c r="G154" s="66">
        <v>5</v>
      </c>
      <c r="H154" s="66">
        <v>3</v>
      </c>
      <c r="I154" s="66">
        <v>3</v>
      </c>
      <c r="J154" s="66">
        <v>3</v>
      </c>
      <c r="K154" s="66">
        <v>3</v>
      </c>
      <c r="L154" s="66">
        <v>5</v>
      </c>
      <c r="M154" s="66">
        <v>5</v>
      </c>
      <c r="N154" s="66">
        <v>4</v>
      </c>
      <c r="O154" s="66">
        <v>5</v>
      </c>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row>
    <row r="155" spans="2:41" s="32" customFormat="1" ht="24.95" customHeight="1">
      <c r="B155" s="51">
        <v>48</v>
      </c>
      <c r="C155" s="51">
        <v>3</v>
      </c>
      <c r="D155" s="67">
        <v>6</v>
      </c>
      <c r="E155" s="55">
        <v>10</v>
      </c>
      <c r="F155" s="54"/>
      <c r="G155" s="66">
        <v>2</v>
      </c>
      <c r="H155" s="66">
        <v>2</v>
      </c>
      <c r="I155" s="66">
        <v>2</v>
      </c>
      <c r="J155" s="66">
        <v>5</v>
      </c>
      <c r="K155" s="66">
        <v>5</v>
      </c>
      <c r="L155" s="66">
        <v>2</v>
      </c>
      <c r="M155" s="66">
        <v>2</v>
      </c>
      <c r="N155" s="66">
        <v>5</v>
      </c>
      <c r="O155" s="66">
        <v>2</v>
      </c>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row>
    <row r="156" spans="2:41" s="32" customFormat="1" ht="24.95" customHeight="1">
      <c r="B156" s="51">
        <v>49</v>
      </c>
      <c r="C156" s="51">
        <v>3</v>
      </c>
      <c r="D156" s="67">
        <v>6</v>
      </c>
      <c r="E156" s="55">
        <v>10</v>
      </c>
      <c r="F156" s="54"/>
      <c r="G156" s="66">
        <v>3</v>
      </c>
      <c r="H156" s="66">
        <v>5</v>
      </c>
      <c r="I156" s="66">
        <v>3</v>
      </c>
      <c r="J156" s="66">
        <v>5</v>
      </c>
      <c r="K156" s="66">
        <v>4</v>
      </c>
      <c r="L156" s="66">
        <v>3</v>
      </c>
      <c r="M156" s="66">
        <v>3</v>
      </c>
      <c r="N156" s="66">
        <v>2</v>
      </c>
      <c r="O156" s="66">
        <v>4</v>
      </c>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row>
    <row r="157" spans="2:41" s="32" customFormat="1" ht="24.95" customHeight="1">
      <c r="B157" s="51">
        <v>50</v>
      </c>
      <c r="C157" s="51">
        <v>3</v>
      </c>
      <c r="D157" s="67">
        <v>6</v>
      </c>
      <c r="E157" s="55">
        <v>9</v>
      </c>
      <c r="F157" s="54"/>
      <c r="G157" s="66">
        <v>4</v>
      </c>
      <c r="H157" s="66">
        <v>2</v>
      </c>
      <c r="I157" s="66">
        <v>3</v>
      </c>
      <c r="J157" s="66">
        <v>4</v>
      </c>
      <c r="K157" s="66">
        <v>5</v>
      </c>
      <c r="L157" s="66">
        <v>2</v>
      </c>
      <c r="M157" s="66">
        <v>2</v>
      </c>
      <c r="N157" s="66">
        <v>4</v>
      </c>
      <c r="O157" s="66">
        <v>4</v>
      </c>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row>
    <row r="158" spans="2:41" s="32" customFormat="1" ht="24.95" customHeight="1">
      <c r="B158" s="51">
        <v>51</v>
      </c>
      <c r="C158" s="51">
        <v>3</v>
      </c>
      <c r="D158" s="67">
        <v>6</v>
      </c>
      <c r="E158" s="55">
        <v>10</v>
      </c>
      <c r="F158" s="54"/>
      <c r="G158" s="66">
        <v>2</v>
      </c>
      <c r="H158" s="66">
        <v>3</v>
      </c>
      <c r="I158" s="66">
        <v>3</v>
      </c>
      <c r="J158" s="66">
        <v>5</v>
      </c>
      <c r="K158" s="66">
        <v>4</v>
      </c>
      <c r="L158" s="66">
        <v>5</v>
      </c>
      <c r="M158" s="66">
        <v>3</v>
      </c>
      <c r="N158" s="66">
        <v>3</v>
      </c>
      <c r="O158" s="66">
        <v>2</v>
      </c>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row>
    <row r="159" spans="2:41" s="32" customFormat="1" ht="24.95" customHeight="1">
      <c r="B159" s="51">
        <v>52</v>
      </c>
      <c r="C159" s="51">
        <v>3</v>
      </c>
      <c r="D159" s="67">
        <v>6</v>
      </c>
      <c r="E159" s="55">
        <v>9</v>
      </c>
      <c r="F159" s="54"/>
      <c r="G159" s="66">
        <v>2</v>
      </c>
      <c r="H159" s="66">
        <v>2</v>
      </c>
      <c r="I159" s="66">
        <v>5</v>
      </c>
      <c r="J159" s="66">
        <v>3</v>
      </c>
      <c r="K159" s="66">
        <v>4</v>
      </c>
      <c r="L159" s="66">
        <v>4</v>
      </c>
      <c r="M159" s="66">
        <v>2</v>
      </c>
      <c r="N159" s="66">
        <v>2</v>
      </c>
      <c r="O159" s="66">
        <v>2</v>
      </c>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row>
    <row r="160" spans="2:41" s="32" customFormat="1" ht="24.95" customHeight="1">
      <c r="B160" s="51">
        <v>53</v>
      </c>
      <c r="C160" s="51">
        <v>3</v>
      </c>
      <c r="D160" s="67">
        <v>6</v>
      </c>
      <c r="E160" s="55">
        <v>10</v>
      </c>
      <c r="F160" s="54"/>
      <c r="G160" s="66">
        <v>5</v>
      </c>
      <c r="H160" s="66">
        <v>5</v>
      </c>
      <c r="I160" s="66">
        <v>5</v>
      </c>
      <c r="J160" s="66">
        <v>5</v>
      </c>
      <c r="K160" s="66">
        <v>4</v>
      </c>
      <c r="L160" s="66">
        <v>5</v>
      </c>
      <c r="M160" s="66">
        <v>4</v>
      </c>
      <c r="N160" s="66">
        <v>5</v>
      </c>
      <c r="O160" s="66">
        <v>5</v>
      </c>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row>
    <row r="161" spans="2:41" s="32" customFormat="1" ht="24.95" customHeight="1">
      <c r="B161" s="51">
        <v>54</v>
      </c>
      <c r="C161" s="51">
        <v>3</v>
      </c>
      <c r="D161" s="67">
        <v>6</v>
      </c>
      <c r="E161" s="55">
        <v>10</v>
      </c>
      <c r="F161" s="54"/>
      <c r="G161" s="66">
        <v>5</v>
      </c>
      <c r="H161" s="66">
        <v>5</v>
      </c>
      <c r="I161" s="66">
        <v>3</v>
      </c>
      <c r="J161" s="66">
        <v>3</v>
      </c>
      <c r="K161" s="66">
        <v>4</v>
      </c>
      <c r="L161" s="66">
        <v>2</v>
      </c>
      <c r="M161" s="66">
        <v>5</v>
      </c>
      <c r="N161" s="66">
        <v>4</v>
      </c>
      <c r="O161" s="66">
        <v>3</v>
      </c>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row>
    <row r="162" spans="2:41" s="32" customFormat="1" ht="24.95" customHeight="1">
      <c r="B162" s="51">
        <v>55</v>
      </c>
      <c r="C162" s="51">
        <v>3</v>
      </c>
      <c r="D162" s="67">
        <v>6</v>
      </c>
      <c r="E162" s="55">
        <v>10</v>
      </c>
      <c r="F162" s="54"/>
      <c r="G162" s="66">
        <v>3</v>
      </c>
      <c r="H162" s="66">
        <v>4</v>
      </c>
      <c r="I162" s="66">
        <v>4</v>
      </c>
      <c r="J162" s="66">
        <v>5</v>
      </c>
      <c r="K162" s="66">
        <v>2</v>
      </c>
      <c r="L162" s="66">
        <v>5</v>
      </c>
      <c r="M162" s="66">
        <v>4</v>
      </c>
      <c r="N162" s="66">
        <v>2</v>
      </c>
      <c r="O162" s="66">
        <v>4</v>
      </c>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row>
    <row r="163" spans="2:41" s="32" customFormat="1" ht="24.95" customHeight="1">
      <c r="B163" s="51">
        <v>56</v>
      </c>
      <c r="C163" s="51">
        <v>3</v>
      </c>
      <c r="D163" s="67">
        <v>6</v>
      </c>
      <c r="E163" s="55">
        <v>10</v>
      </c>
      <c r="F163" s="54"/>
      <c r="G163" s="66">
        <v>2</v>
      </c>
      <c r="H163" s="66">
        <v>3</v>
      </c>
      <c r="I163" s="66">
        <v>4</v>
      </c>
      <c r="J163" s="66">
        <v>2</v>
      </c>
      <c r="K163" s="66">
        <v>5</v>
      </c>
      <c r="L163" s="66">
        <v>4</v>
      </c>
      <c r="M163" s="66">
        <v>5</v>
      </c>
      <c r="N163" s="66">
        <v>2</v>
      </c>
      <c r="O163" s="66">
        <v>5</v>
      </c>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row>
    <row r="164" spans="2:41" s="32" customFormat="1" ht="24.95" customHeight="1">
      <c r="B164" s="51">
        <v>57</v>
      </c>
      <c r="C164" s="51">
        <v>3</v>
      </c>
      <c r="D164" s="67">
        <v>6</v>
      </c>
      <c r="E164" s="55">
        <v>10</v>
      </c>
      <c r="F164" s="54"/>
      <c r="G164" s="66">
        <v>5</v>
      </c>
      <c r="H164" s="66">
        <v>4</v>
      </c>
      <c r="I164" s="66">
        <v>2</v>
      </c>
      <c r="J164" s="66">
        <v>5</v>
      </c>
      <c r="K164" s="66">
        <v>3</v>
      </c>
      <c r="L164" s="66">
        <v>4</v>
      </c>
      <c r="M164" s="66">
        <v>5</v>
      </c>
      <c r="N164" s="66">
        <v>3</v>
      </c>
      <c r="O164" s="66">
        <v>2</v>
      </c>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row>
    <row r="165" spans="2:41" s="32" customFormat="1" ht="24.95" customHeight="1">
      <c r="B165" s="51">
        <v>58</v>
      </c>
      <c r="C165" s="51">
        <v>3</v>
      </c>
      <c r="D165" s="67">
        <v>6</v>
      </c>
      <c r="E165" s="55">
        <v>10</v>
      </c>
      <c r="F165" s="54"/>
      <c r="G165" s="66">
        <v>4</v>
      </c>
      <c r="H165" s="66">
        <v>2</v>
      </c>
      <c r="I165" s="66">
        <v>5</v>
      </c>
      <c r="J165" s="66">
        <v>2</v>
      </c>
      <c r="K165" s="66">
        <v>5</v>
      </c>
      <c r="L165" s="66">
        <v>2</v>
      </c>
      <c r="M165" s="66">
        <v>4</v>
      </c>
      <c r="N165" s="66">
        <v>5</v>
      </c>
      <c r="O165" s="66">
        <v>2</v>
      </c>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row>
    <row r="166" spans="2:41" s="32" customFormat="1" ht="24.95" customHeight="1">
      <c r="B166" s="51">
        <v>59</v>
      </c>
      <c r="C166" s="51">
        <v>3</v>
      </c>
      <c r="D166" s="67">
        <v>6</v>
      </c>
      <c r="E166" s="55">
        <v>9</v>
      </c>
      <c r="F166" s="54"/>
      <c r="G166" s="66">
        <v>3</v>
      </c>
      <c r="H166" s="66">
        <v>2</v>
      </c>
      <c r="I166" s="66">
        <v>3</v>
      </c>
      <c r="J166" s="66">
        <v>3</v>
      </c>
      <c r="K166" s="66">
        <v>4</v>
      </c>
      <c r="L166" s="66">
        <v>2</v>
      </c>
      <c r="M166" s="66">
        <v>3</v>
      </c>
      <c r="N166" s="66">
        <v>2</v>
      </c>
      <c r="O166" s="66">
        <v>5</v>
      </c>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row>
    <row r="167" spans="2:41" s="32" customFormat="1" ht="24.95" customHeight="1">
      <c r="B167" s="51">
        <v>60</v>
      </c>
      <c r="C167" s="51">
        <v>3</v>
      </c>
      <c r="D167" s="67">
        <v>6</v>
      </c>
      <c r="E167" s="55">
        <v>10</v>
      </c>
      <c r="F167" s="54"/>
      <c r="G167" s="66">
        <v>5</v>
      </c>
      <c r="H167" s="66">
        <v>4</v>
      </c>
      <c r="I167" s="66">
        <v>5</v>
      </c>
      <c r="J167" s="66">
        <v>2</v>
      </c>
      <c r="K167" s="66">
        <v>2</v>
      </c>
      <c r="L167" s="66">
        <v>5</v>
      </c>
      <c r="M167" s="66">
        <v>2</v>
      </c>
      <c r="N167" s="66">
        <v>3</v>
      </c>
      <c r="O167" s="66">
        <v>5</v>
      </c>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row>
    <row r="168" spans="2:41" s="32" customFormat="1" ht="15" customHeight="1" thickBot="1">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row>
    <row r="169" spans="2:41" s="32" customFormat="1" ht="22.5" customHeight="1" thickBot="1">
      <c r="B169" s="57" t="s">
        <v>43</v>
      </c>
      <c r="C169" s="73" t="s">
        <v>46</v>
      </c>
      <c r="D169" s="59"/>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row>
    <row r="170" spans="2:41" s="16" customFormat="1" ht="15" customHeight="1">
      <c r="I170" s="32"/>
      <c r="J170" s="32"/>
      <c r="K170" s="33"/>
      <c r="L170" s="33"/>
      <c r="M170" s="33"/>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row>
    <row r="171" spans="2:41" s="16" customFormat="1" ht="15" customHeight="1">
      <c r="B171" s="60" t="s">
        <v>129</v>
      </c>
      <c r="C171" s="71"/>
      <c r="I171" s="32"/>
      <c r="J171" s="32"/>
      <c r="K171" s="33"/>
      <c r="L171" s="33"/>
      <c r="M171" s="33"/>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row>
    <row r="172" spans="2:41" s="16" customFormat="1" ht="15" customHeight="1">
      <c r="B172" s="115" t="s">
        <v>147</v>
      </c>
      <c r="C172" s="71"/>
      <c r="I172" s="32"/>
      <c r="J172" s="32"/>
      <c r="K172" s="33"/>
      <c r="L172" s="33"/>
      <c r="M172" s="33"/>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row>
    <row r="173" spans="2:41" s="16" customFormat="1" ht="15" customHeight="1">
      <c r="B173" s="61"/>
      <c r="C173" s="71"/>
      <c r="I173" s="32"/>
      <c r="J173" s="32"/>
      <c r="K173" s="33"/>
      <c r="L173" s="33"/>
      <c r="M173" s="33"/>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row>
    <row r="174" spans="2:41" s="16" customFormat="1" ht="15" customHeight="1">
      <c r="B174" s="60" t="s">
        <v>111</v>
      </c>
      <c r="C174" s="71"/>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row>
    <row r="175" spans="2:41" s="16" customFormat="1" ht="15" customHeight="1">
      <c r="B175" s="60"/>
      <c r="C175" s="71"/>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row>
    <row r="176" spans="2:41" s="16" customFormat="1" ht="15" customHeight="1">
      <c r="B176" s="63" t="s">
        <v>34</v>
      </c>
      <c r="C176" s="71"/>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row>
    <row r="177" spans="2:41" s="16" customFormat="1" ht="15" customHeight="1">
      <c r="B177" s="61" t="s">
        <v>108</v>
      </c>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row>
    <row r="178" spans="2:41" s="16" customFormat="1" ht="15" customHeight="1">
      <c r="B178" s="61" t="s">
        <v>109</v>
      </c>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row>
    <row r="179" spans="2:41" s="16" customFormat="1" ht="15" customHeight="1" thickBot="1">
      <c r="B179" s="61" t="s">
        <v>110</v>
      </c>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row>
    <row r="180" spans="2:41" s="50" customFormat="1" ht="22.5" customHeight="1" thickBot="1">
      <c r="B180" s="16"/>
      <c r="C180" s="16"/>
      <c r="D180" s="16"/>
      <c r="E180" s="16"/>
      <c r="F180" s="16"/>
      <c r="G180" s="110" t="s">
        <v>90</v>
      </c>
      <c r="H180" s="111"/>
      <c r="I180" s="111"/>
      <c r="J180" s="111"/>
      <c r="K180" s="111"/>
      <c r="L180" s="111"/>
      <c r="M180" s="111"/>
      <c r="N180" s="111"/>
      <c r="O180" s="112"/>
    </row>
    <row r="181" spans="2:41" s="50" customFormat="1" ht="22.5" customHeight="1" thickBot="1">
      <c r="B181" s="47" t="s">
        <v>8</v>
      </c>
      <c r="C181" s="48" t="s">
        <v>9</v>
      </c>
      <c r="D181" s="47" t="s">
        <v>10</v>
      </c>
      <c r="E181" s="64" t="s">
        <v>11</v>
      </c>
      <c r="F181" s="16"/>
      <c r="G181" s="47" t="s">
        <v>12</v>
      </c>
      <c r="H181" s="47" t="s">
        <v>13</v>
      </c>
      <c r="I181" s="47" t="s">
        <v>14</v>
      </c>
      <c r="J181" s="47" t="s">
        <v>15</v>
      </c>
      <c r="K181" s="47" t="s">
        <v>16</v>
      </c>
      <c r="L181" s="47" t="s">
        <v>17</v>
      </c>
      <c r="M181" s="47" t="s">
        <v>18</v>
      </c>
      <c r="N181" s="47" t="s">
        <v>19</v>
      </c>
      <c r="O181" s="47" t="s">
        <v>20</v>
      </c>
      <c r="Q181" s="47" t="s">
        <v>56</v>
      </c>
    </row>
    <row r="182" spans="2:41">
      <c r="J182" s="33"/>
      <c r="Q182" s="69"/>
    </row>
    <row r="183" spans="2:41" s="32" customFormat="1" ht="24.95" customHeight="1">
      <c r="B183" s="65" t="s">
        <v>44</v>
      </c>
      <c r="C183" s="51">
        <v>4</v>
      </c>
      <c r="D183" s="52">
        <v>0</v>
      </c>
      <c r="E183" s="55">
        <v>15</v>
      </c>
      <c r="F183" s="54"/>
      <c r="G183" s="66">
        <v>3</v>
      </c>
      <c r="H183" s="66">
        <v>5</v>
      </c>
      <c r="I183" s="66">
        <v>3</v>
      </c>
      <c r="J183" s="66">
        <v>4</v>
      </c>
      <c r="K183" s="66">
        <v>3</v>
      </c>
      <c r="L183" s="66">
        <v>3</v>
      </c>
      <c r="M183" s="66">
        <v>2</v>
      </c>
      <c r="N183" s="66">
        <v>3</v>
      </c>
      <c r="O183" s="66">
        <v>3</v>
      </c>
      <c r="P183" s="33"/>
      <c r="Q183" s="68">
        <v>4</v>
      </c>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row>
    <row r="184" spans="2:41" s="32" customFormat="1" ht="15" customHeight="1">
      <c r="P184" s="33"/>
      <c r="Q184" s="72"/>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row>
    <row r="185" spans="2:41" s="32" customFormat="1" ht="24.95" customHeight="1">
      <c r="B185" s="51">
        <v>61</v>
      </c>
      <c r="C185" s="51">
        <v>4</v>
      </c>
      <c r="D185" s="67">
        <v>7</v>
      </c>
      <c r="E185" s="55">
        <v>25</v>
      </c>
      <c r="F185" s="54"/>
      <c r="G185" s="68">
        <v>2</v>
      </c>
      <c r="H185" s="68">
        <v>3</v>
      </c>
      <c r="I185" s="68">
        <v>4</v>
      </c>
      <c r="J185" s="68">
        <v>4</v>
      </c>
      <c r="K185" s="68">
        <v>4</v>
      </c>
      <c r="L185" s="68">
        <v>3</v>
      </c>
      <c r="M185" s="68">
        <v>5</v>
      </c>
      <c r="N185" s="68">
        <v>3</v>
      </c>
      <c r="O185" s="68">
        <v>5</v>
      </c>
      <c r="P185" s="33"/>
      <c r="Q185" s="68">
        <v>6</v>
      </c>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row>
    <row r="186" spans="2:41" s="32" customFormat="1" ht="24.95" customHeight="1">
      <c r="B186" s="51">
        <v>62</v>
      </c>
      <c r="C186" s="51">
        <v>4</v>
      </c>
      <c r="D186" s="67">
        <v>7</v>
      </c>
      <c r="E186" s="55">
        <v>30</v>
      </c>
      <c r="F186" s="54"/>
      <c r="G186" s="66">
        <v>5</v>
      </c>
      <c r="H186" s="66">
        <v>5</v>
      </c>
      <c r="I186" s="66">
        <v>2</v>
      </c>
      <c r="J186" s="66">
        <v>3</v>
      </c>
      <c r="K186" s="66">
        <v>2</v>
      </c>
      <c r="L186" s="66">
        <v>5</v>
      </c>
      <c r="M186" s="66">
        <v>4</v>
      </c>
      <c r="N186" s="66">
        <v>4</v>
      </c>
      <c r="O186" s="66">
        <v>4</v>
      </c>
      <c r="P186" s="33"/>
      <c r="Q186" s="68">
        <v>7</v>
      </c>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row>
    <row r="187" spans="2:41" s="32" customFormat="1" ht="24.95" customHeight="1">
      <c r="B187" s="51">
        <v>63</v>
      </c>
      <c r="C187" s="51">
        <v>4</v>
      </c>
      <c r="D187" s="67">
        <v>7</v>
      </c>
      <c r="E187" s="55">
        <v>12</v>
      </c>
      <c r="F187" s="54"/>
      <c r="G187" s="66">
        <v>2</v>
      </c>
      <c r="H187" s="66">
        <v>2</v>
      </c>
      <c r="I187" s="66">
        <v>2</v>
      </c>
      <c r="J187" s="66">
        <v>3</v>
      </c>
      <c r="K187" s="66">
        <v>4</v>
      </c>
      <c r="L187" s="66">
        <v>2</v>
      </c>
      <c r="M187" s="66">
        <v>5</v>
      </c>
      <c r="N187" s="66">
        <v>3</v>
      </c>
      <c r="O187" s="66">
        <v>2</v>
      </c>
      <c r="P187" s="33"/>
      <c r="Q187" s="68">
        <v>3</v>
      </c>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row>
    <row r="188" spans="2:41" s="32" customFormat="1" ht="24.95" customHeight="1">
      <c r="B188" s="51">
        <v>64</v>
      </c>
      <c r="C188" s="51">
        <v>4</v>
      </c>
      <c r="D188" s="67">
        <v>7</v>
      </c>
      <c r="E188" s="55">
        <v>29</v>
      </c>
      <c r="F188" s="54"/>
      <c r="G188" s="66">
        <v>5</v>
      </c>
      <c r="H188" s="66">
        <v>3</v>
      </c>
      <c r="I188" s="66">
        <v>4</v>
      </c>
      <c r="J188" s="66">
        <v>4</v>
      </c>
      <c r="K188" s="66">
        <v>5</v>
      </c>
      <c r="L188" s="66">
        <v>3</v>
      </c>
      <c r="M188" s="66">
        <v>4</v>
      </c>
      <c r="N188" s="66">
        <v>4</v>
      </c>
      <c r="O188" s="66">
        <v>2</v>
      </c>
      <c r="P188" s="33"/>
      <c r="Q188" s="68">
        <v>7</v>
      </c>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row>
    <row r="189" spans="2:41" s="32" customFormat="1" ht="24.95" customHeight="1">
      <c r="B189" s="51">
        <v>65</v>
      </c>
      <c r="C189" s="51">
        <v>4</v>
      </c>
      <c r="D189" s="67">
        <v>7</v>
      </c>
      <c r="E189" s="55">
        <v>25</v>
      </c>
      <c r="F189" s="54"/>
      <c r="G189" s="66">
        <v>2</v>
      </c>
      <c r="H189" s="66">
        <v>4</v>
      </c>
      <c r="I189" s="66">
        <v>4</v>
      </c>
      <c r="J189" s="66">
        <v>2</v>
      </c>
      <c r="K189" s="66">
        <v>2</v>
      </c>
      <c r="L189" s="66">
        <v>4</v>
      </c>
      <c r="M189" s="66">
        <v>4</v>
      </c>
      <c r="N189" s="66">
        <v>3</v>
      </c>
      <c r="O189" s="66">
        <v>2</v>
      </c>
      <c r="P189" s="33"/>
      <c r="Q189" s="68">
        <v>8</v>
      </c>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row>
    <row r="190" spans="2:41" s="32" customFormat="1" ht="24.95" customHeight="1">
      <c r="B190" s="51">
        <v>66</v>
      </c>
      <c r="C190" s="51">
        <v>4</v>
      </c>
      <c r="D190" s="67">
        <v>7</v>
      </c>
      <c r="E190" s="55">
        <v>15</v>
      </c>
      <c r="F190" s="54"/>
      <c r="G190" s="66">
        <v>4</v>
      </c>
      <c r="H190" s="66">
        <v>5</v>
      </c>
      <c r="I190" s="66">
        <v>4</v>
      </c>
      <c r="J190" s="66">
        <v>4</v>
      </c>
      <c r="K190" s="66">
        <v>3</v>
      </c>
      <c r="L190" s="66">
        <v>5</v>
      </c>
      <c r="M190" s="66">
        <v>5</v>
      </c>
      <c r="N190" s="66">
        <v>3</v>
      </c>
      <c r="O190" s="66">
        <v>5</v>
      </c>
      <c r="P190" s="33"/>
      <c r="Q190" s="68">
        <v>3</v>
      </c>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row>
    <row r="191" spans="2:41" s="32" customFormat="1" ht="24.95" customHeight="1">
      <c r="B191" s="51">
        <v>67</v>
      </c>
      <c r="C191" s="51">
        <v>4</v>
      </c>
      <c r="D191" s="67">
        <v>7</v>
      </c>
      <c r="E191" s="55">
        <v>28</v>
      </c>
      <c r="F191" s="54"/>
      <c r="G191" s="66">
        <v>3</v>
      </c>
      <c r="H191" s="66">
        <v>4</v>
      </c>
      <c r="I191" s="66">
        <v>3</v>
      </c>
      <c r="J191" s="66">
        <v>4</v>
      </c>
      <c r="K191" s="66">
        <v>2</v>
      </c>
      <c r="L191" s="66">
        <v>5</v>
      </c>
      <c r="M191" s="66">
        <v>4</v>
      </c>
      <c r="N191" s="66">
        <v>3</v>
      </c>
      <c r="O191" s="66">
        <v>5</v>
      </c>
      <c r="P191" s="33"/>
      <c r="Q191" s="68">
        <v>7</v>
      </c>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row>
    <row r="192" spans="2:41" s="32" customFormat="1" ht="24.95" customHeight="1">
      <c r="B192" s="51">
        <v>68</v>
      </c>
      <c r="C192" s="51">
        <v>4</v>
      </c>
      <c r="D192" s="67">
        <v>7</v>
      </c>
      <c r="E192" s="55">
        <v>29</v>
      </c>
      <c r="F192" s="54"/>
      <c r="G192" s="66">
        <v>4</v>
      </c>
      <c r="H192" s="66">
        <v>4</v>
      </c>
      <c r="I192" s="66">
        <v>5</v>
      </c>
      <c r="J192" s="66">
        <v>2</v>
      </c>
      <c r="K192" s="66">
        <v>4</v>
      </c>
      <c r="L192" s="66">
        <v>3</v>
      </c>
      <c r="M192" s="66">
        <v>5</v>
      </c>
      <c r="N192" s="66">
        <v>4</v>
      </c>
      <c r="O192" s="66">
        <v>2</v>
      </c>
      <c r="P192" s="33"/>
      <c r="Q192" s="68">
        <v>7</v>
      </c>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row>
    <row r="193" spans="2:41" s="32" customFormat="1" ht="24.95" customHeight="1">
      <c r="B193" s="51">
        <v>69</v>
      </c>
      <c r="C193" s="51">
        <v>4</v>
      </c>
      <c r="D193" s="67">
        <v>7</v>
      </c>
      <c r="E193" s="55">
        <v>31</v>
      </c>
      <c r="F193" s="54"/>
      <c r="G193" s="66">
        <v>3</v>
      </c>
      <c r="H193" s="66">
        <v>2</v>
      </c>
      <c r="I193" s="66">
        <v>5</v>
      </c>
      <c r="J193" s="66">
        <v>4</v>
      </c>
      <c r="K193" s="66">
        <v>4</v>
      </c>
      <c r="L193" s="66">
        <v>2</v>
      </c>
      <c r="M193" s="66">
        <v>5</v>
      </c>
      <c r="N193" s="66">
        <v>5</v>
      </c>
      <c r="O193" s="66">
        <v>5</v>
      </c>
      <c r="P193" s="33"/>
      <c r="Q193" s="68">
        <v>7</v>
      </c>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row>
    <row r="194" spans="2:41" s="32" customFormat="1" ht="24.95" customHeight="1">
      <c r="B194" s="51">
        <v>70</v>
      </c>
      <c r="C194" s="51">
        <v>4</v>
      </c>
      <c r="D194" s="67">
        <v>7</v>
      </c>
      <c r="E194" s="55">
        <v>20</v>
      </c>
      <c r="F194" s="54"/>
      <c r="G194" s="66">
        <v>5</v>
      </c>
      <c r="H194" s="66">
        <v>2</v>
      </c>
      <c r="I194" s="66">
        <v>4</v>
      </c>
      <c r="J194" s="66">
        <v>5</v>
      </c>
      <c r="K194" s="66">
        <v>3</v>
      </c>
      <c r="L194" s="66">
        <v>2</v>
      </c>
      <c r="M194" s="66">
        <v>2</v>
      </c>
      <c r="N194" s="66">
        <v>3</v>
      </c>
      <c r="O194" s="66">
        <v>3</v>
      </c>
      <c r="P194" s="33"/>
      <c r="Q194" s="68">
        <v>5</v>
      </c>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row>
    <row r="195" spans="2:41" s="32" customFormat="1" ht="24.95" customHeight="1">
      <c r="B195" s="51">
        <v>71</v>
      </c>
      <c r="C195" s="51">
        <v>4</v>
      </c>
      <c r="D195" s="67">
        <v>7</v>
      </c>
      <c r="E195" s="55">
        <v>19</v>
      </c>
      <c r="F195" s="54"/>
      <c r="G195" s="66">
        <v>5</v>
      </c>
      <c r="H195" s="66">
        <v>2</v>
      </c>
      <c r="I195" s="66">
        <v>2</v>
      </c>
      <c r="J195" s="66">
        <v>4</v>
      </c>
      <c r="K195" s="66">
        <v>5</v>
      </c>
      <c r="L195" s="66">
        <v>2</v>
      </c>
      <c r="M195" s="66">
        <v>5</v>
      </c>
      <c r="N195" s="66">
        <v>4</v>
      </c>
      <c r="O195" s="66">
        <v>4</v>
      </c>
      <c r="P195" s="33"/>
      <c r="Q195" s="68">
        <v>4</v>
      </c>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row>
    <row r="196" spans="2:41" s="32" customFormat="1" ht="24.95" customHeight="1">
      <c r="B196" s="51">
        <v>72</v>
      </c>
      <c r="C196" s="51">
        <v>4</v>
      </c>
      <c r="D196" s="67">
        <v>7</v>
      </c>
      <c r="E196" s="55">
        <v>26</v>
      </c>
      <c r="F196" s="54"/>
      <c r="G196" s="66">
        <v>2</v>
      </c>
      <c r="H196" s="66">
        <v>5</v>
      </c>
      <c r="I196" s="66">
        <v>3</v>
      </c>
      <c r="J196" s="66">
        <v>5</v>
      </c>
      <c r="K196" s="66">
        <v>3</v>
      </c>
      <c r="L196" s="66">
        <v>3</v>
      </c>
      <c r="M196" s="66">
        <v>5</v>
      </c>
      <c r="N196" s="66">
        <v>2</v>
      </c>
      <c r="O196" s="66">
        <v>2</v>
      </c>
      <c r="P196" s="33"/>
      <c r="Q196" s="68">
        <v>7</v>
      </c>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row>
    <row r="197" spans="2:41" s="32" customFormat="1" ht="24.95" customHeight="1">
      <c r="B197" s="51">
        <v>73</v>
      </c>
      <c r="C197" s="51">
        <v>4</v>
      </c>
      <c r="D197" s="67">
        <v>7</v>
      </c>
      <c r="E197" s="55">
        <v>18</v>
      </c>
      <c r="F197" s="54"/>
      <c r="G197" s="66">
        <v>4</v>
      </c>
      <c r="H197" s="66">
        <v>4</v>
      </c>
      <c r="I197" s="66">
        <v>5</v>
      </c>
      <c r="J197" s="66">
        <v>5</v>
      </c>
      <c r="K197" s="66">
        <v>3</v>
      </c>
      <c r="L197" s="66">
        <v>3</v>
      </c>
      <c r="M197" s="66">
        <v>2</v>
      </c>
      <c r="N197" s="66">
        <v>4</v>
      </c>
      <c r="O197" s="66">
        <v>4</v>
      </c>
      <c r="P197" s="33"/>
      <c r="Q197" s="68">
        <v>4</v>
      </c>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row>
    <row r="198" spans="2:41" s="32" customFormat="1" ht="24.95" customHeight="1">
      <c r="B198" s="51">
        <v>74</v>
      </c>
      <c r="C198" s="51">
        <v>4</v>
      </c>
      <c r="D198" s="67">
        <v>7</v>
      </c>
      <c r="E198" s="55">
        <v>15</v>
      </c>
      <c r="F198" s="54"/>
      <c r="G198" s="66">
        <v>3</v>
      </c>
      <c r="H198" s="66">
        <v>5</v>
      </c>
      <c r="I198" s="66">
        <v>3</v>
      </c>
      <c r="J198" s="66">
        <v>5</v>
      </c>
      <c r="K198" s="66">
        <v>4</v>
      </c>
      <c r="L198" s="66">
        <v>3</v>
      </c>
      <c r="M198" s="66">
        <v>2</v>
      </c>
      <c r="N198" s="66">
        <v>3</v>
      </c>
      <c r="O198" s="66">
        <v>5</v>
      </c>
      <c r="P198" s="33"/>
      <c r="Q198" s="68">
        <v>3</v>
      </c>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row>
    <row r="199" spans="2:41" s="32" customFormat="1" ht="24.95" customHeight="1">
      <c r="B199" s="51">
        <v>75</v>
      </c>
      <c r="C199" s="51">
        <v>4</v>
      </c>
      <c r="D199" s="67">
        <v>7</v>
      </c>
      <c r="E199" s="55">
        <v>15</v>
      </c>
      <c r="F199" s="54"/>
      <c r="G199" s="66">
        <v>5</v>
      </c>
      <c r="H199" s="66">
        <v>4</v>
      </c>
      <c r="I199" s="66">
        <v>5</v>
      </c>
      <c r="J199" s="66">
        <v>5</v>
      </c>
      <c r="K199" s="66">
        <v>5</v>
      </c>
      <c r="L199" s="66">
        <v>5</v>
      </c>
      <c r="M199" s="66">
        <v>5</v>
      </c>
      <c r="N199" s="66">
        <v>4</v>
      </c>
      <c r="O199" s="66">
        <v>2</v>
      </c>
      <c r="P199" s="33"/>
      <c r="Q199" s="68">
        <v>3</v>
      </c>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row>
    <row r="200" spans="2:41" s="32" customFormat="1" ht="24.95" customHeight="1">
      <c r="B200" s="51">
        <v>76</v>
      </c>
      <c r="C200" s="51">
        <v>4</v>
      </c>
      <c r="D200" s="67">
        <v>7</v>
      </c>
      <c r="E200" s="55">
        <v>28</v>
      </c>
      <c r="F200" s="54"/>
      <c r="G200" s="66">
        <v>4</v>
      </c>
      <c r="H200" s="66">
        <v>5</v>
      </c>
      <c r="I200" s="66">
        <v>4</v>
      </c>
      <c r="J200" s="66">
        <v>5</v>
      </c>
      <c r="K200" s="66">
        <v>5</v>
      </c>
      <c r="L200" s="66">
        <v>4</v>
      </c>
      <c r="M200" s="66">
        <v>2</v>
      </c>
      <c r="N200" s="66">
        <v>2</v>
      </c>
      <c r="O200" s="66">
        <v>5</v>
      </c>
      <c r="P200" s="33"/>
      <c r="Q200" s="68">
        <v>6</v>
      </c>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row>
    <row r="201" spans="2:41" s="32" customFormat="1" ht="24.95" customHeight="1">
      <c r="B201" s="51">
        <v>77</v>
      </c>
      <c r="C201" s="51">
        <v>4</v>
      </c>
      <c r="D201" s="67">
        <v>7</v>
      </c>
      <c r="E201" s="55">
        <v>20</v>
      </c>
      <c r="F201" s="54"/>
      <c r="G201" s="66">
        <v>4</v>
      </c>
      <c r="H201" s="66">
        <v>4</v>
      </c>
      <c r="I201" s="66">
        <v>3</v>
      </c>
      <c r="J201" s="66">
        <v>3</v>
      </c>
      <c r="K201" s="66">
        <v>4</v>
      </c>
      <c r="L201" s="66">
        <v>5</v>
      </c>
      <c r="M201" s="66">
        <v>3</v>
      </c>
      <c r="N201" s="66">
        <v>2</v>
      </c>
      <c r="O201" s="66">
        <v>3</v>
      </c>
      <c r="P201" s="33"/>
      <c r="Q201" s="68">
        <v>5</v>
      </c>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row>
    <row r="202" spans="2:41" s="32" customFormat="1" ht="24.95" customHeight="1">
      <c r="B202" s="51">
        <v>78</v>
      </c>
      <c r="C202" s="51">
        <v>4</v>
      </c>
      <c r="D202" s="67">
        <v>7</v>
      </c>
      <c r="E202" s="55">
        <v>25</v>
      </c>
      <c r="F202" s="54"/>
      <c r="G202" s="66">
        <v>3</v>
      </c>
      <c r="H202" s="66">
        <v>5</v>
      </c>
      <c r="I202" s="66">
        <v>5</v>
      </c>
      <c r="J202" s="66">
        <v>3</v>
      </c>
      <c r="K202" s="66">
        <v>2</v>
      </c>
      <c r="L202" s="66">
        <v>5</v>
      </c>
      <c r="M202" s="66">
        <v>2</v>
      </c>
      <c r="N202" s="66">
        <v>2</v>
      </c>
      <c r="O202" s="66">
        <v>4</v>
      </c>
      <c r="P202" s="33"/>
      <c r="Q202" s="68">
        <v>6</v>
      </c>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row>
    <row r="203" spans="2:41" s="32" customFormat="1" ht="24.95" customHeight="1">
      <c r="B203" s="51">
        <v>79</v>
      </c>
      <c r="C203" s="51">
        <v>4</v>
      </c>
      <c r="D203" s="67">
        <v>7</v>
      </c>
      <c r="E203" s="55">
        <v>26</v>
      </c>
      <c r="F203" s="54"/>
      <c r="G203" s="66">
        <v>4</v>
      </c>
      <c r="H203" s="66">
        <v>3</v>
      </c>
      <c r="I203" s="66">
        <v>2</v>
      </c>
      <c r="J203" s="66">
        <v>4</v>
      </c>
      <c r="K203" s="66">
        <v>5</v>
      </c>
      <c r="L203" s="66">
        <v>5</v>
      </c>
      <c r="M203" s="66">
        <v>3</v>
      </c>
      <c r="N203" s="66">
        <v>2</v>
      </c>
      <c r="O203" s="66">
        <v>5</v>
      </c>
      <c r="P203" s="33"/>
      <c r="Q203" s="68">
        <v>6</v>
      </c>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row>
    <row r="204" spans="2:41" s="32" customFormat="1" ht="24.95" customHeight="1">
      <c r="B204" s="51">
        <v>80</v>
      </c>
      <c r="C204" s="51">
        <v>4</v>
      </c>
      <c r="D204" s="67">
        <v>7</v>
      </c>
      <c r="E204" s="55">
        <v>34</v>
      </c>
      <c r="F204" s="54"/>
      <c r="G204" s="66">
        <v>5</v>
      </c>
      <c r="H204" s="66">
        <v>4</v>
      </c>
      <c r="I204" s="66">
        <v>3</v>
      </c>
      <c r="J204" s="66">
        <v>4</v>
      </c>
      <c r="K204" s="66">
        <v>5</v>
      </c>
      <c r="L204" s="66">
        <v>4</v>
      </c>
      <c r="M204" s="66">
        <v>4</v>
      </c>
      <c r="N204" s="66">
        <v>3</v>
      </c>
      <c r="O204" s="66">
        <v>5</v>
      </c>
      <c r="P204" s="33"/>
      <c r="Q204" s="68">
        <v>8</v>
      </c>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row>
    <row r="205" spans="2:41" s="32" customFormat="1" ht="15" customHeight="1" thickBot="1">
      <c r="B205" s="16"/>
      <c r="H205" s="16"/>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row>
    <row r="206" spans="2:41" s="32" customFormat="1" ht="22.5" customHeight="1" thickBot="1">
      <c r="B206" s="57" t="s">
        <v>45</v>
      </c>
      <c r="C206" s="73" t="s">
        <v>46</v>
      </c>
      <c r="D206" s="59"/>
      <c r="H206" s="16"/>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row>
    <row r="207" spans="2:41" s="50" customFormat="1" ht="15" customHeight="1">
      <c r="B207" s="16"/>
      <c r="C207" s="16"/>
      <c r="D207" s="16"/>
      <c r="E207" s="16"/>
      <c r="F207" s="16"/>
      <c r="G207" s="16"/>
      <c r="H207" s="16"/>
    </row>
    <row r="208" spans="2:41" s="32" customFormat="1" ht="15" customHeight="1">
      <c r="B208" s="60" t="s">
        <v>113</v>
      </c>
      <c r="C208" s="61"/>
      <c r="D208" s="16"/>
      <c r="E208" s="16"/>
      <c r="F208" s="16"/>
      <c r="G208" s="16"/>
      <c r="I208" s="16"/>
      <c r="J208" s="50"/>
      <c r="K208" s="50"/>
      <c r="L208" s="50"/>
      <c r="M208" s="50"/>
      <c r="N208" s="50"/>
      <c r="O208" s="50"/>
      <c r="P208" s="50"/>
      <c r="Q208" s="50"/>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row>
    <row r="209" spans="2:41" s="32" customFormat="1" ht="15" customHeight="1">
      <c r="B209" s="61"/>
      <c r="C209" s="61"/>
      <c r="D209" s="16"/>
      <c r="E209" s="16"/>
      <c r="F209" s="16"/>
      <c r="G209" s="16"/>
      <c r="I209" s="16"/>
      <c r="J209" s="50"/>
      <c r="K209" s="50"/>
      <c r="L209" s="50"/>
      <c r="M209" s="50"/>
      <c r="N209" s="50"/>
      <c r="O209" s="50"/>
      <c r="P209" s="50"/>
      <c r="Q209" s="50"/>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row>
    <row r="210" spans="2:41" s="32" customFormat="1" ht="15" customHeight="1">
      <c r="B210" s="60" t="s">
        <v>117</v>
      </c>
      <c r="C210" s="61"/>
      <c r="D210" s="16"/>
      <c r="E210" s="16"/>
      <c r="F210" s="16"/>
      <c r="G210" s="16"/>
      <c r="I210" s="16"/>
      <c r="J210" s="50"/>
      <c r="K210" s="50"/>
      <c r="L210" s="50"/>
      <c r="M210" s="50"/>
      <c r="N210" s="50"/>
      <c r="O210" s="50"/>
      <c r="P210" s="50"/>
      <c r="Q210" s="50"/>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row>
    <row r="211" spans="2:41" s="32" customFormat="1" ht="15" customHeight="1">
      <c r="B211" s="62" t="s">
        <v>118</v>
      </c>
      <c r="C211" s="61"/>
      <c r="D211" s="16"/>
      <c r="E211" s="16"/>
      <c r="F211" s="16"/>
      <c r="G211" s="16"/>
      <c r="I211" s="16"/>
      <c r="J211" s="50"/>
      <c r="K211" s="50"/>
      <c r="L211" s="50"/>
      <c r="M211" s="50"/>
      <c r="N211" s="50"/>
      <c r="O211" s="50"/>
      <c r="P211" s="50"/>
      <c r="Q211" s="50"/>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row>
    <row r="212" spans="2:41" s="32" customFormat="1" ht="15" customHeight="1">
      <c r="B212" s="16"/>
      <c r="C212" s="16"/>
      <c r="D212" s="16"/>
      <c r="E212" s="16"/>
      <c r="F212" s="16"/>
      <c r="G212" s="16"/>
      <c r="I212" s="16"/>
      <c r="J212" s="50"/>
      <c r="K212" s="50"/>
      <c r="L212" s="50"/>
      <c r="M212" s="50"/>
      <c r="N212" s="50"/>
      <c r="O212" s="50"/>
      <c r="P212" s="50"/>
      <c r="Q212" s="50"/>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row>
    <row r="213" spans="2:41" s="32" customFormat="1" ht="15" customHeight="1">
      <c r="B213" s="63" t="s">
        <v>34</v>
      </c>
      <c r="C213" s="61"/>
      <c r="D213" s="50"/>
      <c r="E213" s="50"/>
      <c r="F213" s="50"/>
      <c r="G213" s="50"/>
      <c r="I213" s="16"/>
      <c r="J213" s="50"/>
      <c r="K213" s="50"/>
      <c r="L213" s="50"/>
      <c r="M213" s="50"/>
      <c r="N213" s="50"/>
      <c r="O213" s="50"/>
      <c r="P213" s="50"/>
      <c r="Q213" s="50"/>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row>
    <row r="214" spans="2:41" s="32" customFormat="1" ht="15" customHeight="1">
      <c r="B214" s="61" t="s">
        <v>114</v>
      </c>
      <c r="C214" s="16"/>
      <c r="D214" s="50"/>
      <c r="E214" s="50"/>
      <c r="F214" s="50"/>
      <c r="G214" s="50"/>
      <c r="I214" s="16"/>
      <c r="J214" s="50"/>
      <c r="K214" s="50"/>
      <c r="L214" s="50"/>
      <c r="M214" s="50"/>
      <c r="N214" s="50"/>
      <c r="O214" s="50"/>
      <c r="P214" s="50"/>
      <c r="Q214" s="50"/>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row>
    <row r="215" spans="2:41" s="32" customFormat="1" ht="15" customHeight="1">
      <c r="B215" s="61" t="s">
        <v>115</v>
      </c>
      <c r="C215" s="16"/>
      <c r="D215" s="50"/>
      <c r="E215" s="50"/>
      <c r="F215" s="50"/>
      <c r="G215" s="50"/>
      <c r="I215" s="16"/>
      <c r="J215" s="50"/>
      <c r="K215" s="50"/>
      <c r="L215" s="50"/>
      <c r="M215" s="50"/>
      <c r="N215" s="50"/>
      <c r="O215" s="50"/>
      <c r="P215" s="50"/>
      <c r="Q215" s="50"/>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row>
    <row r="216" spans="2:41" s="32" customFormat="1" ht="15" customHeight="1" thickBot="1">
      <c r="B216" s="61" t="s">
        <v>116</v>
      </c>
      <c r="C216" s="16"/>
      <c r="D216" s="50"/>
      <c r="E216" s="50"/>
      <c r="F216" s="50"/>
      <c r="G216" s="50"/>
      <c r="H216" s="16"/>
      <c r="I216" s="16"/>
      <c r="J216" s="16"/>
      <c r="K216" s="50"/>
      <c r="L216" s="50"/>
      <c r="M216" s="50"/>
      <c r="N216" s="50"/>
      <c r="O216" s="50"/>
      <c r="P216" s="50"/>
      <c r="Q216" s="50"/>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row>
    <row r="217" spans="2:41" s="50" customFormat="1" ht="22.5" customHeight="1" thickBot="1">
      <c r="B217" s="16"/>
      <c r="C217" s="16"/>
      <c r="D217" s="16"/>
      <c r="E217" s="16"/>
      <c r="F217" s="16"/>
      <c r="G217" s="110" t="s">
        <v>90</v>
      </c>
      <c r="H217" s="111"/>
      <c r="I217" s="111"/>
      <c r="J217" s="111"/>
      <c r="K217" s="111"/>
      <c r="L217" s="111"/>
      <c r="M217" s="111"/>
      <c r="N217" s="111"/>
      <c r="O217" s="112"/>
    </row>
    <row r="218" spans="2:41" s="50" customFormat="1" ht="22.5" customHeight="1" thickBot="1">
      <c r="B218" s="47" t="s">
        <v>8</v>
      </c>
      <c r="C218" s="48" t="s">
        <v>9</v>
      </c>
      <c r="D218" s="47" t="s">
        <v>10</v>
      </c>
      <c r="E218" s="64" t="s">
        <v>11</v>
      </c>
      <c r="F218" s="16"/>
      <c r="G218" s="47" t="s">
        <v>12</v>
      </c>
      <c r="H218" s="47" t="s">
        <v>13</v>
      </c>
      <c r="I218" s="47" t="s">
        <v>14</v>
      </c>
      <c r="J218" s="47" t="s">
        <v>15</v>
      </c>
      <c r="K218" s="47" t="s">
        <v>16</v>
      </c>
      <c r="L218" s="47" t="s">
        <v>17</v>
      </c>
      <c r="M218" s="47" t="s">
        <v>18</v>
      </c>
      <c r="N218" s="47" t="s">
        <v>19</v>
      </c>
      <c r="O218" s="47" t="s">
        <v>20</v>
      </c>
      <c r="Q218" s="47" t="s">
        <v>58</v>
      </c>
    </row>
    <row r="219" spans="2:41" s="32" customFormat="1" ht="15" customHeight="1">
      <c r="J219" s="33"/>
      <c r="K219" s="33"/>
      <c r="L219" s="33"/>
      <c r="M219" s="33"/>
      <c r="N219" s="33"/>
      <c r="O219" s="33"/>
      <c r="P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row>
    <row r="220" spans="2:41" s="32" customFormat="1" ht="24.95" customHeight="1">
      <c r="B220" s="65" t="s">
        <v>47</v>
      </c>
      <c r="C220" s="51">
        <v>5</v>
      </c>
      <c r="D220" s="52">
        <v>0</v>
      </c>
      <c r="E220" s="55">
        <v>7</v>
      </c>
      <c r="F220" s="54"/>
      <c r="G220" s="66">
        <v>3</v>
      </c>
      <c r="H220" s="66">
        <v>5</v>
      </c>
      <c r="I220" s="66">
        <v>3</v>
      </c>
      <c r="J220" s="66">
        <v>4</v>
      </c>
      <c r="K220" s="66">
        <v>3</v>
      </c>
      <c r="L220" s="66">
        <v>3</v>
      </c>
      <c r="M220" s="66">
        <v>2</v>
      </c>
      <c r="N220" s="66">
        <v>3</v>
      </c>
      <c r="O220" s="66">
        <v>3</v>
      </c>
      <c r="P220" s="33"/>
      <c r="Q220" s="66">
        <v>4</v>
      </c>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row>
    <row r="221" spans="2:41" s="32" customFormat="1" ht="15" customHeight="1">
      <c r="P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row>
    <row r="222" spans="2:41" s="32" customFormat="1" ht="24.95" customHeight="1">
      <c r="B222" s="51">
        <v>81</v>
      </c>
      <c r="C222" s="51">
        <v>5</v>
      </c>
      <c r="D222" s="67">
        <v>8</v>
      </c>
      <c r="E222" s="55">
        <v>9</v>
      </c>
      <c r="F222" s="54"/>
      <c r="G222" s="68">
        <v>2</v>
      </c>
      <c r="H222" s="68">
        <v>5</v>
      </c>
      <c r="I222" s="68">
        <v>4</v>
      </c>
      <c r="J222" s="68">
        <v>5</v>
      </c>
      <c r="K222" s="68">
        <v>4</v>
      </c>
      <c r="L222" s="68">
        <v>2</v>
      </c>
      <c r="M222" s="68">
        <v>3</v>
      </c>
      <c r="N222" s="68">
        <v>3</v>
      </c>
      <c r="O222" s="68">
        <v>5</v>
      </c>
      <c r="P222" s="33"/>
      <c r="Q222" s="68">
        <v>3</v>
      </c>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row>
    <row r="223" spans="2:41" s="32" customFormat="1" ht="24.95" customHeight="1">
      <c r="B223" s="51">
        <v>82</v>
      </c>
      <c r="C223" s="51">
        <v>5</v>
      </c>
      <c r="D223" s="67">
        <v>8</v>
      </c>
      <c r="E223" s="55">
        <v>13</v>
      </c>
      <c r="F223" s="54"/>
      <c r="G223" s="66">
        <v>2</v>
      </c>
      <c r="H223" s="66">
        <v>5</v>
      </c>
      <c r="I223" s="66">
        <v>2</v>
      </c>
      <c r="J223" s="66">
        <v>3</v>
      </c>
      <c r="K223" s="66">
        <v>4</v>
      </c>
      <c r="L223" s="66">
        <v>4</v>
      </c>
      <c r="M223" s="66">
        <v>5</v>
      </c>
      <c r="N223" s="66">
        <v>5</v>
      </c>
      <c r="O223" s="66">
        <v>2</v>
      </c>
      <c r="P223" s="33"/>
      <c r="Q223" s="68">
        <v>5</v>
      </c>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row>
    <row r="224" spans="2:41" s="32" customFormat="1" ht="24.95" customHeight="1">
      <c r="B224" s="51">
        <v>83</v>
      </c>
      <c r="C224" s="51">
        <v>5</v>
      </c>
      <c r="D224" s="67">
        <v>8</v>
      </c>
      <c r="E224" s="55">
        <v>13</v>
      </c>
      <c r="F224" s="54"/>
      <c r="G224" s="66">
        <v>4</v>
      </c>
      <c r="H224" s="66">
        <v>2</v>
      </c>
      <c r="I224" s="66">
        <v>3</v>
      </c>
      <c r="J224" s="66">
        <v>5</v>
      </c>
      <c r="K224" s="66">
        <v>2</v>
      </c>
      <c r="L224" s="66">
        <v>4</v>
      </c>
      <c r="M224" s="66">
        <v>5</v>
      </c>
      <c r="N224" s="66">
        <v>5</v>
      </c>
      <c r="O224" s="66">
        <v>4</v>
      </c>
      <c r="P224" s="33"/>
      <c r="Q224" s="68">
        <v>5</v>
      </c>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row>
    <row r="225" spans="2:41" s="32" customFormat="1" ht="24.95" customHeight="1">
      <c r="B225" s="51">
        <v>84</v>
      </c>
      <c r="C225" s="51">
        <v>5</v>
      </c>
      <c r="D225" s="67">
        <v>8</v>
      </c>
      <c r="E225" s="55">
        <v>10</v>
      </c>
      <c r="F225" s="54"/>
      <c r="G225" s="66">
        <v>5</v>
      </c>
      <c r="H225" s="66">
        <v>4</v>
      </c>
      <c r="I225" s="66">
        <v>4</v>
      </c>
      <c r="J225" s="66">
        <v>3</v>
      </c>
      <c r="K225" s="66">
        <v>3</v>
      </c>
      <c r="L225" s="66">
        <v>5</v>
      </c>
      <c r="M225" s="66">
        <v>4</v>
      </c>
      <c r="N225" s="66">
        <v>3</v>
      </c>
      <c r="O225" s="66">
        <v>2</v>
      </c>
      <c r="P225" s="33"/>
      <c r="Q225" s="68">
        <v>4</v>
      </c>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row>
    <row r="226" spans="2:41" s="32" customFormat="1" ht="24.95" customHeight="1">
      <c r="B226" s="51">
        <v>85</v>
      </c>
      <c r="C226" s="51">
        <v>5</v>
      </c>
      <c r="D226" s="67">
        <v>8</v>
      </c>
      <c r="E226" s="55">
        <v>6</v>
      </c>
      <c r="F226" s="54"/>
      <c r="G226" s="66">
        <v>5</v>
      </c>
      <c r="H226" s="66">
        <v>4</v>
      </c>
      <c r="I226" s="66">
        <v>4</v>
      </c>
      <c r="J226" s="66">
        <v>2</v>
      </c>
      <c r="K226" s="66">
        <v>3</v>
      </c>
      <c r="L226" s="66">
        <v>4</v>
      </c>
      <c r="M226" s="66">
        <v>2</v>
      </c>
      <c r="N226" s="66">
        <v>3</v>
      </c>
      <c r="O226" s="66">
        <v>5</v>
      </c>
      <c r="P226" s="33"/>
      <c r="Q226" s="68">
        <v>2</v>
      </c>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row>
    <row r="227" spans="2:41" s="32" customFormat="1" ht="24.95" customHeight="1">
      <c r="B227" s="51">
        <v>86</v>
      </c>
      <c r="C227" s="51">
        <v>5</v>
      </c>
      <c r="D227" s="67">
        <v>8</v>
      </c>
      <c r="E227" s="55">
        <v>12</v>
      </c>
      <c r="F227" s="54"/>
      <c r="G227" s="66">
        <v>5</v>
      </c>
      <c r="H227" s="66">
        <v>2</v>
      </c>
      <c r="I227" s="66">
        <v>3</v>
      </c>
      <c r="J227" s="66">
        <v>5</v>
      </c>
      <c r="K227" s="66">
        <v>3</v>
      </c>
      <c r="L227" s="66">
        <v>4</v>
      </c>
      <c r="M227" s="66">
        <v>4</v>
      </c>
      <c r="N227" s="66">
        <v>3</v>
      </c>
      <c r="O227" s="66">
        <v>4</v>
      </c>
      <c r="P227" s="33"/>
      <c r="Q227" s="68">
        <v>5</v>
      </c>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row>
    <row r="228" spans="2:41" s="32" customFormat="1" ht="24.95" customHeight="1">
      <c r="B228" s="51">
        <v>87</v>
      </c>
      <c r="C228" s="51">
        <v>5</v>
      </c>
      <c r="D228" s="67">
        <v>8</v>
      </c>
      <c r="E228" s="55">
        <v>3</v>
      </c>
      <c r="F228" s="54"/>
      <c r="G228" s="66">
        <v>2</v>
      </c>
      <c r="H228" s="66">
        <v>2</v>
      </c>
      <c r="I228" s="66">
        <v>5</v>
      </c>
      <c r="J228" s="66">
        <v>5</v>
      </c>
      <c r="K228" s="66">
        <v>5</v>
      </c>
      <c r="L228" s="66">
        <v>3</v>
      </c>
      <c r="M228" s="66">
        <v>2</v>
      </c>
      <c r="N228" s="66">
        <v>2</v>
      </c>
      <c r="O228" s="66">
        <v>3</v>
      </c>
      <c r="P228" s="33"/>
      <c r="Q228" s="68">
        <v>1</v>
      </c>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row>
    <row r="229" spans="2:41" s="32" customFormat="1" ht="24.95" customHeight="1">
      <c r="B229" s="51">
        <v>88</v>
      </c>
      <c r="C229" s="51">
        <v>5</v>
      </c>
      <c r="D229" s="67">
        <v>8</v>
      </c>
      <c r="E229" s="55">
        <v>6</v>
      </c>
      <c r="F229" s="54"/>
      <c r="G229" s="66">
        <v>2</v>
      </c>
      <c r="H229" s="66">
        <v>4</v>
      </c>
      <c r="I229" s="66">
        <v>5</v>
      </c>
      <c r="J229" s="66">
        <v>5</v>
      </c>
      <c r="K229" s="66">
        <v>4</v>
      </c>
      <c r="L229" s="66">
        <v>5</v>
      </c>
      <c r="M229" s="66">
        <v>3</v>
      </c>
      <c r="N229" s="66">
        <v>4</v>
      </c>
      <c r="O229" s="66">
        <v>5</v>
      </c>
      <c r="P229" s="33"/>
      <c r="Q229" s="68">
        <v>2</v>
      </c>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row>
    <row r="230" spans="2:41" s="32" customFormat="1" ht="24.95" customHeight="1">
      <c r="B230" s="51">
        <v>89</v>
      </c>
      <c r="C230" s="51">
        <v>5</v>
      </c>
      <c r="D230" s="67">
        <v>8</v>
      </c>
      <c r="E230" s="55">
        <v>9</v>
      </c>
      <c r="F230" s="54"/>
      <c r="G230" s="66">
        <v>4</v>
      </c>
      <c r="H230" s="66">
        <v>4</v>
      </c>
      <c r="I230" s="66">
        <v>4</v>
      </c>
      <c r="J230" s="66">
        <v>3</v>
      </c>
      <c r="K230" s="66">
        <v>2</v>
      </c>
      <c r="L230" s="66">
        <v>4</v>
      </c>
      <c r="M230" s="66">
        <v>4</v>
      </c>
      <c r="N230" s="66">
        <v>4</v>
      </c>
      <c r="O230" s="66">
        <v>5</v>
      </c>
      <c r="P230" s="33"/>
      <c r="Q230" s="68">
        <v>4</v>
      </c>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row>
    <row r="231" spans="2:41" s="32" customFormat="1" ht="24.95" customHeight="1">
      <c r="B231" s="51">
        <v>90</v>
      </c>
      <c r="C231" s="51">
        <v>5</v>
      </c>
      <c r="D231" s="67">
        <v>8</v>
      </c>
      <c r="E231" s="55">
        <v>15</v>
      </c>
      <c r="F231" s="54"/>
      <c r="G231" s="66">
        <v>4</v>
      </c>
      <c r="H231" s="66">
        <v>5</v>
      </c>
      <c r="I231" s="66">
        <v>2</v>
      </c>
      <c r="J231" s="66">
        <v>5</v>
      </c>
      <c r="K231" s="66">
        <v>5</v>
      </c>
      <c r="L231" s="66">
        <v>5</v>
      </c>
      <c r="M231" s="66">
        <v>3</v>
      </c>
      <c r="N231" s="66">
        <v>5</v>
      </c>
      <c r="O231" s="66">
        <v>5</v>
      </c>
      <c r="P231" s="33"/>
      <c r="Q231" s="68">
        <v>5</v>
      </c>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row>
    <row r="232" spans="2:41" s="32" customFormat="1" ht="24.95" customHeight="1">
      <c r="B232" s="51">
        <v>91</v>
      </c>
      <c r="C232" s="51">
        <v>5</v>
      </c>
      <c r="D232" s="67">
        <v>8</v>
      </c>
      <c r="E232" s="55">
        <v>6</v>
      </c>
      <c r="F232" s="54"/>
      <c r="G232" s="66">
        <v>5</v>
      </c>
      <c r="H232" s="66">
        <v>5</v>
      </c>
      <c r="I232" s="66">
        <v>2</v>
      </c>
      <c r="J232" s="66">
        <v>2</v>
      </c>
      <c r="K232" s="66">
        <v>4</v>
      </c>
      <c r="L232" s="66">
        <v>3</v>
      </c>
      <c r="M232" s="66">
        <v>3</v>
      </c>
      <c r="N232" s="66">
        <v>2</v>
      </c>
      <c r="O232" s="66">
        <v>4</v>
      </c>
      <c r="P232" s="33"/>
      <c r="Q232" s="68">
        <v>2</v>
      </c>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row>
    <row r="233" spans="2:41" s="32" customFormat="1" ht="24.95" customHeight="1">
      <c r="B233" s="51">
        <v>92</v>
      </c>
      <c r="C233" s="51">
        <v>5</v>
      </c>
      <c r="D233" s="67">
        <v>8</v>
      </c>
      <c r="E233" s="55">
        <v>15</v>
      </c>
      <c r="F233" s="54"/>
      <c r="G233" s="66">
        <v>3</v>
      </c>
      <c r="H233" s="66">
        <v>5</v>
      </c>
      <c r="I233" s="66">
        <v>5</v>
      </c>
      <c r="J233" s="66">
        <v>5</v>
      </c>
      <c r="K233" s="66">
        <v>3</v>
      </c>
      <c r="L233" s="66">
        <v>4</v>
      </c>
      <c r="M233" s="66">
        <v>3</v>
      </c>
      <c r="N233" s="66">
        <v>5</v>
      </c>
      <c r="O233" s="66">
        <v>2</v>
      </c>
      <c r="P233" s="33"/>
      <c r="Q233" s="68">
        <v>6</v>
      </c>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row>
    <row r="234" spans="2:41" s="32" customFormat="1" ht="24.95" customHeight="1">
      <c r="B234" s="51">
        <v>93</v>
      </c>
      <c r="C234" s="51">
        <v>5</v>
      </c>
      <c r="D234" s="67">
        <v>8</v>
      </c>
      <c r="E234" s="55">
        <v>11</v>
      </c>
      <c r="F234" s="54"/>
      <c r="G234" s="66">
        <v>4</v>
      </c>
      <c r="H234" s="66">
        <v>4</v>
      </c>
      <c r="I234" s="66">
        <v>2</v>
      </c>
      <c r="J234" s="66">
        <v>2</v>
      </c>
      <c r="K234" s="66">
        <v>5</v>
      </c>
      <c r="L234" s="66">
        <v>4</v>
      </c>
      <c r="M234" s="66">
        <v>4</v>
      </c>
      <c r="N234" s="66">
        <v>4</v>
      </c>
      <c r="O234" s="66">
        <v>4</v>
      </c>
      <c r="P234" s="33"/>
      <c r="Q234" s="68">
        <v>5</v>
      </c>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row>
    <row r="235" spans="2:41" s="32" customFormat="1" ht="24.95" customHeight="1">
      <c r="B235" s="51">
        <v>94</v>
      </c>
      <c r="C235" s="51">
        <v>5</v>
      </c>
      <c r="D235" s="67">
        <v>8</v>
      </c>
      <c r="E235" s="55">
        <v>9</v>
      </c>
      <c r="F235" s="54"/>
      <c r="G235" s="66">
        <v>2</v>
      </c>
      <c r="H235" s="66">
        <v>5</v>
      </c>
      <c r="I235" s="66">
        <v>5</v>
      </c>
      <c r="J235" s="66">
        <v>3</v>
      </c>
      <c r="K235" s="66">
        <v>3</v>
      </c>
      <c r="L235" s="66">
        <v>3</v>
      </c>
      <c r="M235" s="66">
        <v>3</v>
      </c>
      <c r="N235" s="66">
        <v>3</v>
      </c>
      <c r="O235" s="66">
        <v>5</v>
      </c>
      <c r="P235" s="33"/>
      <c r="Q235" s="68">
        <v>3</v>
      </c>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row>
    <row r="236" spans="2:41" s="32" customFormat="1" ht="24.95" customHeight="1">
      <c r="B236" s="51">
        <v>95</v>
      </c>
      <c r="C236" s="51">
        <v>5</v>
      </c>
      <c r="D236" s="67">
        <v>8</v>
      </c>
      <c r="E236" s="55">
        <v>11</v>
      </c>
      <c r="F236" s="54"/>
      <c r="G236" s="66">
        <v>2</v>
      </c>
      <c r="H236" s="66">
        <v>5</v>
      </c>
      <c r="I236" s="66">
        <v>4</v>
      </c>
      <c r="J236" s="66">
        <v>5</v>
      </c>
      <c r="K236" s="66">
        <v>2</v>
      </c>
      <c r="L236" s="66">
        <v>2</v>
      </c>
      <c r="M236" s="66">
        <v>2</v>
      </c>
      <c r="N236" s="66">
        <v>2</v>
      </c>
      <c r="O236" s="66">
        <v>5</v>
      </c>
      <c r="P236" s="33"/>
      <c r="Q236" s="68">
        <v>4</v>
      </c>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row>
    <row r="237" spans="2:41" s="32" customFormat="1" ht="24.95" customHeight="1">
      <c r="B237" s="51">
        <v>96</v>
      </c>
      <c r="C237" s="51">
        <v>5</v>
      </c>
      <c r="D237" s="67">
        <v>8</v>
      </c>
      <c r="E237" s="55">
        <v>3</v>
      </c>
      <c r="F237" s="54"/>
      <c r="G237" s="66">
        <v>5</v>
      </c>
      <c r="H237" s="66">
        <v>3</v>
      </c>
      <c r="I237" s="66">
        <v>2</v>
      </c>
      <c r="J237" s="66">
        <v>3</v>
      </c>
      <c r="K237" s="66">
        <v>3</v>
      </c>
      <c r="L237" s="66">
        <v>2</v>
      </c>
      <c r="M237" s="66">
        <v>5</v>
      </c>
      <c r="N237" s="66">
        <v>2</v>
      </c>
      <c r="O237" s="66">
        <v>3</v>
      </c>
      <c r="P237" s="33"/>
      <c r="Q237" s="68">
        <v>1</v>
      </c>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row>
    <row r="238" spans="2:41" s="32" customFormat="1" ht="24.95" customHeight="1">
      <c r="B238" s="51">
        <v>97</v>
      </c>
      <c r="C238" s="51">
        <v>5</v>
      </c>
      <c r="D238" s="67">
        <v>8</v>
      </c>
      <c r="E238" s="55">
        <v>6</v>
      </c>
      <c r="F238" s="54"/>
      <c r="G238" s="66">
        <v>3</v>
      </c>
      <c r="H238" s="66">
        <v>2</v>
      </c>
      <c r="I238" s="66">
        <v>3</v>
      </c>
      <c r="J238" s="66">
        <v>4</v>
      </c>
      <c r="K238" s="66">
        <v>2</v>
      </c>
      <c r="L238" s="66">
        <v>5</v>
      </c>
      <c r="M238" s="66">
        <v>5</v>
      </c>
      <c r="N238" s="66">
        <v>5</v>
      </c>
      <c r="O238" s="66">
        <v>4</v>
      </c>
      <c r="P238" s="33"/>
      <c r="Q238" s="68">
        <v>2</v>
      </c>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row>
    <row r="239" spans="2:41" s="32" customFormat="1" ht="24.95" customHeight="1">
      <c r="B239" s="51">
        <v>98</v>
      </c>
      <c r="C239" s="51">
        <v>5</v>
      </c>
      <c r="D239" s="67">
        <v>8</v>
      </c>
      <c r="E239" s="55">
        <v>10</v>
      </c>
      <c r="F239" s="54"/>
      <c r="G239" s="66">
        <v>2</v>
      </c>
      <c r="H239" s="66">
        <v>2</v>
      </c>
      <c r="I239" s="66">
        <v>2</v>
      </c>
      <c r="J239" s="66">
        <v>3</v>
      </c>
      <c r="K239" s="66">
        <v>5</v>
      </c>
      <c r="L239" s="66">
        <v>5</v>
      </c>
      <c r="M239" s="66">
        <v>4</v>
      </c>
      <c r="N239" s="66">
        <v>4</v>
      </c>
      <c r="O239" s="66">
        <v>4</v>
      </c>
      <c r="P239" s="33"/>
      <c r="Q239" s="68">
        <v>4</v>
      </c>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row>
    <row r="240" spans="2:41" s="32" customFormat="1" ht="24.95" customHeight="1">
      <c r="B240" s="51">
        <v>99</v>
      </c>
      <c r="C240" s="51">
        <v>5</v>
      </c>
      <c r="D240" s="67">
        <v>8</v>
      </c>
      <c r="E240" s="55">
        <v>3</v>
      </c>
      <c r="F240" s="54"/>
      <c r="G240" s="66">
        <v>2</v>
      </c>
      <c r="H240" s="66">
        <v>3</v>
      </c>
      <c r="I240" s="66">
        <v>3</v>
      </c>
      <c r="J240" s="66">
        <v>5</v>
      </c>
      <c r="K240" s="66">
        <v>3</v>
      </c>
      <c r="L240" s="66">
        <v>2</v>
      </c>
      <c r="M240" s="66">
        <v>4</v>
      </c>
      <c r="N240" s="66">
        <v>3</v>
      </c>
      <c r="O240" s="66">
        <v>3</v>
      </c>
      <c r="P240" s="33"/>
      <c r="Q240" s="68">
        <v>1</v>
      </c>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row>
    <row r="241" spans="2:90" s="32" customFormat="1" ht="24.95" customHeight="1">
      <c r="B241" s="51">
        <v>100</v>
      </c>
      <c r="C241" s="51">
        <v>5</v>
      </c>
      <c r="D241" s="67">
        <v>8</v>
      </c>
      <c r="E241" s="55">
        <v>3</v>
      </c>
      <c r="F241" s="54"/>
      <c r="G241" s="66">
        <v>4</v>
      </c>
      <c r="H241" s="66">
        <v>4</v>
      </c>
      <c r="I241" s="66">
        <v>3</v>
      </c>
      <c r="J241" s="66">
        <v>5</v>
      </c>
      <c r="K241" s="66">
        <v>4</v>
      </c>
      <c r="L241" s="66">
        <v>2</v>
      </c>
      <c r="M241" s="66">
        <v>4</v>
      </c>
      <c r="N241" s="66">
        <v>4</v>
      </c>
      <c r="O241" s="66">
        <v>4</v>
      </c>
      <c r="P241" s="33"/>
      <c r="Q241" s="68">
        <v>1</v>
      </c>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row>
    <row r="242" spans="2:90" s="32" customFormat="1" ht="16.5" thickBot="1">
      <c r="H242" s="16"/>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row>
    <row r="243" spans="2:90" s="32" customFormat="1" ht="22.5" customHeight="1" thickBot="1">
      <c r="B243" s="57" t="s">
        <v>48</v>
      </c>
      <c r="C243" s="74" t="s">
        <v>49</v>
      </c>
      <c r="D243" s="75"/>
      <c r="H243" s="16"/>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row>
    <row r="244" spans="2:90" s="32" customFormat="1" ht="15" customHeight="1">
      <c r="H244" s="16"/>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row>
    <row r="245" spans="2:90" s="32" customFormat="1" ht="15" customHeight="1">
      <c r="B245" s="60" t="s">
        <v>135</v>
      </c>
      <c r="C245" s="71"/>
      <c r="H245" s="16"/>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row>
    <row r="246" spans="2:90" s="32" customFormat="1" ht="15" customHeight="1">
      <c r="B246" s="62" t="s">
        <v>119</v>
      </c>
      <c r="C246" s="71"/>
      <c r="H246" s="16"/>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row>
    <row r="247" spans="2:90" s="32" customFormat="1" ht="15" customHeight="1">
      <c r="B247" s="60"/>
      <c r="C247" s="71"/>
      <c r="H247" s="16"/>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row>
    <row r="248" spans="2:90" s="32" customFormat="1" ht="15" customHeight="1">
      <c r="B248" s="60" t="s">
        <v>120</v>
      </c>
      <c r="C248" s="62"/>
      <c r="H248" s="16"/>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row>
    <row r="249" spans="2:90" s="32" customFormat="1" ht="15" customHeight="1">
      <c r="B249" s="76" t="s">
        <v>121</v>
      </c>
      <c r="H249" s="16"/>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row>
    <row r="250" spans="2:90" s="32" customFormat="1" ht="15" customHeight="1">
      <c r="B250" s="60"/>
      <c r="C250" s="71"/>
      <c r="H250" s="16"/>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row>
    <row r="251" spans="2:90" s="32" customFormat="1" ht="15" customHeight="1">
      <c r="B251" s="63" t="s">
        <v>34</v>
      </c>
      <c r="H251" s="16"/>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row>
    <row r="252" spans="2:90" s="32" customFormat="1" ht="15" customHeight="1">
      <c r="B252" s="61" t="s">
        <v>122</v>
      </c>
      <c r="H252" s="16"/>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row>
    <row r="253" spans="2:90" s="32" customFormat="1" ht="15" customHeight="1">
      <c r="B253" s="61" t="s">
        <v>136</v>
      </c>
      <c r="H253" s="16"/>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row>
    <row r="254" spans="2:90" s="32" customFormat="1" ht="15" customHeight="1" thickBot="1">
      <c r="B254" s="61" t="s">
        <v>127</v>
      </c>
      <c r="C254" s="61"/>
      <c r="D254" s="50"/>
      <c r="E254" s="33"/>
      <c r="F254" s="33"/>
      <c r="G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row>
    <row r="255" spans="2:90" s="50" customFormat="1" ht="22.5" customHeight="1" thickBot="1">
      <c r="B255" s="16"/>
      <c r="C255" s="16"/>
      <c r="D255" s="16"/>
      <c r="E255" s="16"/>
      <c r="F255" s="16"/>
      <c r="G255" s="110" t="s">
        <v>90</v>
      </c>
      <c r="H255" s="111"/>
      <c r="I255" s="111"/>
      <c r="J255" s="111"/>
      <c r="K255" s="111"/>
      <c r="L255" s="111"/>
      <c r="M255" s="111"/>
      <c r="N255" s="111"/>
      <c r="O255" s="112"/>
    </row>
    <row r="256" spans="2:90" s="50" customFormat="1" ht="22.5" customHeight="1" thickBot="1">
      <c r="B256" s="47" t="s">
        <v>8</v>
      </c>
      <c r="C256" s="48" t="s">
        <v>9</v>
      </c>
      <c r="D256" s="47" t="s">
        <v>10</v>
      </c>
      <c r="E256" s="64" t="s">
        <v>11</v>
      </c>
      <c r="F256" s="16"/>
      <c r="G256" s="47" t="s">
        <v>12</v>
      </c>
      <c r="H256" s="47" t="s">
        <v>13</v>
      </c>
      <c r="I256" s="47" t="s">
        <v>14</v>
      </c>
      <c r="J256" s="47" t="s">
        <v>15</v>
      </c>
      <c r="K256" s="47" t="s">
        <v>16</v>
      </c>
      <c r="L256" s="47" t="s">
        <v>17</v>
      </c>
      <c r="M256" s="47" t="s">
        <v>18</v>
      </c>
      <c r="N256" s="47" t="s">
        <v>19</v>
      </c>
      <c r="O256" s="47" t="s">
        <v>20</v>
      </c>
      <c r="P256" s="77"/>
      <c r="Q256" s="47" t="s">
        <v>57</v>
      </c>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c r="BW256" s="77"/>
      <c r="BX256" s="77"/>
      <c r="BY256" s="77"/>
      <c r="BZ256" s="77"/>
      <c r="CA256" s="77"/>
      <c r="CB256" s="77"/>
      <c r="CC256" s="77"/>
      <c r="CD256" s="77"/>
      <c r="CE256" s="77"/>
      <c r="CF256" s="77"/>
      <c r="CG256" s="77"/>
      <c r="CH256" s="77"/>
      <c r="CI256" s="77"/>
      <c r="CJ256" s="77"/>
      <c r="CK256" s="77"/>
      <c r="CL256" s="77"/>
    </row>
    <row r="257" spans="2:90" s="32" customFormat="1" ht="15" customHeight="1">
      <c r="J257" s="33"/>
      <c r="K257" s="33"/>
      <c r="L257" s="33"/>
      <c r="M257" s="33"/>
      <c r="N257" s="33"/>
      <c r="O257" s="33"/>
      <c r="P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row>
    <row r="258" spans="2:90" s="32" customFormat="1" ht="24.95" customHeight="1">
      <c r="B258" s="65" t="s">
        <v>50</v>
      </c>
      <c r="C258" s="51">
        <v>6</v>
      </c>
      <c r="D258" s="52">
        <v>0</v>
      </c>
      <c r="E258" s="55">
        <v>9</v>
      </c>
      <c r="F258" s="54"/>
      <c r="G258" s="66">
        <v>3</v>
      </c>
      <c r="H258" s="66">
        <v>5</v>
      </c>
      <c r="I258" s="66">
        <v>3</v>
      </c>
      <c r="J258" s="66">
        <v>4</v>
      </c>
      <c r="K258" s="66">
        <v>3</v>
      </c>
      <c r="L258" s="66">
        <v>3</v>
      </c>
      <c r="M258" s="66">
        <v>2</v>
      </c>
      <c r="N258" s="66">
        <v>3</v>
      </c>
      <c r="O258" s="66">
        <v>3</v>
      </c>
      <c r="P258" s="78"/>
      <c r="Q258" s="66">
        <v>3</v>
      </c>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row>
    <row r="259" spans="2:90" s="32" customFormat="1" ht="15" customHeight="1">
      <c r="P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row>
    <row r="260" spans="2:90" s="32" customFormat="1" ht="24.95" customHeight="1">
      <c r="B260" s="51">
        <v>101</v>
      </c>
      <c r="C260" s="51">
        <v>6</v>
      </c>
      <c r="D260" s="67">
        <v>9</v>
      </c>
      <c r="E260" s="55">
        <v>3</v>
      </c>
      <c r="F260" s="54"/>
      <c r="G260" s="68">
        <v>3</v>
      </c>
      <c r="H260" s="68">
        <v>2</v>
      </c>
      <c r="I260" s="68">
        <v>2</v>
      </c>
      <c r="J260" s="68">
        <v>4</v>
      </c>
      <c r="K260" s="68">
        <v>3</v>
      </c>
      <c r="L260" s="68">
        <v>3</v>
      </c>
      <c r="M260" s="68">
        <v>5</v>
      </c>
      <c r="N260" s="68">
        <v>5</v>
      </c>
      <c r="O260" s="68">
        <v>5</v>
      </c>
      <c r="P260" s="78"/>
      <c r="Q260" s="68">
        <v>1</v>
      </c>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row>
    <row r="261" spans="2:90" s="32" customFormat="1" ht="24.95" customHeight="1">
      <c r="B261" s="51">
        <v>102</v>
      </c>
      <c r="C261" s="51">
        <v>6</v>
      </c>
      <c r="D261" s="67">
        <v>9</v>
      </c>
      <c r="E261" s="55">
        <v>9</v>
      </c>
      <c r="F261" s="54"/>
      <c r="G261" s="66">
        <v>2</v>
      </c>
      <c r="H261" s="66">
        <v>5</v>
      </c>
      <c r="I261" s="66">
        <v>4</v>
      </c>
      <c r="J261" s="66">
        <v>3</v>
      </c>
      <c r="K261" s="66">
        <v>5</v>
      </c>
      <c r="L261" s="66">
        <v>3</v>
      </c>
      <c r="M261" s="66">
        <v>3</v>
      </c>
      <c r="N261" s="66">
        <v>2</v>
      </c>
      <c r="O261" s="66">
        <v>2</v>
      </c>
      <c r="P261" s="78"/>
      <c r="Q261" s="68">
        <v>3</v>
      </c>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row>
    <row r="262" spans="2:90" s="32" customFormat="1" ht="24.95" customHeight="1">
      <c r="B262" s="51">
        <v>103</v>
      </c>
      <c r="C262" s="51">
        <v>6</v>
      </c>
      <c r="D262" s="67">
        <v>9</v>
      </c>
      <c r="E262" s="55">
        <v>6</v>
      </c>
      <c r="F262" s="54"/>
      <c r="G262" s="66">
        <v>4</v>
      </c>
      <c r="H262" s="66">
        <v>4</v>
      </c>
      <c r="I262" s="66">
        <v>5</v>
      </c>
      <c r="J262" s="66">
        <v>2</v>
      </c>
      <c r="K262" s="66">
        <v>5</v>
      </c>
      <c r="L262" s="66">
        <v>5</v>
      </c>
      <c r="M262" s="66">
        <v>4</v>
      </c>
      <c r="N262" s="66">
        <v>5</v>
      </c>
      <c r="O262" s="66">
        <v>5</v>
      </c>
      <c r="P262" s="78"/>
      <c r="Q262" s="68">
        <v>2</v>
      </c>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row>
    <row r="263" spans="2:90" s="32" customFormat="1" ht="24.95" customHeight="1">
      <c r="B263" s="51">
        <v>104</v>
      </c>
      <c r="C263" s="51">
        <v>6</v>
      </c>
      <c r="D263" s="67">
        <v>9</v>
      </c>
      <c r="E263" s="55">
        <v>9</v>
      </c>
      <c r="F263" s="54"/>
      <c r="G263" s="66">
        <v>3</v>
      </c>
      <c r="H263" s="66">
        <v>3</v>
      </c>
      <c r="I263" s="66">
        <v>2</v>
      </c>
      <c r="J263" s="66">
        <v>4</v>
      </c>
      <c r="K263" s="66">
        <v>5</v>
      </c>
      <c r="L263" s="66">
        <v>4</v>
      </c>
      <c r="M263" s="66">
        <v>4</v>
      </c>
      <c r="N263" s="66">
        <v>4</v>
      </c>
      <c r="O263" s="66">
        <v>4</v>
      </c>
      <c r="P263" s="78"/>
      <c r="Q263" s="68">
        <v>3</v>
      </c>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row>
    <row r="264" spans="2:90" s="32" customFormat="1" ht="24.95" customHeight="1">
      <c r="B264" s="51">
        <v>105</v>
      </c>
      <c r="C264" s="51">
        <v>6</v>
      </c>
      <c r="D264" s="67">
        <v>9</v>
      </c>
      <c r="E264" s="55">
        <v>3</v>
      </c>
      <c r="F264" s="54"/>
      <c r="G264" s="66">
        <v>4</v>
      </c>
      <c r="H264" s="66">
        <v>5</v>
      </c>
      <c r="I264" s="66">
        <v>4</v>
      </c>
      <c r="J264" s="66">
        <v>5</v>
      </c>
      <c r="K264" s="66">
        <v>4</v>
      </c>
      <c r="L264" s="66">
        <v>3</v>
      </c>
      <c r="M264" s="66">
        <v>3</v>
      </c>
      <c r="N264" s="66">
        <v>3</v>
      </c>
      <c r="O264" s="66">
        <v>3</v>
      </c>
      <c r="P264" s="78"/>
      <c r="Q264" s="68">
        <v>1</v>
      </c>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row>
    <row r="265" spans="2:90" s="32" customFormat="1" ht="24.95" customHeight="1">
      <c r="B265" s="51">
        <v>106</v>
      </c>
      <c r="C265" s="51">
        <v>6</v>
      </c>
      <c r="D265" s="67">
        <v>9</v>
      </c>
      <c r="E265" s="55">
        <v>3</v>
      </c>
      <c r="F265" s="54"/>
      <c r="G265" s="66">
        <v>3</v>
      </c>
      <c r="H265" s="66">
        <v>4</v>
      </c>
      <c r="I265" s="66">
        <v>4</v>
      </c>
      <c r="J265" s="66">
        <v>5</v>
      </c>
      <c r="K265" s="66">
        <v>5</v>
      </c>
      <c r="L265" s="66">
        <v>5</v>
      </c>
      <c r="M265" s="66">
        <v>3</v>
      </c>
      <c r="N265" s="66">
        <v>5</v>
      </c>
      <c r="O265" s="66">
        <v>2</v>
      </c>
      <c r="P265" s="78"/>
      <c r="Q265" s="68">
        <v>1</v>
      </c>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row>
    <row r="266" spans="2:90" s="32" customFormat="1" ht="24.95" customHeight="1">
      <c r="B266" s="51">
        <v>107</v>
      </c>
      <c r="C266" s="51">
        <v>6</v>
      </c>
      <c r="D266" s="67">
        <v>9</v>
      </c>
      <c r="E266" s="55">
        <v>9</v>
      </c>
      <c r="F266" s="54"/>
      <c r="G266" s="66">
        <v>5</v>
      </c>
      <c r="H266" s="66">
        <v>2</v>
      </c>
      <c r="I266" s="66">
        <v>4</v>
      </c>
      <c r="J266" s="66">
        <v>4</v>
      </c>
      <c r="K266" s="66">
        <v>3</v>
      </c>
      <c r="L266" s="66">
        <v>5</v>
      </c>
      <c r="M266" s="66">
        <v>4</v>
      </c>
      <c r="N266" s="66">
        <v>3</v>
      </c>
      <c r="O266" s="66">
        <v>3</v>
      </c>
      <c r="P266" s="78"/>
      <c r="Q266" s="68">
        <v>3</v>
      </c>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row>
    <row r="267" spans="2:90" s="32" customFormat="1" ht="24.95" customHeight="1">
      <c r="B267" s="51">
        <v>108</v>
      </c>
      <c r="C267" s="51">
        <v>6</v>
      </c>
      <c r="D267" s="67">
        <v>9</v>
      </c>
      <c r="E267" s="55">
        <v>2</v>
      </c>
      <c r="F267" s="54"/>
      <c r="G267" s="66">
        <v>4</v>
      </c>
      <c r="H267" s="66">
        <v>2</v>
      </c>
      <c r="I267" s="66">
        <v>4</v>
      </c>
      <c r="J267" s="66">
        <v>2</v>
      </c>
      <c r="K267" s="66">
        <v>3</v>
      </c>
      <c r="L267" s="66">
        <v>4</v>
      </c>
      <c r="M267" s="66">
        <v>3</v>
      </c>
      <c r="N267" s="66">
        <v>2</v>
      </c>
      <c r="O267" s="66">
        <v>2</v>
      </c>
      <c r="P267" s="78"/>
      <c r="Q267" s="68">
        <v>1</v>
      </c>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row>
    <row r="268" spans="2:90" s="32" customFormat="1" ht="24.95" customHeight="1">
      <c r="B268" s="51">
        <v>109</v>
      </c>
      <c r="C268" s="51">
        <v>6</v>
      </c>
      <c r="D268" s="67">
        <v>9</v>
      </c>
      <c r="E268" s="55">
        <v>9</v>
      </c>
      <c r="F268" s="54"/>
      <c r="G268" s="66">
        <v>5</v>
      </c>
      <c r="H268" s="66">
        <v>5</v>
      </c>
      <c r="I268" s="66">
        <v>3</v>
      </c>
      <c r="J268" s="66">
        <v>3</v>
      </c>
      <c r="K268" s="66">
        <v>5</v>
      </c>
      <c r="L268" s="66">
        <v>2</v>
      </c>
      <c r="M268" s="66">
        <v>5</v>
      </c>
      <c r="N268" s="66">
        <v>2</v>
      </c>
      <c r="O268" s="66">
        <v>5</v>
      </c>
      <c r="P268" s="78"/>
      <c r="Q268" s="68">
        <v>3</v>
      </c>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row>
    <row r="269" spans="2:90" s="32" customFormat="1" ht="24.95" customHeight="1">
      <c r="B269" s="51">
        <v>110</v>
      </c>
      <c r="C269" s="51">
        <v>6</v>
      </c>
      <c r="D269" s="67">
        <v>9</v>
      </c>
      <c r="E269" s="55">
        <v>9</v>
      </c>
      <c r="F269" s="54"/>
      <c r="G269" s="66">
        <v>5</v>
      </c>
      <c r="H269" s="66">
        <v>4</v>
      </c>
      <c r="I269" s="66">
        <v>3</v>
      </c>
      <c r="J269" s="66">
        <v>3</v>
      </c>
      <c r="K269" s="66">
        <v>4</v>
      </c>
      <c r="L269" s="66">
        <v>5</v>
      </c>
      <c r="M269" s="66">
        <v>5</v>
      </c>
      <c r="N269" s="66">
        <v>3</v>
      </c>
      <c r="O269" s="66">
        <v>2</v>
      </c>
      <c r="P269" s="78"/>
      <c r="Q269" s="68">
        <v>3</v>
      </c>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row>
    <row r="270" spans="2:90" s="32" customFormat="1" ht="24.95" customHeight="1">
      <c r="B270" s="51">
        <v>111</v>
      </c>
      <c r="C270" s="51">
        <v>6</v>
      </c>
      <c r="D270" s="67">
        <v>9</v>
      </c>
      <c r="E270" s="55">
        <v>6</v>
      </c>
      <c r="F270" s="54"/>
      <c r="G270" s="66">
        <v>5</v>
      </c>
      <c r="H270" s="66">
        <v>2</v>
      </c>
      <c r="I270" s="66">
        <v>3</v>
      </c>
      <c r="J270" s="66">
        <v>3</v>
      </c>
      <c r="K270" s="66">
        <v>5</v>
      </c>
      <c r="L270" s="66">
        <v>3</v>
      </c>
      <c r="M270" s="66">
        <v>5</v>
      </c>
      <c r="N270" s="66">
        <v>3</v>
      </c>
      <c r="O270" s="66">
        <v>4</v>
      </c>
      <c r="P270" s="78"/>
      <c r="Q270" s="68">
        <v>2</v>
      </c>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row>
    <row r="271" spans="2:90" s="32" customFormat="1" ht="24.95" customHeight="1">
      <c r="B271" s="51">
        <v>112</v>
      </c>
      <c r="C271" s="51">
        <v>6</v>
      </c>
      <c r="D271" s="67">
        <v>9</v>
      </c>
      <c r="E271" s="55">
        <v>9</v>
      </c>
      <c r="F271" s="54"/>
      <c r="G271" s="66">
        <v>5</v>
      </c>
      <c r="H271" s="66">
        <v>5</v>
      </c>
      <c r="I271" s="66">
        <v>4</v>
      </c>
      <c r="J271" s="66">
        <v>4</v>
      </c>
      <c r="K271" s="66">
        <v>3</v>
      </c>
      <c r="L271" s="66">
        <v>4</v>
      </c>
      <c r="M271" s="66">
        <v>4</v>
      </c>
      <c r="N271" s="66">
        <v>5</v>
      </c>
      <c r="O271" s="66">
        <v>3</v>
      </c>
      <c r="P271" s="78"/>
      <c r="Q271" s="68">
        <v>3</v>
      </c>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row>
    <row r="272" spans="2:90" s="32" customFormat="1" ht="24.95" customHeight="1">
      <c r="B272" s="51">
        <v>113</v>
      </c>
      <c r="C272" s="51">
        <v>6</v>
      </c>
      <c r="D272" s="67">
        <v>9</v>
      </c>
      <c r="E272" s="55">
        <v>9</v>
      </c>
      <c r="F272" s="54"/>
      <c r="G272" s="66">
        <v>4</v>
      </c>
      <c r="H272" s="66">
        <v>4</v>
      </c>
      <c r="I272" s="66">
        <v>5</v>
      </c>
      <c r="J272" s="66">
        <v>3</v>
      </c>
      <c r="K272" s="66">
        <v>5</v>
      </c>
      <c r="L272" s="66">
        <v>2</v>
      </c>
      <c r="M272" s="66">
        <v>3</v>
      </c>
      <c r="N272" s="66">
        <v>2</v>
      </c>
      <c r="O272" s="66">
        <v>4</v>
      </c>
      <c r="P272" s="78"/>
      <c r="Q272" s="68">
        <v>3</v>
      </c>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row>
    <row r="273" spans="2:90" s="32" customFormat="1" ht="24.95" customHeight="1">
      <c r="B273" s="51">
        <v>114</v>
      </c>
      <c r="C273" s="51">
        <v>6</v>
      </c>
      <c r="D273" s="67">
        <v>9</v>
      </c>
      <c r="E273" s="55">
        <v>3</v>
      </c>
      <c r="F273" s="54"/>
      <c r="G273" s="66">
        <v>2</v>
      </c>
      <c r="H273" s="66">
        <v>3</v>
      </c>
      <c r="I273" s="66">
        <v>5</v>
      </c>
      <c r="J273" s="66">
        <v>5</v>
      </c>
      <c r="K273" s="66">
        <v>2</v>
      </c>
      <c r="L273" s="66">
        <v>2</v>
      </c>
      <c r="M273" s="66">
        <v>2</v>
      </c>
      <c r="N273" s="66">
        <v>2</v>
      </c>
      <c r="O273" s="66">
        <v>5</v>
      </c>
      <c r="P273" s="78"/>
      <c r="Q273" s="68">
        <v>1</v>
      </c>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row>
    <row r="274" spans="2:90" s="32" customFormat="1" ht="24.95" customHeight="1">
      <c r="B274" s="51">
        <v>115</v>
      </c>
      <c r="C274" s="51">
        <v>6</v>
      </c>
      <c r="D274" s="67">
        <v>9</v>
      </c>
      <c r="E274" s="55">
        <v>9</v>
      </c>
      <c r="F274" s="54"/>
      <c r="G274" s="66">
        <v>3</v>
      </c>
      <c r="H274" s="66">
        <v>5</v>
      </c>
      <c r="I274" s="66">
        <v>2</v>
      </c>
      <c r="J274" s="66">
        <v>2</v>
      </c>
      <c r="K274" s="66">
        <v>5</v>
      </c>
      <c r="L274" s="66">
        <v>3</v>
      </c>
      <c r="M274" s="66">
        <v>2</v>
      </c>
      <c r="N274" s="66">
        <v>4</v>
      </c>
      <c r="O274" s="66">
        <v>4</v>
      </c>
      <c r="P274" s="78"/>
      <c r="Q274" s="68">
        <v>3</v>
      </c>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row>
    <row r="275" spans="2:90" s="32" customFormat="1" ht="24.95" customHeight="1">
      <c r="B275" s="51">
        <v>116</v>
      </c>
      <c r="C275" s="51">
        <v>6</v>
      </c>
      <c r="D275" s="67">
        <v>9</v>
      </c>
      <c r="E275" s="55">
        <v>9</v>
      </c>
      <c r="F275" s="54"/>
      <c r="G275" s="66">
        <v>5</v>
      </c>
      <c r="H275" s="66">
        <v>5</v>
      </c>
      <c r="I275" s="66">
        <v>3</v>
      </c>
      <c r="J275" s="66">
        <v>2</v>
      </c>
      <c r="K275" s="66">
        <v>4</v>
      </c>
      <c r="L275" s="66">
        <v>4</v>
      </c>
      <c r="M275" s="66">
        <v>5</v>
      </c>
      <c r="N275" s="66">
        <v>3</v>
      </c>
      <c r="O275" s="66">
        <v>5</v>
      </c>
      <c r="P275" s="78"/>
      <c r="Q275" s="68">
        <v>3</v>
      </c>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row>
    <row r="276" spans="2:90" s="32" customFormat="1" ht="24.95" customHeight="1">
      <c r="B276" s="51">
        <v>117</v>
      </c>
      <c r="C276" s="51">
        <v>6</v>
      </c>
      <c r="D276" s="67">
        <v>9</v>
      </c>
      <c r="E276" s="55">
        <v>3</v>
      </c>
      <c r="F276" s="54"/>
      <c r="G276" s="66">
        <v>2</v>
      </c>
      <c r="H276" s="66">
        <v>5</v>
      </c>
      <c r="I276" s="66">
        <v>4</v>
      </c>
      <c r="J276" s="66">
        <v>3</v>
      </c>
      <c r="K276" s="66">
        <v>3</v>
      </c>
      <c r="L276" s="66">
        <v>5</v>
      </c>
      <c r="M276" s="66">
        <v>5</v>
      </c>
      <c r="N276" s="66">
        <v>5</v>
      </c>
      <c r="O276" s="66">
        <v>3</v>
      </c>
      <c r="P276" s="78"/>
      <c r="Q276" s="68">
        <v>1</v>
      </c>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row>
    <row r="277" spans="2:90" s="32" customFormat="1" ht="24.95" customHeight="1">
      <c r="B277" s="51">
        <v>118</v>
      </c>
      <c r="C277" s="51">
        <v>6</v>
      </c>
      <c r="D277" s="67">
        <v>9</v>
      </c>
      <c r="E277" s="55">
        <v>6</v>
      </c>
      <c r="F277" s="54"/>
      <c r="G277" s="66">
        <v>5</v>
      </c>
      <c r="H277" s="66">
        <v>2</v>
      </c>
      <c r="I277" s="66">
        <v>3</v>
      </c>
      <c r="J277" s="66">
        <v>5</v>
      </c>
      <c r="K277" s="66">
        <v>3</v>
      </c>
      <c r="L277" s="66">
        <v>2</v>
      </c>
      <c r="M277" s="66">
        <v>5</v>
      </c>
      <c r="N277" s="66">
        <v>4</v>
      </c>
      <c r="O277" s="66">
        <v>3</v>
      </c>
      <c r="P277" s="78"/>
      <c r="Q277" s="68">
        <v>2</v>
      </c>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row>
    <row r="278" spans="2:90" s="32" customFormat="1" ht="24.95" customHeight="1">
      <c r="B278" s="51">
        <v>119</v>
      </c>
      <c r="C278" s="51">
        <v>6</v>
      </c>
      <c r="D278" s="67">
        <v>9</v>
      </c>
      <c r="E278" s="55">
        <v>6</v>
      </c>
      <c r="F278" s="54"/>
      <c r="G278" s="66">
        <v>4</v>
      </c>
      <c r="H278" s="66">
        <v>2</v>
      </c>
      <c r="I278" s="66">
        <v>3</v>
      </c>
      <c r="J278" s="66">
        <v>3</v>
      </c>
      <c r="K278" s="66">
        <v>5</v>
      </c>
      <c r="L278" s="66">
        <v>4</v>
      </c>
      <c r="M278" s="66">
        <v>3</v>
      </c>
      <c r="N278" s="66">
        <v>5</v>
      </c>
      <c r="O278" s="66">
        <v>5</v>
      </c>
      <c r="P278" s="78"/>
      <c r="Q278" s="68">
        <v>2</v>
      </c>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row>
    <row r="279" spans="2:90" s="32" customFormat="1" ht="24.95" customHeight="1">
      <c r="B279" s="51">
        <v>120</v>
      </c>
      <c r="C279" s="51">
        <v>6</v>
      </c>
      <c r="D279" s="67">
        <v>9</v>
      </c>
      <c r="E279" s="55">
        <v>9</v>
      </c>
      <c r="F279" s="54"/>
      <c r="G279" s="66">
        <v>2</v>
      </c>
      <c r="H279" s="66">
        <v>5</v>
      </c>
      <c r="I279" s="66">
        <v>3</v>
      </c>
      <c r="J279" s="66">
        <v>3</v>
      </c>
      <c r="K279" s="66">
        <v>4</v>
      </c>
      <c r="L279" s="66">
        <v>2</v>
      </c>
      <c r="M279" s="66">
        <v>3</v>
      </c>
      <c r="N279" s="66">
        <v>3</v>
      </c>
      <c r="O279" s="66">
        <v>5</v>
      </c>
      <c r="P279" s="78"/>
      <c r="Q279" s="68">
        <v>3</v>
      </c>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row>
    <row r="280" spans="2:90" s="32" customFormat="1" ht="15.75" thickBot="1">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row>
    <row r="281" spans="2:90" s="32" customFormat="1" ht="22.5" customHeight="1" thickBot="1">
      <c r="B281" s="57" t="s">
        <v>51</v>
      </c>
      <c r="C281" s="79" t="s">
        <v>52</v>
      </c>
      <c r="D281" s="59"/>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row>
    <row r="282" spans="2:90" s="32" customFormat="1" ht="15" customHeight="1">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row>
    <row r="283" spans="2:90" s="32" customFormat="1" ht="15" customHeight="1">
      <c r="B283" s="60" t="s">
        <v>137</v>
      </c>
      <c r="C283" s="71"/>
      <c r="D283" s="16"/>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row>
    <row r="284" spans="2:90" s="32" customFormat="1" ht="15" customHeight="1">
      <c r="B284" s="62" t="s">
        <v>138</v>
      </c>
      <c r="C284" s="71"/>
      <c r="D284" s="16"/>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row>
    <row r="285" spans="2:90" s="32" customFormat="1" ht="15" customHeight="1">
      <c r="B285" s="62" t="s">
        <v>139</v>
      </c>
      <c r="C285" s="71"/>
      <c r="D285" s="16"/>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row>
    <row r="286" spans="2:90" s="32" customFormat="1" ht="15" customHeight="1">
      <c r="B286" s="62"/>
      <c r="C286" s="71"/>
      <c r="D286" s="16"/>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row>
    <row r="287" spans="2:90" s="32" customFormat="1" ht="15" customHeight="1">
      <c r="B287" s="60" t="s">
        <v>140</v>
      </c>
      <c r="C287" s="71"/>
      <c r="D287" s="16"/>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row>
    <row r="288" spans="2:90" s="32" customFormat="1" ht="15" customHeight="1">
      <c r="B288" s="62" t="s">
        <v>142</v>
      </c>
      <c r="C288" s="71"/>
      <c r="D288" s="16"/>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row>
    <row r="289" spans="2:141" s="32" customFormat="1" ht="15" customHeight="1">
      <c r="B289" s="76" t="s">
        <v>141</v>
      </c>
      <c r="C289" s="71"/>
      <c r="D289" s="16"/>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row>
    <row r="290" spans="2:141" s="32" customFormat="1" ht="15" customHeight="1">
      <c r="B290" s="62" t="s">
        <v>143</v>
      </c>
      <c r="C290" s="71"/>
      <c r="D290" s="16"/>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row>
    <row r="291" spans="2:141" s="32" customFormat="1" ht="15" customHeight="1">
      <c r="B291" s="62" t="s">
        <v>144</v>
      </c>
      <c r="C291" s="71"/>
      <c r="D291" s="16"/>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row>
    <row r="292" spans="2:141" s="32" customFormat="1" ht="15" customHeight="1">
      <c r="C292" s="62"/>
      <c r="D292" s="16"/>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row>
    <row r="293" spans="2:141" s="83" customFormat="1" ht="15" customHeight="1">
      <c r="B293" s="63" t="s">
        <v>34</v>
      </c>
      <c r="C293" s="80"/>
      <c r="D293" s="81"/>
      <c r="E293" s="82"/>
      <c r="F293" s="82"/>
      <c r="G293" s="82"/>
    </row>
    <row r="294" spans="2:141" s="32" customFormat="1" ht="15" customHeight="1">
      <c r="B294" s="61" t="s">
        <v>123</v>
      </c>
      <c r="D294" s="50"/>
      <c r="E294" s="33"/>
      <c r="F294" s="33"/>
      <c r="G294" s="33"/>
      <c r="K294" s="8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row>
    <row r="295" spans="2:141" s="32" customFormat="1" ht="15" customHeight="1">
      <c r="B295" s="61" t="s">
        <v>124</v>
      </c>
      <c r="D295" s="50"/>
      <c r="E295" s="33"/>
      <c r="F295" s="33"/>
      <c r="G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row>
    <row r="296" spans="2:141" s="32" customFormat="1" ht="15" customHeight="1" thickBot="1">
      <c r="B296" s="61" t="s">
        <v>125</v>
      </c>
      <c r="D296" s="50"/>
      <c r="E296" s="33"/>
      <c r="F296" s="33"/>
      <c r="G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row>
    <row r="297" spans="2:141" s="50" customFormat="1" ht="22.5" customHeight="1" thickBot="1">
      <c r="B297" s="16"/>
      <c r="C297" s="16"/>
      <c r="D297" s="16"/>
      <c r="E297" s="16"/>
      <c r="F297" s="16"/>
      <c r="G297" s="110" t="s">
        <v>90</v>
      </c>
      <c r="H297" s="111"/>
      <c r="I297" s="111"/>
      <c r="J297" s="111"/>
      <c r="K297" s="111"/>
      <c r="L297" s="111"/>
      <c r="M297" s="111"/>
      <c r="N297" s="111"/>
      <c r="O297" s="112"/>
      <c r="Q297" s="33"/>
      <c r="R297" s="33"/>
      <c r="S297" s="33"/>
      <c r="T297" s="33"/>
      <c r="U297" s="33"/>
      <c r="V297" s="33"/>
      <c r="W297" s="33"/>
      <c r="X297" s="33"/>
      <c r="Y297" s="33"/>
      <c r="Z297" s="33"/>
      <c r="AA297" s="33"/>
      <c r="AB297" s="33"/>
      <c r="AC297" s="33"/>
      <c r="AD297" s="33"/>
      <c r="AE297" s="33"/>
      <c r="AF297" s="33"/>
      <c r="AG297" s="33"/>
      <c r="AH297" s="33"/>
    </row>
    <row r="298" spans="2:141" s="50" customFormat="1" ht="22.5" customHeight="1" thickBot="1">
      <c r="B298" s="47" t="s">
        <v>8</v>
      </c>
      <c r="C298" s="48" t="s">
        <v>9</v>
      </c>
      <c r="D298" s="47" t="s">
        <v>10</v>
      </c>
      <c r="E298" s="64" t="s">
        <v>11</v>
      </c>
      <c r="F298" s="16"/>
      <c r="G298" s="47" t="s">
        <v>12</v>
      </c>
      <c r="H298" s="47" t="s">
        <v>13</v>
      </c>
      <c r="I298" s="47" t="s">
        <v>14</v>
      </c>
      <c r="J298" s="47" t="s">
        <v>15</v>
      </c>
      <c r="K298" s="47" t="s">
        <v>16</v>
      </c>
      <c r="L298" s="47" t="s">
        <v>17</v>
      </c>
      <c r="M298" s="47" t="s">
        <v>18</v>
      </c>
      <c r="N298" s="47" t="s">
        <v>19</v>
      </c>
      <c r="O298" s="47" t="s">
        <v>20</v>
      </c>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32"/>
      <c r="CK298" s="32"/>
      <c r="CL298" s="32"/>
      <c r="CM298" s="32"/>
      <c r="CN298" s="32"/>
      <c r="CO298" s="32"/>
      <c r="CP298" s="32"/>
      <c r="CQ298" s="32"/>
      <c r="CR298" s="32"/>
      <c r="CS298" s="32"/>
      <c r="CT298" s="32"/>
      <c r="CU298" s="32"/>
      <c r="CV298" s="32"/>
      <c r="CW298" s="32"/>
      <c r="CX298" s="32"/>
      <c r="CY298" s="32"/>
      <c r="CZ298" s="32"/>
      <c r="DA298" s="32"/>
      <c r="DB298" s="32"/>
      <c r="DC298" s="32"/>
      <c r="DD298" s="32"/>
      <c r="DE298" s="32"/>
      <c r="DF298" s="32"/>
      <c r="DG298" s="32"/>
      <c r="DH298" s="32"/>
      <c r="DI298" s="32"/>
      <c r="DJ298" s="32"/>
      <c r="DK298" s="32"/>
      <c r="DL298" s="32"/>
      <c r="DM298" s="32"/>
      <c r="DN298" s="32"/>
      <c r="DO298" s="32"/>
      <c r="DP298" s="32"/>
      <c r="DQ298" s="32"/>
      <c r="DR298" s="32"/>
      <c r="DS298" s="32"/>
      <c r="DT298" s="32"/>
      <c r="DU298" s="32"/>
      <c r="DV298" s="32"/>
      <c r="DW298" s="32"/>
      <c r="DX298" s="32"/>
      <c r="DY298" s="32"/>
      <c r="DZ298" s="32"/>
      <c r="EA298" s="32"/>
      <c r="EB298" s="32"/>
      <c r="EC298" s="32"/>
      <c r="ED298" s="32"/>
      <c r="EE298" s="32"/>
      <c r="EF298" s="32"/>
      <c r="EG298" s="32"/>
      <c r="EH298" s="32"/>
      <c r="EI298" s="32"/>
      <c r="EJ298" s="32"/>
      <c r="EK298" s="32"/>
    </row>
    <row r="299" spans="2:141" s="32" customFormat="1" ht="15" customHeight="1">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row>
    <row r="300" spans="2:141" s="32" customFormat="1" ht="24.95" customHeight="1">
      <c r="B300" s="65" t="s">
        <v>53</v>
      </c>
      <c r="C300" s="51">
        <v>7</v>
      </c>
      <c r="D300" s="52">
        <v>0</v>
      </c>
      <c r="E300" s="55">
        <v>80</v>
      </c>
      <c r="F300" s="54"/>
      <c r="G300" s="66">
        <v>3</v>
      </c>
      <c r="H300" s="66">
        <v>5</v>
      </c>
      <c r="I300" s="66">
        <v>3</v>
      </c>
      <c r="J300" s="66">
        <v>4</v>
      </c>
      <c r="K300" s="66">
        <v>3</v>
      </c>
      <c r="L300" s="66">
        <v>3</v>
      </c>
      <c r="M300" s="66">
        <v>2</v>
      </c>
      <c r="N300" s="66">
        <v>3</v>
      </c>
      <c r="O300" s="66">
        <v>3</v>
      </c>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row>
    <row r="301" spans="2:141">
      <c r="K301" s="32"/>
      <c r="L301" s="32"/>
      <c r="M301" s="32"/>
      <c r="N301" s="32"/>
      <c r="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2"/>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c r="EF301" s="32"/>
      <c r="EG301" s="32"/>
      <c r="EH301" s="32"/>
      <c r="EI301" s="32"/>
      <c r="EJ301" s="32"/>
      <c r="EK301" s="32"/>
    </row>
    <row r="302" spans="2:141" s="32" customFormat="1" ht="24.95" customHeight="1">
      <c r="B302" s="51">
        <v>121</v>
      </c>
      <c r="C302" s="51">
        <v>7</v>
      </c>
      <c r="D302" s="67">
        <v>11</v>
      </c>
      <c r="E302" s="55">
        <v>95</v>
      </c>
      <c r="F302" s="54"/>
      <c r="G302" s="68">
        <v>4</v>
      </c>
      <c r="H302" s="68">
        <v>4</v>
      </c>
      <c r="I302" s="68">
        <v>2</v>
      </c>
      <c r="J302" s="68">
        <v>5</v>
      </c>
      <c r="K302" s="68">
        <v>2</v>
      </c>
      <c r="L302" s="68">
        <v>4</v>
      </c>
      <c r="M302" s="68">
        <v>5</v>
      </c>
      <c r="N302" s="68">
        <v>5</v>
      </c>
      <c r="O302" s="68">
        <v>4</v>
      </c>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row>
    <row r="303" spans="2:141" s="32" customFormat="1" ht="24.95" customHeight="1">
      <c r="B303" s="51">
        <v>122</v>
      </c>
      <c r="C303" s="51">
        <v>7</v>
      </c>
      <c r="D303" s="67">
        <v>11</v>
      </c>
      <c r="E303" s="55">
        <v>89</v>
      </c>
      <c r="F303" s="54"/>
      <c r="G303" s="66">
        <v>2</v>
      </c>
      <c r="H303" s="66">
        <v>5</v>
      </c>
      <c r="I303" s="66">
        <v>2</v>
      </c>
      <c r="J303" s="66">
        <v>3</v>
      </c>
      <c r="K303" s="66">
        <v>2</v>
      </c>
      <c r="L303" s="66">
        <v>2</v>
      </c>
      <c r="M303" s="66">
        <v>2</v>
      </c>
      <c r="N303" s="66">
        <v>3</v>
      </c>
      <c r="O303" s="66">
        <v>5</v>
      </c>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row>
    <row r="304" spans="2:141" s="32" customFormat="1" ht="24.95" customHeight="1">
      <c r="B304" s="51">
        <v>123</v>
      </c>
      <c r="C304" s="51">
        <v>7</v>
      </c>
      <c r="D304" s="67">
        <v>11</v>
      </c>
      <c r="E304" s="55">
        <v>82</v>
      </c>
      <c r="F304" s="54"/>
      <c r="G304" s="66">
        <v>3</v>
      </c>
      <c r="H304" s="66">
        <v>4</v>
      </c>
      <c r="I304" s="66">
        <v>2</v>
      </c>
      <c r="J304" s="66">
        <v>3</v>
      </c>
      <c r="K304" s="66">
        <v>2</v>
      </c>
      <c r="L304" s="66">
        <v>5</v>
      </c>
      <c r="M304" s="66">
        <v>2</v>
      </c>
      <c r="N304" s="66">
        <v>3</v>
      </c>
      <c r="O304" s="66">
        <v>4</v>
      </c>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row>
    <row r="305" spans="2:41" s="32" customFormat="1" ht="24.95" customHeight="1">
      <c r="B305" s="51">
        <v>124</v>
      </c>
      <c r="C305" s="51">
        <v>7</v>
      </c>
      <c r="D305" s="67">
        <v>11</v>
      </c>
      <c r="E305" s="55">
        <v>82</v>
      </c>
      <c r="F305" s="54"/>
      <c r="G305" s="66">
        <v>2</v>
      </c>
      <c r="H305" s="66">
        <v>4</v>
      </c>
      <c r="I305" s="66">
        <v>4</v>
      </c>
      <c r="J305" s="66">
        <v>2</v>
      </c>
      <c r="K305" s="66">
        <v>5</v>
      </c>
      <c r="L305" s="66">
        <v>4</v>
      </c>
      <c r="M305" s="66">
        <v>4</v>
      </c>
      <c r="N305" s="66">
        <v>4</v>
      </c>
      <c r="O305" s="66">
        <v>2</v>
      </c>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row>
    <row r="306" spans="2:41" s="32" customFormat="1" ht="24.95" customHeight="1">
      <c r="B306" s="51">
        <v>125</v>
      </c>
      <c r="C306" s="51">
        <v>7</v>
      </c>
      <c r="D306" s="67">
        <v>11</v>
      </c>
      <c r="E306" s="55">
        <v>95</v>
      </c>
      <c r="F306" s="54"/>
      <c r="G306" s="66">
        <v>4</v>
      </c>
      <c r="H306" s="66">
        <v>5</v>
      </c>
      <c r="I306" s="66">
        <v>3</v>
      </c>
      <c r="J306" s="66">
        <v>3</v>
      </c>
      <c r="K306" s="66">
        <v>5</v>
      </c>
      <c r="L306" s="66">
        <v>3</v>
      </c>
      <c r="M306" s="66">
        <v>5</v>
      </c>
      <c r="N306" s="66">
        <v>2</v>
      </c>
      <c r="O306" s="66">
        <v>5</v>
      </c>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row>
    <row r="307" spans="2:41" s="32" customFormat="1" ht="24.95" customHeight="1">
      <c r="B307" s="51">
        <v>126</v>
      </c>
      <c r="C307" s="51">
        <v>7</v>
      </c>
      <c r="D307" s="67">
        <v>11</v>
      </c>
      <c r="E307" s="55">
        <v>60</v>
      </c>
      <c r="F307" s="54"/>
      <c r="G307" s="66">
        <v>2</v>
      </c>
      <c r="H307" s="66">
        <v>4</v>
      </c>
      <c r="I307" s="66">
        <v>2</v>
      </c>
      <c r="J307" s="66">
        <v>3</v>
      </c>
      <c r="K307" s="66">
        <v>2</v>
      </c>
      <c r="L307" s="66">
        <v>4</v>
      </c>
      <c r="M307" s="66">
        <v>3</v>
      </c>
      <c r="N307" s="66">
        <v>3</v>
      </c>
      <c r="O307" s="66">
        <v>2</v>
      </c>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row>
    <row r="308" spans="2:41" s="32" customFormat="1" ht="24.95" customHeight="1">
      <c r="B308" s="51">
        <v>127</v>
      </c>
      <c r="C308" s="51">
        <v>7</v>
      </c>
      <c r="D308" s="67">
        <v>11</v>
      </c>
      <c r="E308" s="55">
        <v>92</v>
      </c>
      <c r="F308" s="54"/>
      <c r="G308" s="66">
        <v>3</v>
      </c>
      <c r="H308" s="66">
        <v>2</v>
      </c>
      <c r="I308" s="66">
        <v>4</v>
      </c>
      <c r="J308" s="66">
        <v>2</v>
      </c>
      <c r="K308" s="66">
        <v>5</v>
      </c>
      <c r="L308" s="66">
        <v>4</v>
      </c>
      <c r="M308" s="66">
        <v>2</v>
      </c>
      <c r="N308" s="66">
        <v>3</v>
      </c>
      <c r="O308" s="66">
        <v>5</v>
      </c>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row>
    <row r="309" spans="2:41" s="32" customFormat="1" ht="24.95" customHeight="1">
      <c r="B309" s="51">
        <v>128</v>
      </c>
      <c r="C309" s="51">
        <v>7</v>
      </c>
      <c r="D309" s="67">
        <v>11</v>
      </c>
      <c r="E309" s="55">
        <v>95</v>
      </c>
      <c r="F309" s="54"/>
      <c r="G309" s="66">
        <v>3</v>
      </c>
      <c r="H309" s="66">
        <v>2</v>
      </c>
      <c r="I309" s="66">
        <v>5</v>
      </c>
      <c r="J309" s="66">
        <v>3</v>
      </c>
      <c r="K309" s="66">
        <v>5</v>
      </c>
      <c r="L309" s="66">
        <v>2</v>
      </c>
      <c r="M309" s="66">
        <v>4</v>
      </c>
      <c r="N309" s="66">
        <v>5</v>
      </c>
      <c r="O309" s="66">
        <v>3</v>
      </c>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row>
    <row r="310" spans="2:41" s="32" customFormat="1" ht="24.95" customHeight="1">
      <c r="B310" s="51">
        <v>129</v>
      </c>
      <c r="C310" s="51">
        <v>7</v>
      </c>
      <c r="D310" s="67">
        <v>11</v>
      </c>
      <c r="E310" s="55">
        <v>95</v>
      </c>
      <c r="F310" s="54"/>
      <c r="G310" s="66">
        <v>5</v>
      </c>
      <c r="H310" s="66">
        <v>5</v>
      </c>
      <c r="I310" s="66">
        <v>3</v>
      </c>
      <c r="J310" s="66">
        <v>4</v>
      </c>
      <c r="K310" s="66">
        <v>2</v>
      </c>
      <c r="L310" s="66">
        <v>4</v>
      </c>
      <c r="M310" s="66">
        <v>5</v>
      </c>
      <c r="N310" s="66">
        <v>4</v>
      </c>
      <c r="O310" s="66">
        <v>2</v>
      </c>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row>
    <row r="311" spans="2:41" s="32" customFormat="1" ht="24.95" customHeight="1">
      <c r="B311" s="51">
        <v>130</v>
      </c>
      <c r="C311" s="51">
        <v>7</v>
      </c>
      <c r="D311" s="67">
        <v>11</v>
      </c>
      <c r="E311" s="55">
        <v>95</v>
      </c>
      <c r="F311" s="54"/>
      <c r="G311" s="66">
        <v>5</v>
      </c>
      <c r="H311" s="66">
        <v>2</v>
      </c>
      <c r="I311" s="66">
        <v>3</v>
      </c>
      <c r="J311" s="66">
        <v>5</v>
      </c>
      <c r="K311" s="66">
        <v>3</v>
      </c>
      <c r="L311" s="66">
        <v>4</v>
      </c>
      <c r="M311" s="66">
        <v>5</v>
      </c>
      <c r="N311" s="66">
        <v>4</v>
      </c>
      <c r="O311" s="66">
        <v>2</v>
      </c>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row>
    <row r="312" spans="2:41" s="32" customFormat="1" ht="24.95" customHeight="1">
      <c r="B312" s="51">
        <v>131</v>
      </c>
      <c r="C312" s="51">
        <v>7</v>
      </c>
      <c r="D312" s="67">
        <v>11</v>
      </c>
      <c r="E312" s="55">
        <v>95</v>
      </c>
      <c r="F312" s="54"/>
      <c r="G312" s="66">
        <v>4</v>
      </c>
      <c r="H312" s="66">
        <v>4</v>
      </c>
      <c r="I312" s="66">
        <v>5</v>
      </c>
      <c r="J312" s="66">
        <v>2</v>
      </c>
      <c r="K312" s="66">
        <v>4</v>
      </c>
      <c r="L312" s="66">
        <v>5</v>
      </c>
      <c r="M312" s="66">
        <v>5</v>
      </c>
      <c r="N312" s="66">
        <v>3</v>
      </c>
      <c r="O312" s="66">
        <v>5</v>
      </c>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row>
    <row r="313" spans="2:41" s="32" customFormat="1" ht="24.95" customHeight="1">
      <c r="B313" s="51">
        <v>132</v>
      </c>
      <c r="C313" s="51">
        <v>7</v>
      </c>
      <c r="D313" s="67">
        <v>11</v>
      </c>
      <c r="E313" s="55">
        <v>95</v>
      </c>
      <c r="F313" s="54"/>
      <c r="G313" s="66">
        <v>5</v>
      </c>
      <c r="H313" s="66">
        <v>5</v>
      </c>
      <c r="I313" s="66">
        <v>2</v>
      </c>
      <c r="J313" s="66">
        <v>3</v>
      </c>
      <c r="K313" s="66">
        <v>4</v>
      </c>
      <c r="L313" s="66">
        <v>5</v>
      </c>
      <c r="M313" s="66">
        <v>4</v>
      </c>
      <c r="N313" s="66">
        <v>5</v>
      </c>
      <c r="O313" s="66">
        <v>2</v>
      </c>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row>
    <row r="314" spans="2:41" s="32" customFormat="1" ht="24.95" customHeight="1">
      <c r="B314" s="51">
        <v>133</v>
      </c>
      <c r="C314" s="51">
        <v>7</v>
      </c>
      <c r="D314" s="67">
        <v>11</v>
      </c>
      <c r="E314" s="55">
        <v>92</v>
      </c>
      <c r="F314" s="54"/>
      <c r="G314" s="66">
        <v>2</v>
      </c>
      <c r="H314" s="66">
        <v>3</v>
      </c>
      <c r="I314" s="66">
        <v>5</v>
      </c>
      <c r="J314" s="66">
        <v>2</v>
      </c>
      <c r="K314" s="66">
        <v>5</v>
      </c>
      <c r="L314" s="66">
        <v>4</v>
      </c>
      <c r="M314" s="66">
        <v>3</v>
      </c>
      <c r="N314" s="66">
        <v>2</v>
      </c>
      <c r="O314" s="66">
        <v>2</v>
      </c>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row>
    <row r="315" spans="2:41" s="32" customFormat="1" ht="24.95" customHeight="1">
      <c r="B315" s="51">
        <v>134</v>
      </c>
      <c r="C315" s="51">
        <v>7</v>
      </c>
      <c r="D315" s="67">
        <v>11</v>
      </c>
      <c r="E315" s="55">
        <v>95</v>
      </c>
      <c r="F315" s="54"/>
      <c r="G315" s="66">
        <v>5</v>
      </c>
      <c r="H315" s="66">
        <v>2</v>
      </c>
      <c r="I315" s="66">
        <v>4</v>
      </c>
      <c r="J315" s="66">
        <v>2</v>
      </c>
      <c r="K315" s="66">
        <v>5</v>
      </c>
      <c r="L315" s="66">
        <v>3</v>
      </c>
      <c r="M315" s="66">
        <v>4</v>
      </c>
      <c r="N315" s="66">
        <v>5</v>
      </c>
      <c r="O315" s="66">
        <v>4</v>
      </c>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row>
    <row r="316" spans="2:41" s="32" customFormat="1" ht="24.95" customHeight="1">
      <c r="B316" s="51">
        <v>135</v>
      </c>
      <c r="C316" s="51">
        <v>7</v>
      </c>
      <c r="D316" s="67">
        <v>11</v>
      </c>
      <c r="E316" s="55">
        <v>95</v>
      </c>
      <c r="F316" s="54"/>
      <c r="G316" s="66">
        <v>4</v>
      </c>
      <c r="H316" s="66">
        <v>2</v>
      </c>
      <c r="I316" s="66">
        <v>5</v>
      </c>
      <c r="J316" s="66">
        <v>5</v>
      </c>
      <c r="K316" s="66">
        <v>3</v>
      </c>
      <c r="L316" s="66">
        <v>2</v>
      </c>
      <c r="M316" s="66">
        <v>2</v>
      </c>
      <c r="N316" s="66">
        <v>5</v>
      </c>
      <c r="O316" s="66">
        <v>2</v>
      </c>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row>
    <row r="317" spans="2:41" s="32" customFormat="1" ht="24.95" customHeight="1">
      <c r="B317" s="51">
        <v>136</v>
      </c>
      <c r="C317" s="51">
        <v>7</v>
      </c>
      <c r="D317" s="67">
        <v>11</v>
      </c>
      <c r="E317" s="55">
        <v>82</v>
      </c>
      <c r="F317" s="54"/>
      <c r="G317" s="66">
        <v>4</v>
      </c>
      <c r="H317" s="66">
        <v>3</v>
      </c>
      <c r="I317" s="66">
        <v>4</v>
      </c>
      <c r="J317" s="66">
        <v>3</v>
      </c>
      <c r="K317" s="66">
        <v>2</v>
      </c>
      <c r="L317" s="66">
        <v>3</v>
      </c>
      <c r="M317" s="66">
        <v>5</v>
      </c>
      <c r="N317" s="66">
        <v>4</v>
      </c>
      <c r="O317" s="66">
        <v>3</v>
      </c>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row>
    <row r="318" spans="2:41" s="32" customFormat="1" ht="24.95" customHeight="1">
      <c r="B318" s="51">
        <v>137</v>
      </c>
      <c r="C318" s="51">
        <v>7</v>
      </c>
      <c r="D318" s="67">
        <v>11</v>
      </c>
      <c r="E318" s="55">
        <v>95</v>
      </c>
      <c r="F318" s="54"/>
      <c r="G318" s="66">
        <v>5</v>
      </c>
      <c r="H318" s="66">
        <v>5</v>
      </c>
      <c r="I318" s="66">
        <v>2</v>
      </c>
      <c r="J318" s="66">
        <v>4</v>
      </c>
      <c r="K318" s="66">
        <v>3</v>
      </c>
      <c r="L318" s="66">
        <v>4</v>
      </c>
      <c r="M318" s="66">
        <v>5</v>
      </c>
      <c r="N318" s="66">
        <v>2</v>
      </c>
      <c r="O318" s="66">
        <v>3</v>
      </c>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row>
    <row r="319" spans="2:41" s="32" customFormat="1" ht="24.95" customHeight="1">
      <c r="B319" s="51">
        <v>138</v>
      </c>
      <c r="C319" s="51">
        <v>7</v>
      </c>
      <c r="D319" s="67">
        <v>11</v>
      </c>
      <c r="E319" s="55">
        <v>92</v>
      </c>
      <c r="F319" s="54"/>
      <c r="G319" s="66">
        <v>3</v>
      </c>
      <c r="H319" s="66">
        <v>3</v>
      </c>
      <c r="I319" s="66">
        <v>2</v>
      </c>
      <c r="J319" s="66">
        <v>5</v>
      </c>
      <c r="K319" s="66">
        <v>4</v>
      </c>
      <c r="L319" s="66">
        <v>4</v>
      </c>
      <c r="M319" s="66">
        <v>5</v>
      </c>
      <c r="N319" s="66">
        <v>2</v>
      </c>
      <c r="O319" s="66">
        <v>4</v>
      </c>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row>
    <row r="320" spans="2:41" s="32" customFormat="1" ht="24.95" customHeight="1">
      <c r="B320" s="51">
        <v>139</v>
      </c>
      <c r="C320" s="51">
        <v>7</v>
      </c>
      <c r="D320" s="67">
        <v>11</v>
      </c>
      <c r="E320" s="55">
        <v>92</v>
      </c>
      <c r="F320" s="54"/>
      <c r="G320" s="66">
        <v>5</v>
      </c>
      <c r="H320" s="66">
        <v>2</v>
      </c>
      <c r="I320" s="66">
        <v>4</v>
      </c>
      <c r="J320" s="66">
        <v>2</v>
      </c>
      <c r="K320" s="66">
        <v>3</v>
      </c>
      <c r="L320" s="66">
        <v>3</v>
      </c>
      <c r="M320" s="66">
        <v>2</v>
      </c>
      <c r="N320" s="66">
        <v>4</v>
      </c>
      <c r="O320" s="66">
        <v>5</v>
      </c>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row>
    <row r="321" spans="2:141" s="32" customFormat="1" ht="24.95" customHeight="1">
      <c r="B321" s="51">
        <v>140</v>
      </c>
      <c r="C321" s="51">
        <v>7</v>
      </c>
      <c r="D321" s="67">
        <v>11</v>
      </c>
      <c r="E321" s="55">
        <v>95</v>
      </c>
      <c r="F321" s="54"/>
      <c r="G321" s="66">
        <v>2</v>
      </c>
      <c r="H321" s="66">
        <v>5</v>
      </c>
      <c r="I321" s="66">
        <v>5</v>
      </c>
      <c r="J321" s="66">
        <v>4</v>
      </c>
      <c r="K321" s="66">
        <v>4</v>
      </c>
      <c r="L321" s="66">
        <v>2</v>
      </c>
      <c r="M321" s="66">
        <v>5</v>
      </c>
      <c r="N321" s="66">
        <v>2</v>
      </c>
      <c r="O321" s="66">
        <v>4</v>
      </c>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row>
    <row r="322" spans="2:141">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c r="BR322" s="32"/>
      <c r="BS322" s="32"/>
      <c r="BT322" s="32"/>
      <c r="BU322" s="32"/>
      <c r="BV322" s="32"/>
      <c r="BW322" s="32"/>
      <c r="BX322" s="32"/>
      <c r="BY322" s="32"/>
      <c r="BZ322" s="32"/>
      <c r="CA322" s="32"/>
      <c r="CB322" s="32"/>
      <c r="CC322" s="32"/>
      <c r="CD322" s="32"/>
      <c r="CE322" s="32"/>
      <c r="CF322" s="32"/>
      <c r="CG322" s="32"/>
      <c r="CH322" s="32"/>
      <c r="CI322" s="32"/>
      <c r="CJ322" s="32"/>
      <c r="CK322" s="32"/>
      <c r="CL322" s="32"/>
      <c r="CM322" s="32"/>
      <c r="CN322" s="32"/>
      <c r="CO322" s="32"/>
      <c r="CP322" s="32"/>
      <c r="CQ322" s="32"/>
      <c r="CR322" s="32"/>
      <c r="CS322" s="32"/>
      <c r="CT322" s="32"/>
      <c r="CU322" s="32"/>
      <c r="CV322" s="32"/>
      <c r="CW322" s="32"/>
      <c r="CX322" s="32"/>
      <c r="CY322" s="32"/>
      <c r="CZ322" s="32"/>
      <c r="DA322" s="32"/>
      <c r="DB322" s="32"/>
      <c r="DC322" s="32"/>
      <c r="DD322" s="32"/>
      <c r="DE322" s="32"/>
      <c r="DF322" s="32"/>
      <c r="DG322" s="32"/>
      <c r="DH322" s="32"/>
      <c r="DI322" s="32"/>
      <c r="DJ322" s="32"/>
      <c r="DK322" s="32"/>
      <c r="DL322" s="32"/>
      <c r="DM322" s="32"/>
      <c r="DN322" s="32"/>
      <c r="DO322" s="32"/>
      <c r="DP322" s="32"/>
      <c r="DQ322" s="32"/>
      <c r="DR322" s="32"/>
      <c r="DS322" s="32"/>
      <c r="DT322" s="32"/>
      <c r="DU322" s="32"/>
      <c r="DV322" s="32"/>
      <c r="DW322" s="32"/>
      <c r="DX322" s="32"/>
      <c r="DY322" s="32"/>
      <c r="DZ322" s="32"/>
      <c r="EA322" s="32"/>
      <c r="EB322" s="32"/>
      <c r="EC322" s="32"/>
      <c r="ED322" s="32"/>
      <c r="EE322" s="32"/>
      <c r="EF322" s="32"/>
      <c r="EG322" s="32"/>
      <c r="EH322" s="32"/>
      <c r="EI322" s="32"/>
      <c r="EJ322" s="32"/>
      <c r="EK322" s="32"/>
    </row>
    <row r="323" spans="2:141">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c r="BO323" s="32"/>
      <c r="BP323" s="32"/>
      <c r="BQ323" s="32"/>
      <c r="BR323" s="32"/>
      <c r="BS323" s="32"/>
      <c r="BT323" s="32"/>
      <c r="BU323" s="32"/>
      <c r="BV323" s="32"/>
      <c r="BW323" s="32"/>
      <c r="BX323" s="32"/>
      <c r="BY323" s="32"/>
      <c r="BZ323" s="32"/>
      <c r="CA323" s="32"/>
      <c r="CB323" s="32"/>
      <c r="CC323" s="32"/>
      <c r="CD323" s="32"/>
      <c r="CE323" s="32"/>
      <c r="CF323" s="32"/>
      <c r="CG323" s="32"/>
      <c r="CH323" s="32"/>
      <c r="CI323" s="32"/>
      <c r="CJ323" s="32"/>
      <c r="CK323" s="32"/>
      <c r="CL323" s="32"/>
      <c r="CM323" s="32"/>
      <c r="CN323" s="32"/>
      <c r="CO323" s="32"/>
      <c r="CP323" s="32"/>
      <c r="CQ323" s="32"/>
      <c r="CR323" s="32"/>
      <c r="CS323" s="32"/>
      <c r="CT323" s="32"/>
      <c r="CU323" s="32"/>
      <c r="CV323" s="32"/>
      <c r="CW323" s="32"/>
      <c r="CX323" s="32"/>
      <c r="CY323" s="32"/>
      <c r="CZ323" s="32"/>
      <c r="DA323" s="32"/>
      <c r="DB323" s="32"/>
      <c r="DC323" s="32"/>
      <c r="DD323" s="32"/>
      <c r="DE323" s="32"/>
      <c r="DF323" s="32"/>
      <c r="DG323" s="32"/>
      <c r="DH323" s="32"/>
      <c r="DI323" s="32"/>
      <c r="DJ323" s="32"/>
      <c r="DK323" s="32"/>
      <c r="DL323" s="32"/>
      <c r="DM323" s="32"/>
      <c r="DN323" s="32"/>
      <c r="DO323" s="32"/>
      <c r="DP323" s="32"/>
      <c r="DQ323" s="32"/>
      <c r="DR323" s="32"/>
      <c r="DS323" s="32"/>
      <c r="DT323" s="32"/>
      <c r="DU323" s="32"/>
      <c r="DV323" s="32"/>
      <c r="DW323" s="32"/>
      <c r="DX323" s="32"/>
      <c r="DY323" s="32"/>
      <c r="DZ323" s="32"/>
      <c r="EA323" s="32"/>
      <c r="EB323" s="32"/>
      <c r="EC323" s="32"/>
      <c r="ED323" s="32"/>
      <c r="EE323" s="32"/>
      <c r="EF323" s="32"/>
      <c r="EG323" s="32"/>
      <c r="EH323" s="32"/>
      <c r="EI323" s="32"/>
      <c r="EJ323" s="32"/>
      <c r="EK323" s="32"/>
    </row>
    <row r="324" spans="2:141">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c r="BR324" s="32"/>
      <c r="BS324" s="32"/>
      <c r="BT324" s="32"/>
      <c r="BU324" s="32"/>
      <c r="BV324" s="32"/>
      <c r="BW324" s="32"/>
      <c r="BX324" s="32"/>
      <c r="BY324" s="32"/>
      <c r="BZ324" s="32"/>
      <c r="CA324" s="32"/>
      <c r="CB324" s="32"/>
      <c r="CC324" s="32"/>
      <c r="CD324" s="32"/>
      <c r="CE324" s="32"/>
      <c r="CF324" s="32"/>
      <c r="CG324" s="32"/>
      <c r="CH324" s="32"/>
      <c r="CI324" s="32"/>
      <c r="CJ324" s="32"/>
      <c r="CK324" s="32"/>
      <c r="CL324" s="32"/>
      <c r="CM324" s="32"/>
      <c r="CN324" s="32"/>
      <c r="CO324" s="32"/>
      <c r="CP324" s="32"/>
      <c r="CQ324" s="32"/>
      <c r="CR324" s="32"/>
      <c r="CS324" s="32"/>
      <c r="CT324" s="32"/>
      <c r="CU324" s="32"/>
      <c r="CV324" s="32"/>
      <c r="CW324" s="32"/>
      <c r="CX324" s="32"/>
      <c r="CY324" s="32"/>
      <c r="CZ324" s="32"/>
      <c r="DA324" s="32"/>
      <c r="DB324" s="32"/>
      <c r="DC324" s="32"/>
      <c r="DD324" s="32"/>
      <c r="DE324" s="32"/>
      <c r="DF324" s="32"/>
      <c r="DG324" s="32"/>
      <c r="DH324" s="32"/>
      <c r="DI324" s="32"/>
      <c r="DJ324" s="32"/>
      <c r="DK324" s="32"/>
      <c r="DL324" s="32"/>
      <c r="DM324" s="32"/>
      <c r="DN324" s="32"/>
      <c r="DO324" s="32"/>
      <c r="DP324" s="32"/>
      <c r="DQ324" s="32"/>
      <c r="DR324" s="32"/>
      <c r="DS324" s="32"/>
      <c r="DT324" s="32"/>
      <c r="DU324" s="32"/>
      <c r="DV324" s="32"/>
      <c r="DW324" s="32"/>
      <c r="DX324" s="32"/>
      <c r="DY324" s="32"/>
      <c r="DZ324" s="32"/>
      <c r="EA324" s="32"/>
      <c r="EB324" s="32"/>
      <c r="EC324" s="32"/>
      <c r="ED324" s="32"/>
      <c r="EE324" s="32"/>
      <c r="EF324" s="32"/>
      <c r="EG324" s="32"/>
      <c r="EH324" s="32"/>
      <c r="EI324" s="32"/>
      <c r="EJ324" s="32"/>
      <c r="EK324" s="32"/>
    </row>
    <row r="325" spans="2:141">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c r="BO325" s="32"/>
      <c r="BP325" s="32"/>
      <c r="BQ325" s="32"/>
      <c r="BR325" s="32"/>
      <c r="BS325" s="32"/>
      <c r="BT325" s="32"/>
      <c r="BU325" s="32"/>
      <c r="BV325" s="32"/>
      <c r="BW325" s="32"/>
      <c r="BX325" s="32"/>
      <c r="BY325" s="32"/>
      <c r="BZ325" s="32"/>
      <c r="CA325" s="32"/>
      <c r="CB325" s="32"/>
      <c r="CC325" s="32"/>
      <c r="CD325" s="32"/>
      <c r="CE325" s="32"/>
      <c r="CF325" s="32"/>
      <c r="CG325" s="32"/>
      <c r="CH325" s="32"/>
      <c r="CI325" s="32"/>
      <c r="CJ325" s="32"/>
      <c r="CK325" s="32"/>
      <c r="CL325" s="32"/>
      <c r="CM325" s="32"/>
      <c r="CN325" s="32"/>
      <c r="CO325" s="32"/>
      <c r="CP325" s="32"/>
      <c r="CQ325" s="32"/>
      <c r="CR325" s="32"/>
      <c r="CS325" s="32"/>
      <c r="CT325" s="32"/>
      <c r="CU325" s="32"/>
      <c r="CV325" s="32"/>
      <c r="CW325" s="32"/>
      <c r="CX325" s="32"/>
      <c r="CY325" s="32"/>
      <c r="CZ325" s="32"/>
      <c r="DA325" s="32"/>
      <c r="DB325" s="32"/>
      <c r="DC325" s="32"/>
      <c r="DD325" s="32"/>
      <c r="DE325" s="32"/>
      <c r="DF325" s="32"/>
      <c r="DG325" s="32"/>
      <c r="DH325" s="32"/>
      <c r="DI325" s="32"/>
      <c r="DJ325" s="32"/>
      <c r="DK325" s="32"/>
      <c r="DL325" s="32"/>
      <c r="DM325" s="32"/>
      <c r="DN325" s="32"/>
      <c r="DO325" s="32"/>
      <c r="DP325" s="32"/>
      <c r="DQ325" s="32"/>
      <c r="DR325" s="32"/>
      <c r="DS325" s="32"/>
      <c r="DT325" s="32"/>
      <c r="DU325" s="32"/>
      <c r="DV325" s="32"/>
      <c r="DW325" s="32"/>
      <c r="DX325" s="32"/>
      <c r="DY325" s="32"/>
      <c r="DZ325" s="32"/>
      <c r="EA325" s="32"/>
      <c r="EB325" s="32"/>
      <c r="EC325" s="32"/>
      <c r="ED325" s="32"/>
      <c r="EE325" s="32"/>
      <c r="EF325" s="32"/>
      <c r="EG325" s="32"/>
      <c r="EH325" s="32"/>
      <c r="EI325" s="32"/>
      <c r="EJ325" s="32"/>
      <c r="EK325" s="32"/>
    </row>
    <row r="326" spans="2:141">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c r="BO326" s="32"/>
      <c r="BP326" s="32"/>
      <c r="BQ326" s="32"/>
      <c r="BR326" s="32"/>
      <c r="BS326" s="32"/>
      <c r="BT326" s="32"/>
      <c r="BU326" s="32"/>
      <c r="BV326" s="32"/>
      <c r="BW326" s="32"/>
      <c r="BX326" s="32"/>
      <c r="BY326" s="32"/>
      <c r="BZ326" s="32"/>
      <c r="CA326" s="32"/>
      <c r="CB326" s="32"/>
      <c r="CC326" s="32"/>
      <c r="CD326" s="32"/>
      <c r="CE326" s="32"/>
      <c r="CF326" s="32"/>
      <c r="CG326" s="32"/>
      <c r="CH326" s="32"/>
      <c r="CI326" s="32"/>
      <c r="CJ326" s="32"/>
      <c r="CK326" s="32"/>
      <c r="CL326" s="32"/>
      <c r="CM326" s="32"/>
      <c r="CN326" s="32"/>
      <c r="CO326" s="32"/>
      <c r="CP326" s="32"/>
      <c r="CQ326" s="32"/>
      <c r="CR326" s="32"/>
      <c r="CS326" s="32"/>
      <c r="CT326" s="32"/>
      <c r="CU326" s="32"/>
      <c r="CV326" s="32"/>
      <c r="CW326" s="32"/>
      <c r="CX326" s="32"/>
      <c r="CY326" s="32"/>
      <c r="CZ326" s="32"/>
      <c r="DA326" s="32"/>
      <c r="DB326" s="32"/>
      <c r="DC326" s="32"/>
      <c r="DD326" s="32"/>
      <c r="DE326" s="32"/>
      <c r="DF326" s="32"/>
      <c r="DG326" s="32"/>
      <c r="DH326" s="32"/>
      <c r="DI326" s="32"/>
      <c r="DJ326" s="32"/>
      <c r="DK326" s="32"/>
      <c r="DL326" s="32"/>
      <c r="DM326" s="32"/>
      <c r="DN326" s="32"/>
      <c r="DO326" s="32"/>
      <c r="DP326" s="32"/>
      <c r="DQ326" s="32"/>
      <c r="DR326" s="32"/>
      <c r="DS326" s="32"/>
      <c r="DT326" s="32"/>
      <c r="DU326" s="32"/>
      <c r="DV326" s="32"/>
      <c r="DW326" s="32"/>
      <c r="DX326" s="32"/>
      <c r="DY326" s="32"/>
      <c r="DZ326" s="32"/>
      <c r="EA326" s="32"/>
      <c r="EB326" s="32"/>
      <c r="EC326" s="32"/>
      <c r="ED326" s="32"/>
      <c r="EE326" s="32"/>
      <c r="EF326" s="32"/>
      <c r="EG326" s="32"/>
      <c r="EH326" s="32"/>
      <c r="EI326" s="32"/>
      <c r="EJ326" s="32"/>
      <c r="EK326" s="32"/>
    </row>
    <row r="327" spans="2:141">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c r="BO327" s="32"/>
      <c r="BP327" s="32"/>
      <c r="BQ327" s="32"/>
      <c r="BR327" s="32"/>
      <c r="BS327" s="32"/>
      <c r="BT327" s="32"/>
      <c r="BU327" s="32"/>
      <c r="BV327" s="32"/>
      <c r="BW327" s="32"/>
      <c r="BX327" s="32"/>
      <c r="BY327" s="32"/>
      <c r="BZ327" s="32"/>
      <c r="CA327" s="32"/>
      <c r="CB327" s="32"/>
      <c r="CC327" s="32"/>
      <c r="CD327" s="32"/>
      <c r="CE327" s="32"/>
      <c r="CF327" s="32"/>
      <c r="CG327" s="32"/>
      <c r="CH327" s="32"/>
      <c r="CI327" s="32"/>
      <c r="CJ327" s="32"/>
      <c r="CK327" s="32"/>
      <c r="CL327" s="32"/>
      <c r="CM327" s="32"/>
      <c r="CN327" s="32"/>
      <c r="CO327" s="32"/>
      <c r="CP327" s="32"/>
      <c r="CQ327" s="32"/>
      <c r="CR327" s="32"/>
      <c r="CS327" s="32"/>
      <c r="CT327" s="32"/>
      <c r="CU327" s="32"/>
      <c r="CV327" s="32"/>
      <c r="CW327" s="32"/>
      <c r="CX327" s="32"/>
      <c r="CY327" s="32"/>
      <c r="CZ327" s="32"/>
      <c r="DA327" s="32"/>
      <c r="DB327" s="32"/>
      <c r="DC327" s="32"/>
      <c r="DD327" s="32"/>
      <c r="DE327" s="32"/>
      <c r="DF327" s="32"/>
      <c r="DG327" s="32"/>
      <c r="DH327" s="32"/>
      <c r="DI327" s="32"/>
      <c r="DJ327" s="32"/>
      <c r="DK327" s="32"/>
      <c r="DL327" s="32"/>
      <c r="DM327" s="32"/>
      <c r="DN327" s="32"/>
      <c r="DO327" s="32"/>
      <c r="DP327" s="32"/>
      <c r="DQ327" s="32"/>
      <c r="DR327" s="32"/>
      <c r="DS327" s="32"/>
      <c r="DT327" s="32"/>
      <c r="DU327" s="32"/>
      <c r="DV327" s="32"/>
      <c r="DW327" s="32"/>
      <c r="DX327" s="32"/>
      <c r="DY327" s="32"/>
      <c r="DZ327" s="32"/>
      <c r="EA327" s="32"/>
      <c r="EB327" s="32"/>
      <c r="EC327" s="32"/>
      <c r="ED327" s="32"/>
      <c r="EE327" s="32"/>
      <c r="EF327" s="32"/>
      <c r="EG327" s="32"/>
      <c r="EH327" s="32"/>
      <c r="EI327" s="32"/>
      <c r="EJ327" s="32"/>
      <c r="EK327" s="32"/>
    </row>
    <row r="328" spans="2:141">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c r="CA328" s="32"/>
      <c r="CB328" s="32"/>
      <c r="CC328" s="32"/>
      <c r="CD328" s="32"/>
      <c r="CE328" s="32"/>
      <c r="CF328" s="32"/>
      <c r="CG328" s="32"/>
      <c r="CH328" s="32"/>
      <c r="CI328" s="32"/>
      <c r="CJ328" s="32"/>
      <c r="CK328" s="32"/>
      <c r="CL328" s="32"/>
      <c r="CM328" s="32"/>
      <c r="CN328" s="32"/>
      <c r="CO328" s="32"/>
      <c r="CP328" s="32"/>
      <c r="CQ328" s="32"/>
      <c r="CR328" s="32"/>
      <c r="CS328" s="32"/>
      <c r="CT328" s="32"/>
      <c r="CU328" s="32"/>
      <c r="CV328" s="32"/>
      <c r="CW328" s="32"/>
      <c r="CX328" s="32"/>
      <c r="CY328" s="32"/>
      <c r="CZ328" s="32"/>
      <c r="DA328" s="32"/>
      <c r="DB328" s="32"/>
      <c r="DC328" s="32"/>
      <c r="DD328" s="32"/>
      <c r="DE328" s="32"/>
      <c r="DF328" s="32"/>
      <c r="DG328" s="32"/>
      <c r="DH328" s="32"/>
      <c r="DI328" s="32"/>
      <c r="DJ328" s="32"/>
      <c r="DK328" s="32"/>
      <c r="DL328" s="32"/>
      <c r="DM328" s="32"/>
      <c r="DN328" s="32"/>
      <c r="DO328" s="32"/>
      <c r="DP328" s="32"/>
      <c r="DQ328" s="32"/>
      <c r="DR328" s="32"/>
      <c r="DS328" s="32"/>
      <c r="DT328" s="32"/>
      <c r="DU328" s="32"/>
      <c r="DV328" s="32"/>
      <c r="DW328" s="32"/>
      <c r="DX328" s="32"/>
      <c r="DY328" s="32"/>
      <c r="DZ328" s="32"/>
      <c r="EA328" s="32"/>
      <c r="EB328" s="32"/>
      <c r="EC328" s="32"/>
      <c r="ED328" s="32"/>
      <c r="EE328" s="32"/>
      <c r="EF328" s="32"/>
      <c r="EG328" s="32"/>
      <c r="EH328" s="32"/>
      <c r="EI328" s="32"/>
      <c r="EJ328" s="32"/>
      <c r="EK328" s="32"/>
    </row>
    <row r="329" spans="2:141">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c r="BO329" s="32"/>
      <c r="BP329" s="32"/>
      <c r="BQ329" s="32"/>
      <c r="BR329" s="32"/>
      <c r="BS329" s="32"/>
      <c r="BT329" s="32"/>
      <c r="BU329" s="32"/>
      <c r="BV329" s="32"/>
      <c r="BW329" s="32"/>
      <c r="BX329" s="32"/>
      <c r="BY329" s="32"/>
      <c r="BZ329" s="32"/>
      <c r="CA329" s="32"/>
      <c r="CB329" s="32"/>
      <c r="CC329" s="32"/>
      <c r="CD329" s="32"/>
      <c r="CE329" s="32"/>
      <c r="CF329" s="32"/>
      <c r="CG329" s="32"/>
      <c r="CH329" s="32"/>
      <c r="CI329" s="32"/>
      <c r="CJ329" s="32"/>
      <c r="CK329" s="32"/>
      <c r="CL329" s="32"/>
      <c r="CM329" s="32"/>
      <c r="CN329" s="32"/>
      <c r="CO329" s="32"/>
      <c r="CP329" s="32"/>
      <c r="CQ329" s="32"/>
      <c r="CR329" s="32"/>
      <c r="CS329" s="32"/>
      <c r="CT329" s="32"/>
      <c r="CU329" s="32"/>
      <c r="CV329" s="32"/>
      <c r="CW329" s="32"/>
      <c r="CX329" s="32"/>
      <c r="CY329" s="32"/>
      <c r="CZ329" s="32"/>
      <c r="DA329" s="32"/>
      <c r="DB329" s="32"/>
      <c r="DC329" s="32"/>
      <c r="DD329" s="32"/>
      <c r="DE329" s="32"/>
      <c r="DF329" s="32"/>
      <c r="DG329" s="32"/>
      <c r="DH329" s="32"/>
      <c r="DI329" s="32"/>
      <c r="DJ329" s="32"/>
      <c r="DK329" s="32"/>
      <c r="DL329" s="32"/>
      <c r="DM329" s="32"/>
      <c r="DN329" s="32"/>
      <c r="DO329" s="32"/>
      <c r="DP329" s="32"/>
      <c r="DQ329" s="32"/>
      <c r="DR329" s="32"/>
      <c r="DS329" s="32"/>
      <c r="DT329" s="32"/>
      <c r="DU329" s="32"/>
      <c r="DV329" s="32"/>
      <c r="DW329" s="32"/>
      <c r="DX329" s="32"/>
      <c r="DY329" s="32"/>
      <c r="DZ329" s="32"/>
      <c r="EA329" s="32"/>
      <c r="EB329" s="32"/>
      <c r="EC329" s="32"/>
      <c r="ED329" s="32"/>
      <c r="EE329" s="32"/>
      <c r="EF329" s="32"/>
      <c r="EG329" s="32"/>
      <c r="EH329" s="32"/>
      <c r="EI329" s="32"/>
      <c r="EJ329" s="32"/>
      <c r="EK329" s="32"/>
    </row>
    <row r="330" spans="2:141">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32"/>
      <c r="DK330" s="32"/>
      <c r="DL330" s="32"/>
      <c r="DM330" s="32"/>
      <c r="DN330" s="32"/>
      <c r="DO330" s="32"/>
      <c r="DP330" s="32"/>
      <c r="DQ330" s="32"/>
      <c r="DR330" s="32"/>
      <c r="DS330" s="32"/>
      <c r="DT330" s="32"/>
      <c r="DU330" s="32"/>
      <c r="DV330" s="32"/>
      <c r="DW330" s="32"/>
      <c r="DX330" s="32"/>
      <c r="DY330" s="32"/>
      <c r="DZ330" s="32"/>
      <c r="EA330" s="32"/>
      <c r="EB330" s="32"/>
      <c r="EC330" s="32"/>
      <c r="ED330" s="32"/>
      <c r="EE330" s="32"/>
      <c r="EF330" s="32"/>
      <c r="EG330" s="32"/>
      <c r="EH330" s="32"/>
      <c r="EI330" s="32"/>
      <c r="EJ330" s="32"/>
      <c r="EK330" s="32"/>
    </row>
    <row r="331" spans="2:141">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32"/>
      <c r="DK331" s="32"/>
      <c r="DL331" s="32"/>
      <c r="DM331" s="32"/>
      <c r="DN331" s="32"/>
      <c r="DO331" s="32"/>
      <c r="DP331" s="32"/>
      <c r="DQ331" s="32"/>
      <c r="DR331" s="32"/>
      <c r="DS331" s="32"/>
      <c r="DT331" s="32"/>
      <c r="DU331" s="32"/>
      <c r="DV331" s="32"/>
      <c r="DW331" s="32"/>
      <c r="DX331" s="32"/>
      <c r="DY331" s="32"/>
      <c r="DZ331" s="32"/>
      <c r="EA331" s="32"/>
      <c r="EB331" s="32"/>
      <c r="EC331" s="32"/>
      <c r="ED331" s="32"/>
      <c r="EE331" s="32"/>
      <c r="EF331" s="32"/>
      <c r="EG331" s="32"/>
      <c r="EH331" s="32"/>
      <c r="EI331" s="32"/>
      <c r="EJ331" s="32"/>
      <c r="EK331" s="32"/>
    </row>
    <row r="332" spans="2:141">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32"/>
      <c r="DK332" s="32"/>
      <c r="DL332" s="32"/>
      <c r="DM332" s="32"/>
      <c r="DN332" s="32"/>
      <c r="DO332" s="32"/>
      <c r="DP332" s="32"/>
      <c r="DQ332" s="32"/>
      <c r="DR332" s="32"/>
      <c r="DS332" s="32"/>
      <c r="DT332" s="32"/>
      <c r="DU332" s="32"/>
      <c r="DV332" s="32"/>
      <c r="DW332" s="32"/>
      <c r="DX332" s="32"/>
      <c r="DY332" s="32"/>
      <c r="DZ332" s="32"/>
      <c r="EA332" s="32"/>
      <c r="EB332" s="32"/>
      <c r="EC332" s="32"/>
      <c r="ED332" s="32"/>
      <c r="EE332" s="32"/>
      <c r="EF332" s="32"/>
      <c r="EG332" s="32"/>
      <c r="EH332" s="32"/>
      <c r="EI332" s="32"/>
      <c r="EJ332" s="32"/>
      <c r="EK332" s="32"/>
    </row>
    <row r="333" spans="2:141">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c r="CA333" s="32"/>
      <c r="CB333" s="32"/>
      <c r="CC333" s="32"/>
      <c r="CD333" s="32"/>
      <c r="CE333" s="32"/>
      <c r="CF333" s="32"/>
      <c r="CG333" s="32"/>
      <c r="CH333" s="32"/>
      <c r="CI333" s="32"/>
      <c r="CJ333" s="32"/>
      <c r="CK333" s="32"/>
      <c r="CL333" s="32"/>
      <c r="CM333" s="32"/>
      <c r="CN333" s="32"/>
      <c r="CO333" s="32"/>
      <c r="CP333" s="32"/>
      <c r="CQ333" s="32"/>
      <c r="CR333" s="32"/>
      <c r="CS333" s="32"/>
      <c r="CT333" s="32"/>
      <c r="CU333" s="32"/>
      <c r="CV333" s="32"/>
      <c r="CW333" s="32"/>
      <c r="CX333" s="32"/>
      <c r="CY333" s="32"/>
      <c r="CZ333" s="32"/>
      <c r="DA333" s="32"/>
      <c r="DB333" s="32"/>
      <c r="DC333" s="32"/>
      <c r="DD333" s="32"/>
      <c r="DE333" s="32"/>
      <c r="DF333" s="32"/>
      <c r="DG333" s="32"/>
      <c r="DH333" s="32"/>
      <c r="DI333" s="32"/>
      <c r="DJ333" s="32"/>
      <c r="DK333" s="32"/>
      <c r="DL333" s="32"/>
      <c r="DM333" s="32"/>
      <c r="DN333" s="32"/>
      <c r="DO333" s="32"/>
      <c r="DP333" s="32"/>
      <c r="DQ333" s="32"/>
      <c r="DR333" s="32"/>
      <c r="DS333" s="32"/>
      <c r="DT333" s="32"/>
      <c r="DU333" s="32"/>
      <c r="DV333" s="32"/>
      <c r="DW333" s="32"/>
      <c r="DX333" s="32"/>
      <c r="DY333" s="32"/>
      <c r="DZ333" s="32"/>
      <c r="EA333" s="32"/>
      <c r="EB333" s="32"/>
      <c r="EC333" s="32"/>
      <c r="ED333" s="32"/>
      <c r="EE333" s="32"/>
      <c r="EF333" s="32"/>
      <c r="EG333" s="32"/>
      <c r="EH333" s="32"/>
      <c r="EI333" s="32"/>
      <c r="EJ333" s="32"/>
      <c r="EK333" s="32"/>
    </row>
    <row r="334" spans="2:141">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c r="BR334" s="32"/>
      <c r="BS334" s="32"/>
      <c r="BT334" s="32"/>
      <c r="BU334" s="32"/>
      <c r="BV334" s="32"/>
      <c r="BW334" s="32"/>
      <c r="BX334" s="32"/>
      <c r="BY334" s="32"/>
      <c r="BZ334" s="32"/>
      <c r="CA334" s="32"/>
      <c r="CB334" s="32"/>
      <c r="CC334" s="32"/>
      <c r="CD334" s="32"/>
      <c r="CE334" s="32"/>
      <c r="CF334" s="32"/>
      <c r="CG334" s="32"/>
      <c r="CH334" s="32"/>
      <c r="CI334" s="32"/>
      <c r="CJ334" s="32"/>
      <c r="CK334" s="32"/>
      <c r="CL334" s="32"/>
      <c r="CM334" s="32"/>
      <c r="CN334" s="32"/>
      <c r="CO334" s="32"/>
      <c r="CP334" s="32"/>
      <c r="CQ334" s="32"/>
      <c r="CR334" s="32"/>
      <c r="CS334" s="32"/>
      <c r="CT334" s="32"/>
      <c r="CU334" s="32"/>
      <c r="CV334" s="32"/>
      <c r="CW334" s="32"/>
      <c r="CX334" s="32"/>
      <c r="CY334" s="32"/>
      <c r="CZ334" s="32"/>
      <c r="DA334" s="32"/>
      <c r="DB334" s="32"/>
      <c r="DC334" s="32"/>
      <c r="DD334" s="32"/>
      <c r="DE334" s="32"/>
      <c r="DF334" s="32"/>
      <c r="DG334" s="32"/>
      <c r="DH334" s="32"/>
      <c r="DI334" s="32"/>
      <c r="DJ334" s="32"/>
      <c r="DK334" s="32"/>
      <c r="DL334" s="32"/>
      <c r="DM334" s="32"/>
      <c r="DN334" s="32"/>
      <c r="DO334" s="32"/>
      <c r="DP334" s="32"/>
      <c r="DQ334" s="32"/>
      <c r="DR334" s="32"/>
      <c r="DS334" s="32"/>
      <c r="DT334" s="32"/>
      <c r="DU334" s="32"/>
      <c r="DV334" s="32"/>
      <c r="DW334" s="32"/>
      <c r="DX334" s="32"/>
      <c r="DY334" s="32"/>
      <c r="DZ334" s="32"/>
      <c r="EA334" s="32"/>
      <c r="EB334" s="32"/>
      <c r="EC334" s="32"/>
      <c r="ED334" s="32"/>
      <c r="EE334" s="32"/>
      <c r="EF334" s="32"/>
      <c r="EG334" s="32"/>
      <c r="EH334" s="32"/>
      <c r="EI334" s="32"/>
      <c r="EJ334" s="32"/>
      <c r="EK334" s="32"/>
    </row>
    <row r="335" spans="2:141">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c r="BO335" s="32"/>
      <c r="BP335" s="32"/>
      <c r="BQ335" s="32"/>
      <c r="BR335" s="32"/>
      <c r="BS335" s="32"/>
      <c r="BT335" s="32"/>
      <c r="BU335" s="32"/>
      <c r="BV335" s="32"/>
      <c r="BW335" s="32"/>
      <c r="BX335" s="32"/>
      <c r="BY335" s="32"/>
      <c r="BZ335" s="32"/>
      <c r="CA335" s="32"/>
      <c r="CB335" s="32"/>
      <c r="CC335" s="32"/>
      <c r="CD335" s="32"/>
      <c r="CE335" s="32"/>
      <c r="CF335" s="32"/>
      <c r="CG335" s="32"/>
      <c r="CH335" s="32"/>
      <c r="CI335" s="32"/>
      <c r="CJ335" s="32"/>
      <c r="CK335" s="32"/>
      <c r="CL335" s="32"/>
      <c r="CM335" s="32"/>
      <c r="CN335" s="32"/>
      <c r="CO335" s="32"/>
      <c r="CP335" s="32"/>
      <c r="CQ335" s="32"/>
      <c r="CR335" s="32"/>
      <c r="CS335" s="32"/>
      <c r="CT335" s="32"/>
      <c r="CU335" s="32"/>
      <c r="CV335" s="32"/>
      <c r="CW335" s="32"/>
      <c r="CX335" s="32"/>
      <c r="CY335" s="32"/>
      <c r="CZ335" s="32"/>
      <c r="DA335" s="32"/>
      <c r="DB335" s="32"/>
      <c r="DC335" s="32"/>
      <c r="DD335" s="32"/>
      <c r="DE335" s="32"/>
      <c r="DF335" s="32"/>
      <c r="DG335" s="32"/>
      <c r="DH335" s="32"/>
      <c r="DI335" s="32"/>
      <c r="DJ335" s="32"/>
      <c r="DK335" s="32"/>
      <c r="DL335" s="32"/>
      <c r="DM335" s="32"/>
      <c r="DN335" s="32"/>
      <c r="DO335" s="32"/>
      <c r="DP335" s="32"/>
      <c r="DQ335" s="32"/>
      <c r="DR335" s="32"/>
      <c r="DS335" s="32"/>
      <c r="DT335" s="32"/>
      <c r="DU335" s="32"/>
      <c r="DV335" s="32"/>
      <c r="DW335" s="32"/>
      <c r="DX335" s="32"/>
      <c r="DY335" s="32"/>
      <c r="DZ335" s="32"/>
      <c r="EA335" s="32"/>
      <c r="EB335" s="32"/>
      <c r="EC335" s="32"/>
      <c r="ED335" s="32"/>
      <c r="EE335" s="32"/>
      <c r="EF335" s="32"/>
      <c r="EG335" s="32"/>
      <c r="EH335" s="32"/>
      <c r="EI335" s="32"/>
      <c r="EJ335" s="32"/>
      <c r="EK335" s="32"/>
    </row>
    <row r="336" spans="2:141">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c r="BR336" s="32"/>
      <c r="BS336" s="32"/>
      <c r="BT336" s="32"/>
      <c r="BU336" s="32"/>
      <c r="BV336" s="32"/>
      <c r="BW336" s="32"/>
      <c r="BX336" s="32"/>
      <c r="BY336" s="32"/>
      <c r="BZ336" s="32"/>
      <c r="CA336" s="32"/>
      <c r="CB336" s="32"/>
      <c r="CC336" s="32"/>
      <c r="CD336" s="32"/>
      <c r="CE336" s="32"/>
      <c r="CF336" s="32"/>
      <c r="CG336" s="32"/>
      <c r="CH336" s="32"/>
      <c r="CI336" s="32"/>
      <c r="CJ336" s="32"/>
      <c r="CK336" s="32"/>
      <c r="CL336" s="32"/>
      <c r="CM336" s="32"/>
      <c r="CN336" s="32"/>
      <c r="CO336" s="32"/>
      <c r="CP336" s="32"/>
      <c r="CQ336" s="32"/>
      <c r="CR336" s="32"/>
      <c r="CS336" s="32"/>
      <c r="CT336" s="32"/>
      <c r="CU336" s="32"/>
      <c r="CV336" s="32"/>
      <c r="CW336" s="32"/>
      <c r="CX336" s="32"/>
      <c r="CY336" s="32"/>
      <c r="CZ336" s="32"/>
      <c r="DA336" s="32"/>
      <c r="DB336" s="32"/>
      <c r="DC336" s="32"/>
      <c r="DD336" s="32"/>
      <c r="DE336" s="32"/>
      <c r="DF336" s="32"/>
      <c r="DG336" s="32"/>
      <c r="DH336" s="32"/>
      <c r="DI336" s="32"/>
      <c r="DJ336" s="32"/>
      <c r="DK336" s="32"/>
      <c r="DL336" s="32"/>
      <c r="DM336" s="32"/>
      <c r="DN336" s="32"/>
      <c r="DO336" s="32"/>
      <c r="DP336" s="32"/>
      <c r="DQ336" s="32"/>
      <c r="DR336" s="32"/>
      <c r="DS336" s="32"/>
      <c r="DT336" s="32"/>
      <c r="DU336" s="32"/>
      <c r="DV336" s="32"/>
      <c r="DW336" s="32"/>
      <c r="DX336" s="32"/>
      <c r="DY336" s="32"/>
      <c r="DZ336" s="32"/>
      <c r="EA336" s="32"/>
      <c r="EB336" s="32"/>
      <c r="EC336" s="32"/>
      <c r="ED336" s="32"/>
      <c r="EE336" s="32"/>
      <c r="EF336" s="32"/>
      <c r="EG336" s="32"/>
      <c r="EH336" s="32"/>
      <c r="EI336" s="32"/>
      <c r="EJ336" s="32"/>
      <c r="EK336" s="32"/>
    </row>
    <row r="337" spans="42:141">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32"/>
      <c r="CK337" s="32"/>
      <c r="CL337" s="32"/>
      <c r="CM337" s="32"/>
      <c r="CN337" s="32"/>
      <c r="CO337" s="32"/>
      <c r="CP337" s="32"/>
      <c r="CQ337" s="32"/>
      <c r="CR337" s="32"/>
      <c r="CS337" s="32"/>
      <c r="CT337" s="32"/>
      <c r="CU337" s="32"/>
      <c r="CV337" s="32"/>
      <c r="CW337" s="32"/>
      <c r="CX337" s="32"/>
      <c r="CY337" s="32"/>
      <c r="CZ337" s="32"/>
      <c r="DA337" s="32"/>
      <c r="DB337" s="32"/>
      <c r="DC337" s="32"/>
      <c r="DD337" s="32"/>
      <c r="DE337" s="32"/>
      <c r="DF337" s="32"/>
      <c r="DG337" s="32"/>
      <c r="DH337" s="32"/>
      <c r="DI337" s="32"/>
      <c r="DJ337" s="32"/>
      <c r="DK337" s="32"/>
      <c r="DL337" s="32"/>
      <c r="DM337" s="32"/>
      <c r="DN337" s="32"/>
      <c r="DO337" s="32"/>
      <c r="DP337" s="32"/>
      <c r="DQ337" s="32"/>
      <c r="DR337" s="32"/>
      <c r="DS337" s="32"/>
      <c r="DT337" s="32"/>
      <c r="DU337" s="32"/>
      <c r="DV337" s="32"/>
      <c r="DW337" s="32"/>
      <c r="DX337" s="32"/>
      <c r="DY337" s="32"/>
      <c r="DZ337" s="32"/>
      <c r="EA337" s="32"/>
      <c r="EB337" s="32"/>
      <c r="EC337" s="32"/>
      <c r="ED337" s="32"/>
      <c r="EE337" s="32"/>
      <c r="EF337" s="32"/>
      <c r="EG337" s="32"/>
      <c r="EH337" s="32"/>
      <c r="EI337" s="32"/>
      <c r="EJ337" s="32"/>
      <c r="EK337" s="32"/>
    </row>
    <row r="338" spans="42:141">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32"/>
      <c r="CK338" s="32"/>
      <c r="CL338" s="32"/>
      <c r="CM338" s="32"/>
      <c r="CN338" s="32"/>
      <c r="CO338" s="32"/>
      <c r="CP338" s="32"/>
      <c r="CQ338" s="32"/>
      <c r="CR338" s="32"/>
      <c r="CS338" s="32"/>
      <c r="CT338" s="32"/>
      <c r="CU338" s="32"/>
      <c r="CV338" s="32"/>
      <c r="CW338" s="32"/>
      <c r="CX338" s="32"/>
      <c r="CY338" s="32"/>
      <c r="CZ338" s="32"/>
      <c r="DA338" s="32"/>
      <c r="DB338" s="32"/>
      <c r="DC338" s="32"/>
      <c r="DD338" s="32"/>
      <c r="DE338" s="32"/>
      <c r="DF338" s="32"/>
      <c r="DG338" s="32"/>
      <c r="DH338" s="32"/>
      <c r="DI338" s="32"/>
      <c r="DJ338" s="32"/>
      <c r="DK338" s="32"/>
      <c r="DL338" s="32"/>
      <c r="DM338" s="32"/>
      <c r="DN338" s="32"/>
      <c r="DO338" s="32"/>
      <c r="DP338" s="32"/>
      <c r="DQ338" s="32"/>
      <c r="DR338" s="32"/>
      <c r="DS338" s="32"/>
      <c r="DT338" s="32"/>
      <c r="DU338" s="32"/>
      <c r="DV338" s="32"/>
      <c r="DW338" s="32"/>
      <c r="DX338" s="32"/>
      <c r="DY338" s="32"/>
      <c r="DZ338" s="32"/>
      <c r="EA338" s="32"/>
      <c r="EB338" s="32"/>
      <c r="EC338" s="32"/>
      <c r="ED338" s="32"/>
      <c r="EE338" s="32"/>
      <c r="EF338" s="32"/>
      <c r="EG338" s="32"/>
      <c r="EH338" s="32"/>
      <c r="EI338" s="32"/>
      <c r="EJ338" s="32"/>
      <c r="EK338" s="32"/>
    </row>
    <row r="339" spans="42:141">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32"/>
      <c r="CK339" s="32"/>
      <c r="CL339" s="32"/>
      <c r="CM339" s="32"/>
      <c r="CN339" s="32"/>
      <c r="CO339" s="32"/>
      <c r="CP339" s="32"/>
      <c r="CQ339" s="32"/>
      <c r="CR339" s="32"/>
      <c r="CS339" s="32"/>
      <c r="CT339" s="32"/>
      <c r="CU339" s="32"/>
      <c r="CV339" s="32"/>
      <c r="CW339" s="32"/>
      <c r="CX339" s="32"/>
      <c r="CY339" s="32"/>
      <c r="CZ339" s="32"/>
      <c r="DA339" s="32"/>
      <c r="DB339" s="32"/>
      <c r="DC339" s="32"/>
      <c r="DD339" s="32"/>
      <c r="DE339" s="32"/>
      <c r="DF339" s="32"/>
      <c r="DG339" s="32"/>
      <c r="DH339" s="32"/>
      <c r="DI339" s="32"/>
      <c r="DJ339" s="32"/>
      <c r="DK339" s="32"/>
      <c r="DL339" s="32"/>
      <c r="DM339" s="32"/>
      <c r="DN339" s="32"/>
      <c r="DO339" s="32"/>
      <c r="DP339" s="32"/>
      <c r="DQ339" s="32"/>
      <c r="DR339" s="32"/>
      <c r="DS339" s="32"/>
      <c r="DT339" s="32"/>
      <c r="DU339" s="32"/>
      <c r="DV339" s="32"/>
      <c r="DW339" s="32"/>
      <c r="DX339" s="32"/>
      <c r="DY339" s="32"/>
      <c r="DZ339" s="32"/>
      <c r="EA339" s="32"/>
      <c r="EB339" s="32"/>
      <c r="EC339" s="32"/>
      <c r="ED339" s="32"/>
      <c r="EE339" s="32"/>
      <c r="EF339" s="32"/>
      <c r="EG339" s="32"/>
      <c r="EH339" s="32"/>
      <c r="EI339" s="32"/>
      <c r="EJ339" s="32"/>
      <c r="EK339" s="32"/>
    </row>
    <row r="340" spans="42:141">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32"/>
      <c r="CK340" s="32"/>
      <c r="CL340" s="32"/>
      <c r="CM340" s="32"/>
      <c r="CN340" s="32"/>
      <c r="CO340" s="32"/>
      <c r="CP340" s="32"/>
      <c r="CQ340" s="32"/>
      <c r="CR340" s="32"/>
      <c r="CS340" s="32"/>
      <c r="CT340" s="32"/>
      <c r="CU340" s="32"/>
      <c r="CV340" s="32"/>
      <c r="CW340" s="32"/>
      <c r="CX340" s="32"/>
      <c r="CY340" s="32"/>
      <c r="CZ340" s="32"/>
      <c r="DA340" s="32"/>
      <c r="DB340" s="32"/>
      <c r="DC340" s="32"/>
      <c r="DD340" s="32"/>
      <c r="DE340" s="32"/>
      <c r="DF340" s="32"/>
      <c r="DG340" s="32"/>
      <c r="DH340" s="32"/>
      <c r="DI340" s="32"/>
      <c r="DJ340" s="32"/>
      <c r="DK340" s="32"/>
      <c r="DL340" s="32"/>
      <c r="DM340" s="32"/>
      <c r="DN340" s="32"/>
      <c r="DO340" s="32"/>
      <c r="DP340" s="32"/>
      <c r="DQ340" s="32"/>
      <c r="DR340" s="32"/>
      <c r="DS340" s="32"/>
      <c r="DT340" s="32"/>
      <c r="DU340" s="32"/>
      <c r="DV340" s="32"/>
      <c r="DW340" s="32"/>
      <c r="DX340" s="32"/>
      <c r="DY340" s="32"/>
      <c r="DZ340" s="32"/>
      <c r="EA340" s="32"/>
      <c r="EB340" s="32"/>
      <c r="EC340" s="32"/>
      <c r="ED340" s="32"/>
      <c r="EE340" s="32"/>
      <c r="EF340" s="32"/>
      <c r="EG340" s="32"/>
      <c r="EH340" s="32"/>
      <c r="EI340" s="32"/>
      <c r="EJ340" s="32"/>
      <c r="EK340" s="32"/>
    </row>
    <row r="341" spans="42:141">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32"/>
      <c r="CK341" s="32"/>
      <c r="CL341" s="32"/>
      <c r="CM341" s="32"/>
      <c r="CN341" s="32"/>
      <c r="CO341" s="32"/>
      <c r="CP341" s="32"/>
      <c r="CQ341" s="32"/>
      <c r="CR341" s="32"/>
      <c r="CS341" s="32"/>
      <c r="CT341" s="32"/>
      <c r="CU341" s="32"/>
      <c r="CV341" s="32"/>
      <c r="CW341" s="32"/>
      <c r="CX341" s="32"/>
      <c r="CY341" s="32"/>
      <c r="CZ341" s="32"/>
      <c r="DA341" s="32"/>
      <c r="DB341" s="32"/>
      <c r="DC341" s="32"/>
      <c r="DD341" s="32"/>
      <c r="DE341" s="32"/>
      <c r="DF341" s="32"/>
      <c r="DG341" s="32"/>
      <c r="DH341" s="32"/>
      <c r="DI341" s="32"/>
      <c r="DJ341" s="32"/>
      <c r="DK341" s="32"/>
      <c r="DL341" s="32"/>
      <c r="DM341" s="32"/>
      <c r="DN341" s="32"/>
      <c r="DO341" s="32"/>
      <c r="DP341" s="32"/>
      <c r="DQ341" s="32"/>
      <c r="DR341" s="32"/>
      <c r="DS341" s="32"/>
      <c r="DT341" s="32"/>
      <c r="DU341" s="32"/>
      <c r="DV341" s="32"/>
      <c r="DW341" s="32"/>
      <c r="DX341" s="32"/>
      <c r="DY341" s="32"/>
      <c r="DZ341" s="32"/>
      <c r="EA341" s="32"/>
      <c r="EB341" s="32"/>
      <c r="EC341" s="32"/>
      <c r="ED341" s="32"/>
      <c r="EE341" s="32"/>
      <c r="EF341" s="32"/>
      <c r="EG341" s="32"/>
      <c r="EH341" s="32"/>
      <c r="EI341" s="32"/>
      <c r="EJ341" s="32"/>
      <c r="EK341" s="32"/>
    </row>
    <row r="342" spans="42:141">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32"/>
      <c r="CK342" s="32"/>
      <c r="CL342" s="32"/>
      <c r="CM342" s="32"/>
      <c r="CN342" s="32"/>
      <c r="CO342" s="32"/>
      <c r="CP342" s="32"/>
      <c r="CQ342" s="32"/>
      <c r="CR342" s="32"/>
      <c r="CS342" s="32"/>
      <c r="CT342" s="32"/>
      <c r="CU342" s="32"/>
      <c r="CV342" s="32"/>
      <c r="CW342" s="32"/>
      <c r="CX342" s="32"/>
      <c r="CY342" s="32"/>
      <c r="CZ342" s="32"/>
      <c r="DA342" s="32"/>
      <c r="DB342" s="32"/>
      <c r="DC342" s="32"/>
      <c r="DD342" s="32"/>
      <c r="DE342" s="32"/>
      <c r="DF342" s="32"/>
      <c r="DG342" s="32"/>
      <c r="DH342" s="32"/>
      <c r="DI342" s="32"/>
      <c r="DJ342" s="32"/>
      <c r="DK342" s="32"/>
      <c r="DL342" s="32"/>
      <c r="DM342" s="32"/>
      <c r="DN342" s="32"/>
      <c r="DO342" s="32"/>
      <c r="DP342" s="32"/>
      <c r="DQ342" s="32"/>
      <c r="DR342" s="32"/>
      <c r="DS342" s="32"/>
      <c r="DT342" s="32"/>
      <c r="DU342" s="32"/>
      <c r="DV342" s="32"/>
      <c r="DW342" s="32"/>
      <c r="DX342" s="32"/>
      <c r="DY342" s="32"/>
      <c r="DZ342" s="32"/>
      <c r="EA342" s="32"/>
      <c r="EB342" s="32"/>
      <c r="EC342" s="32"/>
      <c r="ED342" s="32"/>
      <c r="EE342" s="32"/>
      <c r="EF342" s="32"/>
      <c r="EG342" s="32"/>
      <c r="EH342" s="32"/>
      <c r="EI342" s="32"/>
      <c r="EJ342" s="32"/>
      <c r="EK342" s="32"/>
    </row>
    <row r="343" spans="42:141">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32"/>
      <c r="DK343" s="32"/>
      <c r="DL343" s="32"/>
      <c r="DM343" s="32"/>
      <c r="DN343" s="32"/>
      <c r="DO343" s="32"/>
      <c r="DP343" s="32"/>
      <c r="DQ343" s="32"/>
      <c r="DR343" s="32"/>
      <c r="DS343" s="32"/>
      <c r="DT343" s="32"/>
      <c r="DU343" s="32"/>
      <c r="DV343" s="32"/>
      <c r="DW343" s="32"/>
      <c r="DX343" s="32"/>
      <c r="DY343" s="32"/>
      <c r="DZ343" s="32"/>
      <c r="EA343" s="32"/>
      <c r="EB343" s="32"/>
      <c r="EC343" s="32"/>
      <c r="ED343" s="32"/>
      <c r="EE343" s="32"/>
      <c r="EF343" s="32"/>
      <c r="EG343" s="32"/>
      <c r="EH343" s="32"/>
      <c r="EI343" s="32"/>
      <c r="EJ343" s="32"/>
      <c r="EK343" s="32"/>
    </row>
    <row r="344" spans="42:141">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32"/>
      <c r="DK344" s="32"/>
      <c r="DL344" s="32"/>
      <c r="DM344" s="32"/>
      <c r="DN344" s="32"/>
      <c r="DO344" s="32"/>
      <c r="DP344" s="32"/>
      <c r="DQ344" s="32"/>
      <c r="DR344" s="32"/>
      <c r="DS344" s="32"/>
      <c r="DT344" s="32"/>
      <c r="DU344" s="32"/>
      <c r="DV344" s="32"/>
      <c r="DW344" s="32"/>
      <c r="DX344" s="32"/>
      <c r="DY344" s="32"/>
      <c r="DZ344" s="32"/>
      <c r="EA344" s="32"/>
      <c r="EB344" s="32"/>
      <c r="EC344" s="32"/>
      <c r="ED344" s="32"/>
      <c r="EE344" s="32"/>
      <c r="EF344" s="32"/>
      <c r="EG344" s="32"/>
      <c r="EH344" s="32"/>
      <c r="EI344" s="32"/>
      <c r="EJ344" s="32"/>
      <c r="EK344" s="32"/>
    </row>
    <row r="345" spans="42:141">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c r="CK345" s="32"/>
      <c r="CL345" s="32"/>
      <c r="CM345" s="32"/>
      <c r="CN345" s="32"/>
      <c r="CO345" s="32"/>
      <c r="CP345" s="32"/>
      <c r="CQ345" s="32"/>
      <c r="CR345" s="32"/>
      <c r="CS345" s="32"/>
      <c r="CT345" s="32"/>
      <c r="CU345" s="32"/>
      <c r="CV345" s="32"/>
      <c r="CW345" s="32"/>
      <c r="CX345" s="32"/>
      <c r="CY345" s="32"/>
      <c r="CZ345" s="32"/>
      <c r="DA345" s="32"/>
      <c r="DB345" s="32"/>
      <c r="DC345" s="32"/>
      <c r="DD345" s="32"/>
      <c r="DE345" s="32"/>
      <c r="DF345" s="32"/>
      <c r="DG345" s="32"/>
      <c r="DH345" s="32"/>
      <c r="DI345" s="32"/>
      <c r="DJ345" s="32"/>
      <c r="DK345" s="32"/>
      <c r="DL345" s="32"/>
      <c r="DM345" s="32"/>
      <c r="DN345" s="32"/>
      <c r="DO345" s="32"/>
      <c r="DP345" s="32"/>
      <c r="DQ345" s="32"/>
      <c r="DR345" s="32"/>
      <c r="DS345" s="32"/>
      <c r="DT345" s="32"/>
      <c r="DU345" s="32"/>
      <c r="DV345" s="32"/>
      <c r="DW345" s="32"/>
      <c r="DX345" s="32"/>
      <c r="DY345" s="32"/>
      <c r="DZ345" s="32"/>
      <c r="EA345" s="32"/>
      <c r="EB345" s="32"/>
      <c r="EC345" s="32"/>
      <c r="ED345" s="32"/>
      <c r="EE345" s="32"/>
      <c r="EF345" s="32"/>
      <c r="EG345" s="32"/>
      <c r="EH345" s="32"/>
      <c r="EI345" s="32"/>
      <c r="EJ345" s="32"/>
      <c r="EK345" s="32"/>
    </row>
    <row r="346" spans="42:141">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c r="CK346" s="32"/>
      <c r="CL346" s="32"/>
      <c r="CM346" s="32"/>
      <c r="CN346" s="32"/>
      <c r="CO346" s="32"/>
      <c r="CP346" s="32"/>
      <c r="CQ346" s="32"/>
      <c r="CR346" s="32"/>
      <c r="CS346" s="32"/>
      <c r="CT346" s="32"/>
      <c r="CU346" s="32"/>
      <c r="CV346" s="32"/>
      <c r="CW346" s="32"/>
      <c r="CX346" s="32"/>
      <c r="CY346" s="32"/>
      <c r="CZ346" s="32"/>
      <c r="DA346" s="32"/>
      <c r="DB346" s="32"/>
      <c r="DC346" s="32"/>
      <c r="DD346" s="32"/>
      <c r="DE346" s="32"/>
      <c r="DF346" s="32"/>
      <c r="DG346" s="32"/>
      <c r="DH346" s="32"/>
      <c r="DI346" s="32"/>
      <c r="DJ346" s="32"/>
      <c r="DK346" s="32"/>
      <c r="DL346" s="32"/>
      <c r="DM346" s="32"/>
      <c r="DN346" s="32"/>
      <c r="DO346" s="32"/>
      <c r="DP346" s="32"/>
      <c r="DQ346" s="32"/>
      <c r="DR346" s="32"/>
      <c r="DS346" s="32"/>
      <c r="DT346" s="32"/>
      <c r="DU346" s="32"/>
      <c r="DV346" s="32"/>
      <c r="DW346" s="32"/>
      <c r="DX346" s="32"/>
      <c r="DY346" s="32"/>
      <c r="DZ346" s="32"/>
      <c r="EA346" s="32"/>
      <c r="EB346" s="32"/>
      <c r="EC346" s="32"/>
      <c r="ED346" s="32"/>
      <c r="EE346" s="32"/>
      <c r="EF346" s="32"/>
      <c r="EG346" s="32"/>
      <c r="EH346" s="32"/>
      <c r="EI346" s="32"/>
      <c r="EJ346" s="32"/>
      <c r="EK346" s="32"/>
    </row>
    <row r="347" spans="42:141">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c r="CK347" s="32"/>
      <c r="CL347" s="32"/>
      <c r="CM347" s="32"/>
      <c r="CN347" s="32"/>
      <c r="CO347" s="32"/>
      <c r="CP347" s="32"/>
      <c r="CQ347" s="32"/>
      <c r="CR347" s="32"/>
      <c r="CS347" s="32"/>
      <c r="CT347" s="32"/>
      <c r="CU347" s="32"/>
      <c r="CV347" s="32"/>
      <c r="CW347" s="32"/>
      <c r="CX347" s="32"/>
      <c r="CY347" s="32"/>
      <c r="CZ347" s="32"/>
      <c r="DA347" s="32"/>
      <c r="DB347" s="32"/>
      <c r="DC347" s="32"/>
      <c r="DD347" s="32"/>
      <c r="DE347" s="32"/>
      <c r="DF347" s="32"/>
      <c r="DG347" s="32"/>
      <c r="DH347" s="32"/>
      <c r="DI347" s="32"/>
      <c r="DJ347" s="32"/>
      <c r="DK347" s="32"/>
      <c r="DL347" s="32"/>
      <c r="DM347" s="32"/>
      <c r="DN347" s="32"/>
      <c r="DO347" s="32"/>
      <c r="DP347" s="32"/>
      <c r="DQ347" s="32"/>
      <c r="DR347" s="32"/>
      <c r="DS347" s="32"/>
      <c r="DT347" s="32"/>
      <c r="DU347" s="32"/>
      <c r="DV347" s="32"/>
      <c r="DW347" s="32"/>
      <c r="DX347" s="32"/>
      <c r="DY347" s="32"/>
      <c r="DZ347" s="32"/>
      <c r="EA347" s="32"/>
      <c r="EB347" s="32"/>
      <c r="EC347" s="32"/>
      <c r="ED347" s="32"/>
      <c r="EE347" s="32"/>
      <c r="EF347" s="32"/>
      <c r="EG347" s="32"/>
      <c r="EH347" s="32"/>
      <c r="EI347" s="32"/>
      <c r="EJ347" s="32"/>
      <c r="EK347" s="32"/>
    </row>
    <row r="348" spans="42:141">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c r="CK348" s="32"/>
      <c r="CL348" s="32"/>
      <c r="CM348" s="32"/>
      <c r="CN348" s="32"/>
      <c r="CO348" s="32"/>
      <c r="CP348" s="32"/>
      <c r="CQ348" s="32"/>
      <c r="CR348" s="32"/>
      <c r="CS348" s="32"/>
      <c r="CT348" s="32"/>
      <c r="CU348" s="32"/>
      <c r="CV348" s="32"/>
      <c r="CW348" s="32"/>
      <c r="CX348" s="32"/>
      <c r="CY348" s="32"/>
      <c r="CZ348" s="32"/>
      <c r="DA348" s="32"/>
      <c r="DB348" s="32"/>
      <c r="DC348" s="32"/>
      <c r="DD348" s="32"/>
      <c r="DE348" s="32"/>
      <c r="DF348" s="32"/>
      <c r="DG348" s="32"/>
      <c r="DH348" s="32"/>
      <c r="DI348" s="32"/>
      <c r="DJ348" s="32"/>
      <c r="DK348" s="32"/>
      <c r="DL348" s="32"/>
      <c r="DM348" s="32"/>
      <c r="DN348" s="32"/>
      <c r="DO348" s="32"/>
      <c r="DP348" s="32"/>
      <c r="DQ348" s="32"/>
      <c r="DR348" s="32"/>
      <c r="DS348" s="32"/>
      <c r="DT348" s="32"/>
      <c r="DU348" s="32"/>
      <c r="DV348" s="32"/>
      <c r="DW348" s="32"/>
      <c r="DX348" s="32"/>
      <c r="DY348" s="32"/>
      <c r="DZ348" s="32"/>
      <c r="EA348" s="32"/>
      <c r="EB348" s="32"/>
      <c r="EC348" s="32"/>
      <c r="ED348" s="32"/>
      <c r="EE348" s="32"/>
      <c r="EF348" s="32"/>
      <c r="EG348" s="32"/>
      <c r="EH348" s="32"/>
      <c r="EI348" s="32"/>
      <c r="EJ348" s="32"/>
      <c r="EK348" s="32"/>
    </row>
    <row r="349" spans="42:141">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c r="CK349" s="32"/>
      <c r="CL349" s="32"/>
      <c r="CM349" s="32"/>
      <c r="CN349" s="32"/>
      <c r="CO349" s="32"/>
      <c r="CP349" s="32"/>
      <c r="CQ349" s="32"/>
      <c r="CR349" s="32"/>
      <c r="CS349" s="32"/>
      <c r="CT349" s="32"/>
      <c r="CU349" s="32"/>
      <c r="CV349" s="32"/>
      <c r="CW349" s="32"/>
      <c r="CX349" s="32"/>
      <c r="CY349" s="32"/>
      <c r="CZ349" s="32"/>
      <c r="DA349" s="32"/>
      <c r="DB349" s="32"/>
      <c r="DC349" s="32"/>
      <c r="DD349" s="32"/>
      <c r="DE349" s="32"/>
      <c r="DF349" s="32"/>
      <c r="DG349" s="32"/>
      <c r="DH349" s="32"/>
      <c r="DI349" s="32"/>
      <c r="DJ349" s="32"/>
      <c r="DK349" s="32"/>
      <c r="DL349" s="32"/>
      <c r="DM349" s="32"/>
      <c r="DN349" s="32"/>
      <c r="DO349" s="32"/>
      <c r="DP349" s="32"/>
      <c r="DQ349" s="32"/>
      <c r="DR349" s="32"/>
      <c r="DS349" s="32"/>
      <c r="DT349" s="32"/>
      <c r="DU349" s="32"/>
      <c r="DV349" s="32"/>
      <c r="DW349" s="32"/>
      <c r="DX349" s="32"/>
      <c r="DY349" s="32"/>
      <c r="DZ349" s="32"/>
      <c r="EA349" s="32"/>
      <c r="EB349" s="32"/>
      <c r="EC349" s="32"/>
      <c r="ED349" s="32"/>
      <c r="EE349" s="32"/>
      <c r="EF349" s="32"/>
      <c r="EG349" s="32"/>
      <c r="EH349" s="32"/>
      <c r="EI349" s="32"/>
      <c r="EJ349" s="32"/>
      <c r="EK349" s="32"/>
    </row>
    <row r="350" spans="42:141">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c r="CK350" s="32"/>
      <c r="CL350" s="32"/>
      <c r="CM350" s="32"/>
      <c r="CN350" s="32"/>
      <c r="CO350" s="32"/>
      <c r="CP350" s="32"/>
      <c r="CQ350" s="32"/>
      <c r="CR350" s="32"/>
      <c r="CS350" s="32"/>
      <c r="CT350" s="32"/>
      <c r="CU350" s="32"/>
      <c r="CV350" s="32"/>
      <c r="CW350" s="32"/>
      <c r="CX350" s="32"/>
      <c r="CY350" s="32"/>
      <c r="CZ350" s="32"/>
      <c r="DA350" s="32"/>
      <c r="DB350" s="32"/>
      <c r="DC350" s="32"/>
      <c r="DD350" s="32"/>
      <c r="DE350" s="32"/>
      <c r="DF350" s="32"/>
      <c r="DG350" s="32"/>
      <c r="DH350" s="32"/>
      <c r="DI350" s="32"/>
      <c r="DJ350" s="32"/>
      <c r="DK350" s="32"/>
      <c r="DL350" s="32"/>
      <c r="DM350" s="32"/>
      <c r="DN350" s="32"/>
      <c r="DO350" s="32"/>
      <c r="DP350" s="32"/>
      <c r="DQ350" s="32"/>
      <c r="DR350" s="32"/>
      <c r="DS350" s="32"/>
      <c r="DT350" s="32"/>
      <c r="DU350" s="32"/>
      <c r="DV350" s="32"/>
      <c r="DW350" s="32"/>
      <c r="DX350" s="32"/>
      <c r="DY350" s="32"/>
      <c r="DZ350" s="32"/>
      <c r="EA350" s="32"/>
      <c r="EB350" s="32"/>
      <c r="EC350" s="32"/>
      <c r="ED350" s="32"/>
      <c r="EE350" s="32"/>
      <c r="EF350" s="32"/>
      <c r="EG350" s="32"/>
      <c r="EH350" s="32"/>
      <c r="EI350" s="32"/>
      <c r="EJ350" s="32"/>
      <c r="EK350" s="32"/>
    </row>
    <row r="351" spans="42:141">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c r="CK351" s="32"/>
      <c r="CL351" s="32"/>
      <c r="CM351" s="32"/>
      <c r="CN351" s="32"/>
      <c r="CO351" s="32"/>
      <c r="CP351" s="32"/>
      <c r="CQ351" s="32"/>
      <c r="CR351" s="32"/>
      <c r="CS351" s="32"/>
      <c r="CT351" s="32"/>
      <c r="CU351" s="32"/>
      <c r="CV351" s="32"/>
      <c r="CW351" s="32"/>
      <c r="CX351" s="32"/>
      <c r="CY351" s="32"/>
      <c r="CZ351" s="32"/>
      <c r="DA351" s="32"/>
      <c r="DB351" s="32"/>
      <c r="DC351" s="32"/>
      <c r="DD351" s="32"/>
      <c r="DE351" s="32"/>
      <c r="DF351" s="32"/>
      <c r="DG351" s="32"/>
      <c r="DH351" s="32"/>
      <c r="DI351" s="32"/>
      <c r="DJ351" s="32"/>
      <c r="DK351" s="32"/>
      <c r="DL351" s="32"/>
      <c r="DM351" s="32"/>
      <c r="DN351" s="32"/>
      <c r="DO351" s="32"/>
      <c r="DP351" s="32"/>
      <c r="DQ351" s="32"/>
      <c r="DR351" s="32"/>
      <c r="DS351" s="32"/>
      <c r="DT351" s="32"/>
      <c r="DU351" s="32"/>
      <c r="DV351" s="32"/>
      <c r="DW351" s="32"/>
      <c r="DX351" s="32"/>
      <c r="DY351" s="32"/>
      <c r="DZ351" s="32"/>
      <c r="EA351" s="32"/>
      <c r="EB351" s="32"/>
      <c r="EC351" s="32"/>
      <c r="ED351" s="32"/>
      <c r="EE351" s="32"/>
      <c r="EF351" s="32"/>
      <c r="EG351" s="32"/>
      <c r="EH351" s="32"/>
      <c r="EI351" s="32"/>
      <c r="EJ351" s="32"/>
      <c r="EK351" s="32"/>
    </row>
    <row r="352" spans="42:141">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c r="CK352" s="32"/>
      <c r="CL352" s="32"/>
      <c r="CM352" s="32"/>
      <c r="CN352" s="32"/>
      <c r="CO352" s="32"/>
      <c r="CP352" s="32"/>
      <c r="CQ352" s="32"/>
      <c r="CR352" s="32"/>
      <c r="CS352" s="32"/>
      <c r="CT352" s="32"/>
      <c r="CU352" s="32"/>
      <c r="CV352" s="32"/>
      <c r="CW352" s="32"/>
      <c r="CX352" s="32"/>
      <c r="CY352" s="32"/>
      <c r="CZ352" s="32"/>
      <c r="DA352" s="32"/>
      <c r="DB352" s="32"/>
      <c r="DC352" s="32"/>
      <c r="DD352" s="32"/>
      <c r="DE352" s="32"/>
      <c r="DF352" s="32"/>
      <c r="DG352" s="32"/>
      <c r="DH352" s="32"/>
      <c r="DI352" s="32"/>
      <c r="DJ352" s="32"/>
      <c r="DK352" s="32"/>
      <c r="DL352" s="32"/>
      <c r="DM352" s="32"/>
      <c r="DN352" s="32"/>
      <c r="DO352" s="32"/>
      <c r="DP352" s="32"/>
      <c r="DQ352" s="32"/>
      <c r="DR352" s="32"/>
      <c r="DS352" s="32"/>
      <c r="DT352" s="32"/>
      <c r="DU352" s="32"/>
      <c r="DV352" s="32"/>
      <c r="DW352" s="32"/>
      <c r="DX352" s="32"/>
      <c r="DY352" s="32"/>
      <c r="DZ352" s="32"/>
      <c r="EA352" s="32"/>
      <c r="EB352" s="32"/>
      <c r="EC352" s="32"/>
      <c r="ED352" s="32"/>
      <c r="EE352" s="32"/>
      <c r="EF352" s="32"/>
      <c r="EG352" s="32"/>
      <c r="EH352" s="32"/>
      <c r="EI352" s="32"/>
      <c r="EJ352" s="32"/>
      <c r="EK352" s="32"/>
    </row>
    <row r="353" spans="42:141">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c r="CK353" s="32"/>
      <c r="CL353" s="32"/>
      <c r="CM353" s="32"/>
      <c r="CN353" s="32"/>
      <c r="CO353" s="32"/>
      <c r="CP353" s="32"/>
      <c r="CQ353" s="32"/>
      <c r="CR353" s="32"/>
      <c r="CS353" s="32"/>
      <c r="CT353" s="32"/>
      <c r="CU353" s="32"/>
      <c r="CV353" s="32"/>
      <c r="CW353" s="32"/>
      <c r="CX353" s="32"/>
      <c r="CY353" s="32"/>
      <c r="CZ353" s="32"/>
      <c r="DA353" s="32"/>
      <c r="DB353" s="32"/>
      <c r="DC353" s="32"/>
      <c r="DD353" s="32"/>
      <c r="DE353" s="32"/>
      <c r="DF353" s="32"/>
      <c r="DG353" s="32"/>
      <c r="DH353" s="32"/>
      <c r="DI353" s="32"/>
      <c r="DJ353" s="32"/>
      <c r="DK353" s="32"/>
      <c r="DL353" s="32"/>
      <c r="DM353" s="32"/>
      <c r="DN353" s="32"/>
      <c r="DO353" s="32"/>
      <c r="DP353" s="32"/>
      <c r="DQ353" s="32"/>
      <c r="DR353" s="32"/>
      <c r="DS353" s="32"/>
      <c r="DT353" s="32"/>
      <c r="DU353" s="32"/>
      <c r="DV353" s="32"/>
      <c r="DW353" s="32"/>
      <c r="DX353" s="32"/>
      <c r="DY353" s="32"/>
      <c r="DZ353" s="32"/>
      <c r="EA353" s="32"/>
      <c r="EB353" s="32"/>
      <c r="EC353" s="32"/>
      <c r="ED353" s="32"/>
      <c r="EE353" s="32"/>
      <c r="EF353" s="32"/>
      <c r="EG353" s="32"/>
      <c r="EH353" s="32"/>
      <c r="EI353" s="32"/>
      <c r="EJ353" s="32"/>
      <c r="EK353" s="32"/>
    </row>
    <row r="354" spans="42:141">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c r="CK354" s="32"/>
      <c r="CL354" s="32"/>
      <c r="CM354" s="32"/>
      <c r="CN354" s="32"/>
      <c r="CO354" s="32"/>
      <c r="CP354" s="32"/>
      <c r="CQ354" s="32"/>
      <c r="CR354" s="32"/>
      <c r="CS354" s="32"/>
      <c r="CT354" s="32"/>
      <c r="CU354" s="32"/>
      <c r="CV354" s="32"/>
      <c r="CW354" s="32"/>
      <c r="CX354" s="32"/>
      <c r="CY354" s="32"/>
      <c r="CZ354" s="32"/>
      <c r="DA354" s="32"/>
      <c r="DB354" s="32"/>
      <c r="DC354" s="32"/>
      <c r="DD354" s="32"/>
      <c r="DE354" s="32"/>
      <c r="DF354" s="32"/>
      <c r="DG354" s="32"/>
      <c r="DH354" s="32"/>
      <c r="DI354" s="32"/>
      <c r="DJ354" s="32"/>
      <c r="DK354" s="32"/>
      <c r="DL354" s="32"/>
      <c r="DM354" s="32"/>
      <c r="DN354" s="32"/>
      <c r="DO354" s="32"/>
      <c r="DP354" s="32"/>
      <c r="DQ354" s="32"/>
      <c r="DR354" s="32"/>
      <c r="DS354" s="32"/>
      <c r="DT354" s="32"/>
      <c r="DU354" s="32"/>
      <c r="DV354" s="32"/>
      <c r="DW354" s="32"/>
      <c r="DX354" s="32"/>
      <c r="DY354" s="32"/>
      <c r="DZ354" s="32"/>
      <c r="EA354" s="32"/>
      <c r="EB354" s="32"/>
      <c r="EC354" s="32"/>
      <c r="ED354" s="32"/>
      <c r="EE354" s="32"/>
      <c r="EF354" s="32"/>
      <c r="EG354" s="32"/>
      <c r="EH354" s="32"/>
      <c r="EI354" s="32"/>
      <c r="EJ354" s="32"/>
      <c r="EK354" s="32"/>
    </row>
    <row r="355" spans="42:141">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c r="CV355" s="32"/>
      <c r="CW355" s="32"/>
      <c r="CX355" s="32"/>
      <c r="CY355" s="32"/>
      <c r="CZ355" s="32"/>
      <c r="DA355" s="32"/>
      <c r="DB355" s="32"/>
      <c r="DC355" s="32"/>
      <c r="DD355" s="32"/>
      <c r="DE355" s="32"/>
      <c r="DF355" s="32"/>
      <c r="DG355" s="32"/>
      <c r="DH355" s="32"/>
      <c r="DI355" s="32"/>
      <c r="DJ355" s="32"/>
      <c r="DK355" s="32"/>
      <c r="DL355" s="32"/>
      <c r="DM355" s="32"/>
      <c r="DN355" s="32"/>
      <c r="DO355" s="32"/>
      <c r="DP355" s="32"/>
      <c r="DQ355" s="32"/>
      <c r="DR355" s="32"/>
      <c r="DS355" s="32"/>
      <c r="DT355" s="32"/>
      <c r="DU355" s="32"/>
      <c r="DV355" s="32"/>
      <c r="DW355" s="32"/>
      <c r="DX355" s="32"/>
      <c r="DY355" s="32"/>
      <c r="DZ355" s="32"/>
      <c r="EA355" s="32"/>
      <c r="EB355" s="32"/>
      <c r="EC355" s="32"/>
      <c r="ED355" s="32"/>
      <c r="EE355" s="32"/>
      <c r="EF355" s="32"/>
      <c r="EG355" s="32"/>
      <c r="EH355" s="32"/>
      <c r="EI355" s="32"/>
      <c r="EJ355" s="32"/>
      <c r="EK355" s="32"/>
    </row>
    <row r="356" spans="42:141">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c r="CV356" s="32"/>
      <c r="CW356" s="32"/>
      <c r="CX356" s="32"/>
      <c r="CY356" s="32"/>
      <c r="CZ356" s="32"/>
      <c r="DA356" s="32"/>
      <c r="DB356" s="32"/>
      <c r="DC356" s="32"/>
      <c r="DD356" s="32"/>
      <c r="DE356" s="32"/>
      <c r="DF356" s="32"/>
      <c r="DG356" s="32"/>
      <c r="DH356" s="32"/>
      <c r="DI356" s="32"/>
      <c r="DJ356" s="32"/>
      <c r="DK356" s="32"/>
      <c r="DL356" s="32"/>
      <c r="DM356" s="32"/>
      <c r="DN356" s="32"/>
      <c r="DO356" s="32"/>
      <c r="DP356" s="32"/>
      <c r="DQ356" s="32"/>
      <c r="DR356" s="32"/>
      <c r="DS356" s="32"/>
      <c r="DT356" s="32"/>
      <c r="DU356" s="32"/>
      <c r="DV356" s="32"/>
      <c r="DW356" s="32"/>
      <c r="DX356" s="32"/>
      <c r="DY356" s="32"/>
      <c r="DZ356" s="32"/>
      <c r="EA356" s="32"/>
      <c r="EB356" s="32"/>
      <c r="EC356" s="32"/>
      <c r="ED356" s="32"/>
      <c r="EE356" s="32"/>
      <c r="EF356" s="32"/>
      <c r="EG356" s="32"/>
      <c r="EH356" s="32"/>
      <c r="EI356" s="32"/>
      <c r="EJ356" s="32"/>
      <c r="EK356" s="32"/>
    </row>
    <row r="357" spans="42:141">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c r="CK357" s="32"/>
      <c r="CL357" s="32"/>
      <c r="CM357" s="32"/>
      <c r="CN357" s="32"/>
      <c r="CO357" s="32"/>
      <c r="CP357" s="32"/>
      <c r="CQ357" s="32"/>
      <c r="CR357" s="32"/>
      <c r="CS357" s="32"/>
      <c r="CT357" s="32"/>
      <c r="CU357" s="32"/>
      <c r="CV357" s="32"/>
      <c r="CW357" s="32"/>
      <c r="CX357" s="32"/>
      <c r="CY357" s="32"/>
      <c r="CZ357" s="32"/>
      <c r="DA357" s="32"/>
      <c r="DB357" s="32"/>
      <c r="DC357" s="32"/>
      <c r="DD357" s="32"/>
      <c r="DE357" s="32"/>
      <c r="DF357" s="32"/>
      <c r="DG357" s="32"/>
      <c r="DH357" s="32"/>
      <c r="DI357" s="32"/>
      <c r="DJ357" s="32"/>
      <c r="DK357" s="32"/>
      <c r="DL357" s="32"/>
      <c r="DM357" s="32"/>
      <c r="DN357" s="32"/>
      <c r="DO357" s="32"/>
      <c r="DP357" s="32"/>
      <c r="DQ357" s="32"/>
      <c r="DR357" s="32"/>
      <c r="DS357" s="32"/>
      <c r="DT357" s="32"/>
      <c r="DU357" s="32"/>
      <c r="DV357" s="32"/>
      <c r="DW357" s="32"/>
      <c r="DX357" s="32"/>
      <c r="DY357" s="32"/>
      <c r="DZ357" s="32"/>
      <c r="EA357" s="32"/>
      <c r="EB357" s="32"/>
      <c r="EC357" s="32"/>
      <c r="ED357" s="32"/>
      <c r="EE357" s="32"/>
      <c r="EF357" s="32"/>
      <c r="EG357" s="32"/>
      <c r="EH357" s="32"/>
      <c r="EI357" s="32"/>
      <c r="EJ357" s="32"/>
      <c r="EK357" s="32"/>
    </row>
    <row r="358" spans="42:141">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c r="CK358" s="32"/>
      <c r="CL358" s="32"/>
      <c r="CM358" s="32"/>
      <c r="CN358" s="32"/>
      <c r="CO358" s="32"/>
      <c r="CP358" s="32"/>
      <c r="CQ358" s="32"/>
      <c r="CR358" s="32"/>
      <c r="CS358" s="32"/>
      <c r="CT358" s="32"/>
      <c r="CU358" s="32"/>
      <c r="CV358" s="32"/>
      <c r="CW358" s="32"/>
      <c r="CX358" s="32"/>
      <c r="CY358" s="32"/>
      <c r="CZ358" s="32"/>
      <c r="DA358" s="32"/>
      <c r="DB358" s="32"/>
      <c r="DC358" s="32"/>
      <c r="DD358" s="32"/>
      <c r="DE358" s="32"/>
      <c r="DF358" s="32"/>
      <c r="DG358" s="32"/>
      <c r="DH358" s="32"/>
      <c r="DI358" s="32"/>
      <c r="DJ358" s="32"/>
      <c r="DK358" s="32"/>
      <c r="DL358" s="32"/>
      <c r="DM358" s="32"/>
      <c r="DN358" s="32"/>
      <c r="DO358" s="32"/>
      <c r="DP358" s="32"/>
      <c r="DQ358" s="32"/>
      <c r="DR358" s="32"/>
      <c r="DS358" s="32"/>
      <c r="DT358" s="32"/>
      <c r="DU358" s="32"/>
      <c r="DV358" s="32"/>
      <c r="DW358" s="32"/>
      <c r="DX358" s="32"/>
      <c r="DY358" s="32"/>
      <c r="DZ358" s="32"/>
      <c r="EA358" s="32"/>
      <c r="EB358" s="32"/>
      <c r="EC358" s="32"/>
      <c r="ED358" s="32"/>
      <c r="EE358" s="32"/>
      <c r="EF358" s="32"/>
      <c r="EG358" s="32"/>
      <c r="EH358" s="32"/>
      <c r="EI358" s="32"/>
      <c r="EJ358" s="32"/>
      <c r="EK358" s="32"/>
    </row>
    <row r="359" spans="42:141">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c r="CV359" s="32"/>
      <c r="CW359" s="32"/>
      <c r="CX359" s="32"/>
      <c r="CY359" s="32"/>
      <c r="CZ359" s="32"/>
      <c r="DA359" s="32"/>
      <c r="DB359" s="32"/>
      <c r="DC359" s="32"/>
      <c r="DD359" s="32"/>
      <c r="DE359" s="32"/>
      <c r="DF359" s="32"/>
      <c r="DG359" s="32"/>
      <c r="DH359" s="32"/>
      <c r="DI359" s="32"/>
      <c r="DJ359" s="32"/>
      <c r="DK359" s="32"/>
      <c r="DL359" s="32"/>
      <c r="DM359" s="32"/>
      <c r="DN359" s="32"/>
      <c r="DO359" s="32"/>
      <c r="DP359" s="32"/>
      <c r="DQ359" s="32"/>
      <c r="DR359" s="32"/>
      <c r="DS359" s="32"/>
      <c r="DT359" s="32"/>
      <c r="DU359" s="32"/>
      <c r="DV359" s="32"/>
      <c r="DW359" s="32"/>
      <c r="DX359" s="32"/>
      <c r="DY359" s="32"/>
      <c r="DZ359" s="32"/>
      <c r="EA359" s="32"/>
      <c r="EB359" s="32"/>
      <c r="EC359" s="32"/>
      <c r="ED359" s="32"/>
      <c r="EE359" s="32"/>
      <c r="EF359" s="32"/>
      <c r="EG359" s="32"/>
      <c r="EH359" s="32"/>
      <c r="EI359" s="32"/>
      <c r="EJ359" s="32"/>
      <c r="EK359" s="32"/>
    </row>
    <row r="360" spans="42:141">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c r="CL360" s="32"/>
      <c r="CM360" s="32"/>
      <c r="CN360" s="32"/>
      <c r="CO360" s="32"/>
      <c r="CP360" s="32"/>
      <c r="CQ360" s="32"/>
      <c r="CR360" s="32"/>
      <c r="CS360" s="32"/>
      <c r="CT360" s="32"/>
      <c r="CU360" s="32"/>
      <c r="CV360" s="32"/>
      <c r="CW360" s="32"/>
      <c r="CX360" s="32"/>
      <c r="CY360" s="32"/>
      <c r="CZ360" s="32"/>
      <c r="DA360" s="32"/>
      <c r="DB360" s="32"/>
      <c r="DC360" s="32"/>
      <c r="DD360" s="32"/>
      <c r="DE360" s="32"/>
      <c r="DF360" s="32"/>
      <c r="DG360" s="32"/>
      <c r="DH360" s="32"/>
      <c r="DI360" s="32"/>
      <c r="DJ360" s="32"/>
      <c r="DK360" s="32"/>
      <c r="DL360" s="32"/>
      <c r="DM360" s="32"/>
      <c r="DN360" s="32"/>
      <c r="DO360" s="32"/>
      <c r="DP360" s="32"/>
      <c r="DQ360" s="32"/>
      <c r="DR360" s="32"/>
      <c r="DS360" s="32"/>
      <c r="DT360" s="32"/>
      <c r="DU360" s="32"/>
      <c r="DV360" s="32"/>
      <c r="DW360" s="32"/>
      <c r="DX360" s="32"/>
      <c r="DY360" s="32"/>
      <c r="DZ360" s="32"/>
      <c r="EA360" s="32"/>
      <c r="EB360" s="32"/>
      <c r="EC360" s="32"/>
      <c r="ED360" s="32"/>
      <c r="EE360" s="32"/>
      <c r="EF360" s="32"/>
      <c r="EG360" s="32"/>
      <c r="EH360" s="32"/>
      <c r="EI360" s="32"/>
      <c r="EJ360" s="32"/>
      <c r="EK360" s="32"/>
    </row>
    <row r="361" spans="42:141">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c r="CL361" s="32"/>
      <c r="CM361" s="32"/>
      <c r="CN361" s="32"/>
      <c r="CO361" s="32"/>
      <c r="CP361" s="32"/>
      <c r="CQ361" s="32"/>
      <c r="CR361" s="32"/>
      <c r="CS361" s="32"/>
      <c r="CT361" s="32"/>
      <c r="CU361" s="32"/>
      <c r="CV361" s="32"/>
      <c r="CW361" s="32"/>
      <c r="CX361" s="32"/>
      <c r="CY361" s="32"/>
      <c r="CZ361" s="32"/>
      <c r="DA361" s="32"/>
      <c r="DB361" s="32"/>
      <c r="DC361" s="32"/>
      <c r="DD361" s="32"/>
      <c r="DE361" s="32"/>
      <c r="DF361" s="32"/>
      <c r="DG361" s="32"/>
      <c r="DH361" s="32"/>
      <c r="DI361" s="32"/>
      <c r="DJ361" s="32"/>
      <c r="DK361" s="32"/>
      <c r="DL361" s="32"/>
      <c r="DM361" s="32"/>
      <c r="DN361" s="32"/>
      <c r="DO361" s="32"/>
      <c r="DP361" s="32"/>
      <c r="DQ361" s="32"/>
      <c r="DR361" s="32"/>
      <c r="DS361" s="32"/>
      <c r="DT361" s="32"/>
      <c r="DU361" s="32"/>
      <c r="DV361" s="32"/>
      <c r="DW361" s="32"/>
      <c r="DX361" s="32"/>
      <c r="DY361" s="32"/>
      <c r="DZ361" s="32"/>
      <c r="EA361" s="32"/>
      <c r="EB361" s="32"/>
      <c r="EC361" s="32"/>
      <c r="ED361" s="32"/>
      <c r="EE361" s="32"/>
      <c r="EF361" s="32"/>
      <c r="EG361" s="32"/>
      <c r="EH361" s="32"/>
      <c r="EI361" s="32"/>
      <c r="EJ361" s="32"/>
      <c r="EK361" s="32"/>
    </row>
    <row r="362" spans="42:141">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c r="CL362" s="32"/>
      <c r="CM362" s="32"/>
      <c r="CN362" s="32"/>
      <c r="CO362" s="32"/>
      <c r="CP362" s="32"/>
      <c r="CQ362" s="32"/>
      <c r="CR362" s="32"/>
      <c r="CS362" s="32"/>
      <c r="CT362" s="32"/>
      <c r="CU362" s="32"/>
      <c r="CV362" s="32"/>
      <c r="CW362" s="32"/>
      <c r="CX362" s="32"/>
      <c r="CY362" s="32"/>
      <c r="CZ362" s="32"/>
      <c r="DA362" s="32"/>
      <c r="DB362" s="32"/>
      <c r="DC362" s="32"/>
      <c r="DD362" s="32"/>
      <c r="DE362" s="32"/>
      <c r="DF362" s="32"/>
      <c r="DG362" s="32"/>
      <c r="DH362" s="32"/>
      <c r="DI362" s="32"/>
      <c r="DJ362" s="32"/>
      <c r="DK362" s="32"/>
      <c r="DL362" s="32"/>
      <c r="DM362" s="32"/>
      <c r="DN362" s="32"/>
      <c r="DO362" s="32"/>
      <c r="DP362" s="32"/>
      <c r="DQ362" s="32"/>
      <c r="DR362" s="32"/>
      <c r="DS362" s="32"/>
      <c r="DT362" s="32"/>
      <c r="DU362" s="32"/>
      <c r="DV362" s="32"/>
      <c r="DW362" s="32"/>
      <c r="DX362" s="32"/>
      <c r="DY362" s="32"/>
      <c r="DZ362" s="32"/>
      <c r="EA362" s="32"/>
      <c r="EB362" s="32"/>
      <c r="EC362" s="32"/>
      <c r="ED362" s="32"/>
      <c r="EE362" s="32"/>
      <c r="EF362" s="32"/>
      <c r="EG362" s="32"/>
      <c r="EH362" s="32"/>
      <c r="EI362" s="32"/>
      <c r="EJ362" s="32"/>
      <c r="EK362" s="32"/>
    </row>
    <row r="363" spans="42:141">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c r="CL363" s="32"/>
      <c r="CM363" s="32"/>
      <c r="CN363" s="32"/>
      <c r="CO363" s="32"/>
      <c r="CP363" s="32"/>
      <c r="CQ363" s="32"/>
      <c r="CR363" s="32"/>
      <c r="CS363" s="32"/>
      <c r="CT363" s="32"/>
      <c r="CU363" s="32"/>
      <c r="CV363" s="32"/>
      <c r="CW363" s="32"/>
      <c r="CX363" s="32"/>
      <c r="CY363" s="32"/>
      <c r="CZ363" s="32"/>
      <c r="DA363" s="32"/>
      <c r="DB363" s="32"/>
      <c r="DC363" s="32"/>
      <c r="DD363" s="32"/>
      <c r="DE363" s="32"/>
      <c r="DF363" s="32"/>
      <c r="DG363" s="32"/>
      <c r="DH363" s="32"/>
      <c r="DI363" s="32"/>
      <c r="DJ363" s="32"/>
      <c r="DK363" s="32"/>
      <c r="DL363" s="32"/>
      <c r="DM363" s="32"/>
      <c r="DN363" s="32"/>
      <c r="DO363" s="32"/>
      <c r="DP363" s="32"/>
      <c r="DQ363" s="32"/>
      <c r="DR363" s="32"/>
      <c r="DS363" s="32"/>
      <c r="DT363" s="32"/>
      <c r="DU363" s="32"/>
      <c r="DV363" s="32"/>
      <c r="DW363" s="32"/>
      <c r="DX363" s="32"/>
      <c r="DY363" s="32"/>
      <c r="DZ363" s="32"/>
      <c r="EA363" s="32"/>
      <c r="EB363" s="32"/>
      <c r="EC363" s="32"/>
      <c r="ED363" s="32"/>
      <c r="EE363" s="32"/>
      <c r="EF363" s="32"/>
      <c r="EG363" s="32"/>
      <c r="EH363" s="32"/>
      <c r="EI363" s="32"/>
      <c r="EJ363" s="32"/>
      <c r="EK363" s="32"/>
    </row>
    <row r="364" spans="42:141">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c r="CL364" s="32"/>
      <c r="CM364" s="32"/>
      <c r="CN364" s="32"/>
      <c r="CO364" s="32"/>
      <c r="CP364" s="32"/>
      <c r="CQ364" s="32"/>
      <c r="CR364" s="32"/>
      <c r="CS364" s="32"/>
      <c r="CT364" s="32"/>
      <c r="CU364" s="32"/>
      <c r="CV364" s="32"/>
      <c r="CW364" s="32"/>
      <c r="CX364" s="32"/>
      <c r="CY364" s="32"/>
      <c r="CZ364" s="32"/>
      <c r="DA364" s="32"/>
      <c r="DB364" s="32"/>
      <c r="DC364" s="32"/>
      <c r="DD364" s="32"/>
      <c r="DE364" s="32"/>
      <c r="DF364" s="32"/>
      <c r="DG364" s="32"/>
      <c r="DH364" s="32"/>
      <c r="DI364" s="32"/>
      <c r="DJ364" s="32"/>
      <c r="DK364" s="32"/>
      <c r="DL364" s="32"/>
      <c r="DM364" s="32"/>
      <c r="DN364" s="32"/>
      <c r="DO364" s="32"/>
      <c r="DP364" s="32"/>
      <c r="DQ364" s="32"/>
      <c r="DR364" s="32"/>
      <c r="DS364" s="32"/>
      <c r="DT364" s="32"/>
      <c r="DU364" s="32"/>
      <c r="DV364" s="32"/>
      <c r="DW364" s="32"/>
      <c r="DX364" s="32"/>
      <c r="DY364" s="32"/>
      <c r="DZ364" s="32"/>
      <c r="EA364" s="32"/>
      <c r="EB364" s="32"/>
      <c r="EC364" s="32"/>
      <c r="ED364" s="32"/>
      <c r="EE364" s="32"/>
      <c r="EF364" s="32"/>
      <c r="EG364" s="32"/>
      <c r="EH364" s="32"/>
      <c r="EI364" s="32"/>
      <c r="EJ364" s="32"/>
      <c r="EK364" s="32"/>
    </row>
    <row r="365" spans="42:141">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c r="CL365" s="32"/>
      <c r="CM365" s="32"/>
      <c r="CN365" s="32"/>
      <c r="CO365" s="32"/>
      <c r="CP365" s="32"/>
      <c r="CQ365" s="32"/>
      <c r="CR365" s="32"/>
      <c r="CS365" s="32"/>
      <c r="CT365" s="32"/>
      <c r="CU365" s="32"/>
      <c r="CV365" s="32"/>
      <c r="CW365" s="32"/>
      <c r="CX365" s="32"/>
      <c r="CY365" s="32"/>
      <c r="CZ365" s="32"/>
      <c r="DA365" s="32"/>
      <c r="DB365" s="32"/>
      <c r="DC365" s="32"/>
      <c r="DD365" s="32"/>
      <c r="DE365" s="32"/>
      <c r="DF365" s="32"/>
      <c r="DG365" s="32"/>
      <c r="DH365" s="32"/>
      <c r="DI365" s="32"/>
      <c r="DJ365" s="32"/>
      <c r="DK365" s="32"/>
      <c r="DL365" s="32"/>
      <c r="DM365" s="32"/>
      <c r="DN365" s="32"/>
      <c r="DO365" s="32"/>
      <c r="DP365" s="32"/>
      <c r="DQ365" s="32"/>
      <c r="DR365" s="32"/>
      <c r="DS365" s="32"/>
      <c r="DT365" s="32"/>
      <c r="DU365" s="32"/>
      <c r="DV365" s="32"/>
      <c r="DW365" s="32"/>
      <c r="DX365" s="32"/>
      <c r="DY365" s="32"/>
      <c r="DZ365" s="32"/>
      <c r="EA365" s="32"/>
      <c r="EB365" s="32"/>
      <c r="EC365" s="32"/>
      <c r="ED365" s="32"/>
      <c r="EE365" s="32"/>
      <c r="EF365" s="32"/>
      <c r="EG365" s="32"/>
      <c r="EH365" s="32"/>
      <c r="EI365" s="32"/>
      <c r="EJ365" s="32"/>
      <c r="EK365" s="32"/>
    </row>
    <row r="366" spans="42:141">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c r="CL366" s="32"/>
      <c r="CM366" s="32"/>
      <c r="CN366" s="32"/>
      <c r="CO366" s="32"/>
      <c r="CP366" s="32"/>
      <c r="CQ366" s="32"/>
      <c r="CR366" s="32"/>
      <c r="CS366" s="32"/>
      <c r="CT366" s="32"/>
      <c r="CU366" s="32"/>
      <c r="CV366" s="32"/>
      <c r="CW366" s="32"/>
      <c r="CX366" s="32"/>
      <c r="CY366" s="32"/>
      <c r="CZ366" s="32"/>
      <c r="DA366" s="32"/>
      <c r="DB366" s="32"/>
      <c r="DC366" s="32"/>
      <c r="DD366" s="32"/>
      <c r="DE366" s="32"/>
      <c r="DF366" s="32"/>
      <c r="DG366" s="32"/>
      <c r="DH366" s="32"/>
      <c r="DI366" s="32"/>
      <c r="DJ366" s="32"/>
      <c r="DK366" s="32"/>
      <c r="DL366" s="32"/>
      <c r="DM366" s="32"/>
      <c r="DN366" s="32"/>
      <c r="DO366" s="32"/>
      <c r="DP366" s="32"/>
      <c r="DQ366" s="32"/>
      <c r="DR366" s="32"/>
      <c r="DS366" s="32"/>
      <c r="DT366" s="32"/>
      <c r="DU366" s="32"/>
      <c r="DV366" s="32"/>
      <c r="DW366" s="32"/>
      <c r="DX366" s="32"/>
      <c r="DY366" s="32"/>
      <c r="DZ366" s="32"/>
      <c r="EA366" s="32"/>
      <c r="EB366" s="32"/>
      <c r="EC366" s="32"/>
      <c r="ED366" s="32"/>
      <c r="EE366" s="32"/>
      <c r="EF366" s="32"/>
      <c r="EG366" s="32"/>
      <c r="EH366" s="32"/>
      <c r="EI366" s="32"/>
      <c r="EJ366" s="32"/>
      <c r="EK366" s="32"/>
    </row>
    <row r="367" spans="42:141">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c r="CL367" s="32"/>
      <c r="CM367" s="32"/>
      <c r="CN367" s="32"/>
      <c r="CO367" s="32"/>
      <c r="CP367" s="32"/>
      <c r="CQ367" s="32"/>
      <c r="CR367" s="32"/>
      <c r="CS367" s="32"/>
      <c r="CT367" s="32"/>
      <c r="CU367" s="32"/>
      <c r="CV367" s="32"/>
      <c r="CW367" s="32"/>
      <c r="CX367" s="32"/>
      <c r="CY367" s="32"/>
      <c r="CZ367" s="32"/>
      <c r="DA367" s="32"/>
      <c r="DB367" s="32"/>
      <c r="DC367" s="32"/>
      <c r="DD367" s="32"/>
      <c r="DE367" s="32"/>
      <c r="DF367" s="32"/>
      <c r="DG367" s="32"/>
      <c r="DH367" s="32"/>
      <c r="DI367" s="32"/>
      <c r="DJ367" s="32"/>
      <c r="DK367" s="32"/>
      <c r="DL367" s="32"/>
      <c r="DM367" s="32"/>
      <c r="DN367" s="32"/>
      <c r="DO367" s="32"/>
      <c r="DP367" s="32"/>
      <c r="DQ367" s="32"/>
      <c r="DR367" s="32"/>
      <c r="DS367" s="32"/>
      <c r="DT367" s="32"/>
      <c r="DU367" s="32"/>
      <c r="DV367" s="32"/>
      <c r="DW367" s="32"/>
      <c r="DX367" s="32"/>
      <c r="DY367" s="32"/>
      <c r="DZ367" s="32"/>
      <c r="EA367" s="32"/>
      <c r="EB367" s="32"/>
      <c r="EC367" s="32"/>
      <c r="ED367" s="32"/>
      <c r="EE367" s="32"/>
      <c r="EF367" s="32"/>
      <c r="EG367" s="32"/>
      <c r="EH367" s="32"/>
      <c r="EI367" s="32"/>
      <c r="EJ367" s="32"/>
      <c r="EK367" s="32"/>
    </row>
    <row r="368" spans="42:141">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32"/>
      <c r="CU368" s="32"/>
      <c r="CV368" s="32"/>
      <c r="CW368" s="32"/>
      <c r="CX368" s="32"/>
      <c r="CY368" s="32"/>
      <c r="CZ368" s="32"/>
      <c r="DA368" s="32"/>
      <c r="DB368" s="32"/>
      <c r="DC368" s="32"/>
      <c r="DD368" s="32"/>
      <c r="DE368" s="32"/>
      <c r="DF368" s="32"/>
      <c r="DG368" s="32"/>
      <c r="DH368" s="32"/>
      <c r="DI368" s="32"/>
      <c r="DJ368" s="32"/>
      <c r="DK368" s="32"/>
      <c r="DL368" s="32"/>
      <c r="DM368" s="32"/>
      <c r="DN368" s="32"/>
      <c r="DO368" s="32"/>
      <c r="DP368" s="32"/>
      <c r="DQ368" s="32"/>
      <c r="DR368" s="32"/>
      <c r="DS368" s="32"/>
      <c r="DT368" s="32"/>
      <c r="DU368" s="32"/>
      <c r="DV368" s="32"/>
      <c r="DW368" s="32"/>
      <c r="DX368" s="32"/>
      <c r="DY368" s="32"/>
      <c r="DZ368" s="32"/>
      <c r="EA368" s="32"/>
      <c r="EB368" s="32"/>
      <c r="EC368" s="32"/>
      <c r="ED368" s="32"/>
      <c r="EE368" s="32"/>
      <c r="EF368" s="32"/>
      <c r="EG368" s="32"/>
      <c r="EH368" s="32"/>
      <c r="EI368" s="32"/>
      <c r="EJ368" s="32"/>
      <c r="EK368" s="32"/>
    </row>
    <row r="369" spans="42:141">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32"/>
      <c r="CU369" s="32"/>
      <c r="CV369" s="32"/>
      <c r="CW369" s="32"/>
      <c r="CX369" s="32"/>
      <c r="CY369" s="32"/>
      <c r="CZ369" s="32"/>
      <c r="DA369" s="32"/>
      <c r="DB369" s="32"/>
      <c r="DC369" s="32"/>
      <c r="DD369" s="32"/>
      <c r="DE369" s="32"/>
      <c r="DF369" s="32"/>
      <c r="DG369" s="32"/>
      <c r="DH369" s="32"/>
      <c r="DI369" s="32"/>
      <c r="DJ369" s="32"/>
      <c r="DK369" s="32"/>
      <c r="DL369" s="32"/>
      <c r="DM369" s="32"/>
      <c r="DN369" s="32"/>
      <c r="DO369" s="32"/>
      <c r="DP369" s="32"/>
      <c r="DQ369" s="32"/>
      <c r="DR369" s="32"/>
      <c r="DS369" s="32"/>
      <c r="DT369" s="32"/>
      <c r="DU369" s="32"/>
      <c r="DV369" s="32"/>
      <c r="DW369" s="32"/>
      <c r="DX369" s="32"/>
      <c r="DY369" s="32"/>
      <c r="DZ369" s="32"/>
      <c r="EA369" s="32"/>
      <c r="EB369" s="32"/>
      <c r="EC369" s="32"/>
      <c r="ED369" s="32"/>
      <c r="EE369" s="32"/>
      <c r="EF369" s="32"/>
      <c r="EG369" s="32"/>
      <c r="EH369" s="32"/>
      <c r="EI369" s="32"/>
      <c r="EJ369" s="32"/>
      <c r="EK369" s="32"/>
    </row>
    <row r="370" spans="42:141">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32"/>
      <c r="CU370" s="32"/>
      <c r="CV370" s="32"/>
      <c r="CW370" s="32"/>
      <c r="CX370" s="32"/>
      <c r="CY370" s="32"/>
      <c r="CZ370" s="32"/>
      <c r="DA370" s="32"/>
      <c r="DB370" s="32"/>
      <c r="DC370" s="32"/>
      <c r="DD370" s="32"/>
      <c r="DE370" s="32"/>
      <c r="DF370" s="32"/>
      <c r="DG370" s="32"/>
      <c r="DH370" s="32"/>
      <c r="DI370" s="32"/>
      <c r="DJ370" s="32"/>
      <c r="DK370" s="32"/>
      <c r="DL370" s="32"/>
      <c r="DM370" s="32"/>
      <c r="DN370" s="32"/>
      <c r="DO370" s="32"/>
      <c r="DP370" s="32"/>
      <c r="DQ370" s="32"/>
      <c r="DR370" s="32"/>
      <c r="DS370" s="32"/>
      <c r="DT370" s="32"/>
      <c r="DU370" s="32"/>
      <c r="DV370" s="32"/>
      <c r="DW370" s="32"/>
      <c r="DX370" s="32"/>
      <c r="DY370" s="32"/>
      <c r="DZ370" s="32"/>
      <c r="EA370" s="32"/>
      <c r="EB370" s="32"/>
      <c r="EC370" s="32"/>
      <c r="ED370" s="32"/>
      <c r="EE370" s="32"/>
      <c r="EF370" s="32"/>
      <c r="EG370" s="32"/>
      <c r="EH370" s="32"/>
      <c r="EI370" s="32"/>
      <c r="EJ370" s="32"/>
      <c r="EK370" s="32"/>
    </row>
    <row r="371" spans="42:141">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32"/>
      <c r="CU371" s="32"/>
      <c r="CV371" s="32"/>
      <c r="CW371" s="32"/>
      <c r="CX371" s="32"/>
      <c r="CY371" s="32"/>
      <c r="CZ371" s="32"/>
      <c r="DA371" s="32"/>
      <c r="DB371" s="32"/>
      <c r="DC371" s="32"/>
      <c r="DD371" s="32"/>
      <c r="DE371" s="32"/>
      <c r="DF371" s="32"/>
      <c r="DG371" s="32"/>
      <c r="DH371" s="32"/>
      <c r="DI371" s="32"/>
      <c r="DJ371" s="32"/>
      <c r="DK371" s="32"/>
      <c r="DL371" s="32"/>
      <c r="DM371" s="32"/>
      <c r="DN371" s="32"/>
      <c r="DO371" s="32"/>
      <c r="DP371" s="32"/>
      <c r="DQ371" s="32"/>
      <c r="DR371" s="32"/>
      <c r="DS371" s="32"/>
      <c r="DT371" s="32"/>
      <c r="DU371" s="32"/>
      <c r="DV371" s="32"/>
      <c r="DW371" s="32"/>
      <c r="DX371" s="32"/>
      <c r="DY371" s="32"/>
      <c r="DZ371" s="32"/>
      <c r="EA371" s="32"/>
      <c r="EB371" s="32"/>
      <c r="EC371" s="32"/>
      <c r="ED371" s="32"/>
      <c r="EE371" s="32"/>
      <c r="EF371" s="32"/>
      <c r="EG371" s="32"/>
      <c r="EH371" s="32"/>
      <c r="EI371" s="32"/>
      <c r="EJ371" s="32"/>
      <c r="EK371" s="32"/>
    </row>
    <row r="372" spans="42:141">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32"/>
      <c r="CU372" s="32"/>
      <c r="CV372" s="32"/>
      <c r="CW372" s="32"/>
      <c r="CX372" s="32"/>
      <c r="CY372" s="32"/>
      <c r="CZ372" s="32"/>
      <c r="DA372" s="32"/>
      <c r="DB372" s="32"/>
      <c r="DC372" s="32"/>
      <c r="DD372" s="32"/>
      <c r="DE372" s="32"/>
      <c r="DF372" s="32"/>
      <c r="DG372" s="32"/>
      <c r="DH372" s="32"/>
      <c r="DI372" s="32"/>
      <c r="DJ372" s="32"/>
      <c r="DK372" s="32"/>
      <c r="DL372" s="32"/>
      <c r="DM372" s="32"/>
      <c r="DN372" s="32"/>
      <c r="DO372" s="32"/>
      <c r="DP372" s="32"/>
      <c r="DQ372" s="32"/>
      <c r="DR372" s="32"/>
      <c r="DS372" s="32"/>
      <c r="DT372" s="32"/>
      <c r="DU372" s="32"/>
      <c r="DV372" s="32"/>
      <c r="DW372" s="32"/>
      <c r="DX372" s="32"/>
      <c r="DY372" s="32"/>
      <c r="DZ372" s="32"/>
      <c r="EA372" s="32"/>
      <c r="EB372" s="32"/>
      <c r="EC372" s="32"/>
      <c r="ED372" s="32"/>
      <c r="EE372" s="32"/>
      <c r="EF372" s="32"/>
      <c r="EG372" s="32"/>
      <c r="EH372" s="32"/>
      <c r="EI372" s="32"/>
      <c r="EJ372" s="32"/>
      <c r="EK372" s="32"/>
    </row>
    <row r="373" spans="42:141">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32"/>
      <c r="CU373" s="32"/>
      <c r="CV373" s="32"/>
      <c r="CW373" s="32"/>
      <c r="CX373" s="32"/>
      <c r="CY373" s="32"/>
      <c r="CZ373" s="32"/>
      <c r="DA373" s="32"/>
      <c r="DB373" s="32"/>
      <c r="DC373" s="32"/>
      <c r="DD373" s="32"/>
      <c r="DE373" s="32"/>
      <c r="DF373" s="32"/>
      <c r="DG373" s="32"/>
      <c r="DH373" s="32"/>
      <c r="DI373" s="32"/>
      <c r="DJ373" s="32"/>
      <c r="DK373" s="32"/>
      <c r="DL373" s="32"/>
      <c r="DM373" s="32"/>
      <c r="DN373" s="32"/>
      <c r="DO373" s="32"/>
      <c r="DP373" s="32"/>
      <c r="DQ373" s="32"/>
      <c r="DR373" s="32"/>
      <c r="DS373" s="32"/>
      <c r="DT373" s="32"/>
      <c r="DU373" s="32"/>
      <c r="DV373" s="32"/>
      <c r="DW373" s="32"/>
      <c r="DX373" s="32"/>
      <c r="DY373" s="32"/>
      <c r="DZ373" s="32"/>
      <c r="EA373" s="32"/>
      <c r="EB373" s="32"/>
      <c r="EC373" s="32"/>
      <c r="ED373" s="32"/>
      <c r="EE373" s="32"/>
      <c r="EF373" s="32"/>
      <c r="EG373" s="32"/>
      <c r="EH373" s="32"/>
      <c r="EI373" s="32"/>
      <c r="EJ373" s="32"/>
      <c r="EK373" s="32"/>
    </row>
    <row r="374" spans="42:141">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32"/>
      <c r="CU374" s="32"/>
      <c r="CV374" s="32"/>
      <c r="CW374" s="32"/>
      <c r="CX374" s="32"/>
      <c r="CY374" s="32"/>
      <c r="CZ374" s="32"/>
      <c r="DA374" s="32"/>
      <c r="DB374" s="32"/>
      <c r="DC374" s="32"/>
      <c r="DD374" s="32"/>
      <c r="DE374" s="32"/>
      <c r="DF374" s="32"/>
      <c r="DG374" s="32"/>
      <c r="DH374" s="32"/>
      <c r="DI374" s="32"/>
      <c r="DJ374" s="32"/>
      <c r="DK374" s="32"/>
      <c r="DL374" s="32"/>
      <c r="DM374" s="32"/>
      <c r="DN374" s="32"/>
      <c r="DO374" s="32"/>
      <c r="DP374" s="32"/>
      <c r="DQ374" s="32"/>
      <c r="DR374" s="32"/>
      <c r="DS374" s="32"/>
      <c r="DT374" s="32"/>
      <c r="DU374" s="32"/>
      <c r="DV374" s="32"/>
      <c r="DW374" s="32"/>
      <c r="DX374" s="32"/>
      <c r="DY374" s="32"/>
      <c r="DZ374" s="32"/>
      <c r="EA374" s="32"/>
      <c r="EB374" s="32"/>
      <c r="EC374" s="32"/>
      <c r="ED374" s="32"/>
      <c r="EE374" s="32"/>
      <c r="EF374" s="32"/>
      <c r="EG374" s="32"/>
      <c r="EH374" s="32"/>
      <c r="EI374" s="32"/>
      <c r="EJ374" s="32"/>
      <c r="EK374" s="32"/>
    </row>
    <row r="375" spans="42:141">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32"/>
      <c r="CU375" s="32"/>
      <c r="CV375" s="32"/>
      <c r="CW375" s="32"/>
      <c r="CX375" s="32"/>
      <c r="CY375" s="32"/>
      <c r="CZ375" s="32"/>
      <c r="DA375" s="32"/>
      <c r="DB375" s="32"/>
      <c r="DC375" s="32"/>
      <c r="DD375" s="32"/>
      <c r="DE375" s="32"/>
      <c r="DF375" s="32"/>
      <c r="DG375" s="32"/>
      <c r="DH375" s="32"/>
      <c r="DI375" s="32"/>
      <c r="DJ375" s="32"/>
      <c r="DK375" s="32"/>
      <c r="DL375" s="32"/>
      <c r="DM375" s="32"/>
      <c r="DN375" s="32"/>
      <c r="DO375" s="32"/>
      <c r="DP375" s="32"/>
      <c r="DQ375" s="32"/>
      <c r="DR375" s="32"/>
      <c r="DS375" s="32"/>
      <c r="DT375" s="32"/>
      <c r="DU375" s="32"/>
      <c r="DV375" s="32"/>
      <c r="DW375" s="32"/>
      <c r="DX375" s="32"/>
      <c r="DY375" s="32"/>
      <c r="DZ375" s="32"/>
      <c r="EA375" s="32"/>
      <c r="EB375" s="32"/>
      <c r="EC375" s="32"/>
      <c r="ED375" s="32"/>
      <c r="EE375" s="32"/>
      <c r="EF375" s="32"/>
      <c r="EG375" s="32"/>
      <c r="EH375" s="32"/>
      <c r="EI375" s="32"/>
      <c r="EJ375" s="32"/>
      <c r="EK375" s="32"/>
    </row>
    <row r="376" spans="42:141">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32"/>
      <c r="CU376" s="32"/>
      <c r="CV376" s="32"/>
      <c r="CW376" s="32"/>
      <c r="CX376" s="32"/>
      <c r="CY376" s="32"/>
      <c r="CZ376" s="32"/>
      <c r="DA376" s="32"/>
      <c r="DB376" s="32"/>
      <c r="DC376" s="32"/>
      <c r="DD376" s="32"/>
      <c r="DE376" s="32"/>
      <c r="DF376" s="32"/>
      <c r="DG376" s="32"/>
      <c r="DH376" s="32"/>
      <c r="DI376" s="32"/>
      <c r="DJ376" s="32"/>
      <c r="DK376" s="32"/>
      <c r="DL376" s="32"/>
      <c r="DM376" s="32"/>
      <c r="DN376" s="32"/>
      <c r="DO376" s="32"/>
      <c r="DP376" s="32"/>
      <c r="DQ376" s="32"/>
      <c r="DR376" s="32"/>
      <c r="DS376" s="32"/>
      <c r="DT376" s="32"/>
      <c r="DU376" s="32"/>
      <c r="DV376" s="32"/>
      <c r="DW376" s="32"/>
      <c r="DX376" s="32"/>
      <c r="DY376" s="32"/>
      <c r="DZ376" s="32"/>
      <c r="EA376" s="32"/>
      <c r="EB376" s="32"/>
      <c r="EC376" s="32"/>
      <c r="ED376" s="32"/>
      <c r="EE376" s="32"/>
      <c r="EF376" s="32"/>
      <c r="EG376" s="32"/>
      <c r="EH376" s="32"/>
      <c r="EI376" s="32"/>
      <c r="EJ376" s="32"/>
      <c r="EK376" s="32"/>
    </row>
    <row r="377" spans="42:141">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c r="CK377" s="32"/>
      <c r="CL377" s="32"/>
      <c r="CM377" s="32"/>
      <c r="CN377" s="32"/>
      <c r="CO377" s="32"/>
      <c r="CP377" s="32"/>
      <c r="CQ377" s="32"/>
      <c r="CR377" s="32"/>
      <c r="CS377" s="32"/>
      <c r="CT377" s="32"/>
      <c r="CU377" s="32"/>
      <c r="CV377" s="32"/>
      <c r="CW377" s="32"/>
      <c r="CX377" s="32"/>
      <c r="CY377" s="32"/>
      <c r="CZ377" s="32"/>
      <c r="DA377" s="32"/>
      <c r="DB377" s="32"/>
      <c r="DC377" s="32"/>
      <c r="DD377" s="32"/>
      <c r="DE377" s="32"/>
      <c r="DF377" s="32"/>
      <c r="DG377" s="32"/>
      <c r="DH377" s="32"/>
      <c r="DI377" s="32"/>
      <c r="DJ377" s="32"/>
      <c r="DK377" s="32"/>
      <c r="DL377" s="32"/>
      <c r="DM377" s="32"/>
      <c r="DN377" s="32"/>
      <c r="DO377" s="32"/>
      <c r="DP377" s="32"/>
      <c r="DQ377" s="32"/>
      <c r="DR377" s="32"/>
      <c r="DS377" s="32"/>
      <c r="DT377" s="32"/>
      <c r="DU377" s="32"/>
      <c r="DV377" s="32"/>
      <c r="DW377" s="32"/>
      <c r="DX377" s="32"/>
      <c r="DY377" s="32"/>
      <c r="DZ377" s="32"/>
      <c r="EA377" s="32"/>
      <c r="EB377" s="32"/>
      <c r="EC377" s="32"/>
      <c r="ED377" s="32"/>
      <c r="EE377" s="32"/>
      <c r="EF377" s="32"/>
      <c r="EG377" s="32"/>
      <c r="EH377" s="32"/>
      <c r="EI377" s="32"/>
      <c r="EJ377" s="32"/>
      <c r="EK377" s="32"/>
    </row>
    <row r="378" spans="42:141">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c r="CK378" s="32"/>
      <c r="CL378" s="32"/>
      <c r="CM378" s="32"/>
      <c r="CN378" s="32"/>
      <c r="CO378" s="32"/>
      <c r="CP378" s="32"/>
      <c r="CQ378" s="32"/>
      <c r="CR378" s="32"/>
      <c r="CS378" s="32"/>
      <c r="CT378" s="32"/>
      <c r="CU378" s="32"/>
      <c r="CV378" s="32"/>
      <c r="CW378" s="32"/>
      <c r="CX378" s="32"/>
      <c r="CY378" s="32"/>
      <c r="CZ378" s="32"/>
      <c r="DA378" s="32"/>
      <c r="DB378" s="32"/>
      <c r="DC378" s="32"/>
      <c r="DD378" s="32"/>
      <c r="DE378" s="32"/>
      <c r="DF378" s="32"/>
      <c r="DG378" s="32"/>
      <c r="DH378" s="32"/>
      <c r="DI378" s="32"/>
      <c r="DJ378" s="32"/>
      <c r="DK378" s="32"/>
      <c r="DL378" s="32"/>
      <c r="DM378" s="32"/>
      <c r="DN378" s="32"/>
      <c r="DO378" s="32"/>
      <c r="DP378" s="32"/>
      <c r="DQ378" s="32"/>
      <c r="DR378" s="32"/>
      <c r="DS378" s="32"/>
      <c r="DT378" s="32"/>
      <c r="DU378" s="32"/>
      <c r="DV378" s="32"/>
      <c r="DW378" s="32"/>
      <c r="DX378" s="32"/>
      <c r="DY378" s="32"/>
      <c r="DZ378" s="32"/>
      <c r="EA378" s="32"/>
      <c r="EB378" s="32"/>
      <c r="EC378" s="32"/>
      <c r="ED378" s="32"/>
      <c r="EE378" s="32"/>
      <c r="EF378" s="32"/>
      <c r="EG378" s="32"/>
      <c r="EH378" s="32"/>
      <c r="EI378" s="32"/>
      <c r="EJ378" s="32"/>
      <c r="EK378" s="32"/>
    </row>
    <row r="379" spans="42:141">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c r="CK379" s="32"/>
      <c r="CL379" s="32"/>
      <c r="CM379" s="32"/>
      <c r="CN379" s="32"/>
      <c r="CO379" s="32"/>
      <c r="CP379" s="32"/>
      <c r="CQ379" s="32"/>
      <c r="CR379" s="32"/>
      <c r="CS379" s="32"/>
      <c r="CT379" s="32"/>
      <c r="CU379" s="32"/>
      <c r="CV379" s="32"/>
      <c r="CW379" s="32"/>
      <c r="CX379" s="32"/>
      <c r="CY379" s="32"/>
      <c r="CZ379" s="32"/>
      <c r="DA379" s="32"/>
      <c r="DB379" s="32"/>
      <c r="DC379" s="32"/>
      <c r="DD379" s="32"/>
      <c r="DE379" s="32"/>
      <c r="DF379" s="32"/>
      <c r="DG379" s="32"/>
      <c r="DH379" s="32"/>
      <c r="DI379" s="32"/>
      <c r="DJ379" s="32"/>
      <c r="DK379" s="32"/>
      <c r="DL379" s="32"/>
      <c r="DM379" s="32"/>
      <c r="DN379" s="32"/>
      <c r="DO379" s="32"/>
      <c r="DP379" s="32"/>
      <c r="DQ379" s="32"/>
      <c r="DR379" s="32"/>
      <c r="DS379" s="32"/>
      <c r="DT379" s="32"/>
      <c r="DU379" s="32"/>
      <c r="DV379" s="32"/>
      <c r="DW379" s="32"/>
      <c r="DX379" s="32"/>
      <c r="DY379" s="32"/>
      <c r="DZ379" s="32"/>
      <c r="EA379" s="32"/>
      <c r="EB379" s="32"/>
      <c r="EC379" s="32"/>
      <c r="ED379" s="32"/>
      <c r="EE379" s="32"/>
      <c r="EF379" s="32"/>
      <c r="EG379" s="32"/>
      <c r="EH379" s="32"/>
      <c r="EI379" s="32"/>
      <c r="EJ379" s="32"/>
      <c r="EK379" s="32"/>
    </row>
    <row r="380" spans="42:141">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c r="CK380" s="32"/>
      <c r="CL380" s="32"/>
      <c r="CM380" s="32"/>
      <c r="CN380" s="32"/>
      <c r="CO380" s="32"/>
      <c r="CP380" s="32"/>
      <c r="CQ380" s="32"/>
      <c r="CR380" s="32"/>
      <c r="CS380" s="32"/>
      <c r="CT380" s="32"/>
      <c r="CU380" s="32"/>
      <c r="CV380" s="32"/>
      <c r="CW380" s="32"/>
      <c r="CX380" s="32"/>
      <c r="CY380" s="32"/>
      <c r="CZ380" s="32"/>
      <c r="DA380" s="32"/>
      <c r="DB380" s="32"/>
      <c r="DC380" s="32"/>
      <c r="DD380" s="32"/>
      <c r="DE380" s="32"/>
      <c r="DF380" s="32"/>
      <c r="DG380" s="32"/>
      <c r="DH380" s="32"/>
      <c r="DI380" s="32"/>
      <c r="DJ380" s="32"/>
      <c r="DK380" s="32"/>
      <c r="DL380" s="32"/>
      <c r="DM380" s="32"/>
      <c r="DN380" s="32"/>
      <c r="DO380" s="32"/>
      <c r="DP380" s="32"/>
      <c r="DQ380" s="32"/>
      <c r="DR380" s="32"/>
      <c r="DS380" s="32"/>
      <c r="DT380" s="32"/>
      <c r="DU380" s="32"/>
      <c r="DV380" s="32"/>
      <c r="DW380" s="32"/>
      <c r="DX380" s="32"/>
      <c r="DY380" s="32"/>
      <c r="DZ380" s="32"/>
      <c r="EA380" s="32"/>
      <c r="EB380" s="32"/>
      <c r="EC380" s="32"/>
      <c r="ED380" s="32"/>
      <c r="EE380" s="32"/>
      <c r="EF380" s="32"/>
      <c r="EG380" s="32"/>
      <c r="EH380" s="32"/>
      <c r="EI380" s="32"/>
      <c r="EJ380" s="32"/>
      <c r="EK380" s="32"/>
    </row>
    <row r="381" spans="42:141">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c r="CK381" s="32"/>
      <c r="CL381" s="32"/>
      <c r="CM381" s="32"/>
      <c r="CN381" s="32"/>
      <c r="CO381" s="32"/>
      <c r="CP381" s="32"/>
      <c r="CQ381" s="32"/>
      <c r="CR381" s="32"/>
      <c r="CS381" s="32"/>
      <c r="CT381" s="32"/>
      <c r="CU381" s="32"/>
      <c r="CV381" s="32"/>
      <c r="CW381" s="32"/>
      <c r="CX381" s="32"/>
      <c r="CY381" s="32"/>
      <c r="CZ381" s="32"/>
      <c r="DA381" s="32"/>
      <c r="DB381" s="32"/>
      <c r="DC381" s="32"/>
      <c r="DD381" s="32"/>
      <c r="DE381" s="32"/>
      <c r="DF381" s="32"/>
      <c r="DG381" s="32"/>
      <c r="DH381" s="32"/>
      <c r="DI381" s="32"/>
      <c r="DJ381" s="32"/>
      <c r="DK381" s="32"/>
      <c r="DL381" s="32"/>
      <c r="DM381" s="32"/>
      <c r="DN381" s="32"/>
      <c r="DO381" s="32"/>
      <c r="DP381" s="32"/>
      <c r="DQ381" s="32"/>
      <c r="DR381" s="32"/>
      <c r="DS381" s="32"/>
      <c r="DT381" s="32"/>
      <c r="DU381" s="32"/>
      <c r="DV381" s="32"/>
      <c r="DW381" s="32"/>
      <c r="DX381" s="32"/>
      <c r="DY381" s="32"/>
      <c r="DZ381" s="32"/>
      <c r="EA381" s="32"/>
      <c r="EB381" s="32"/>
      <c r="EC381" s="32"/>
      <c r="ED381" s="32"/>
      <c r="EE381" s="32"/>
      <c r="EF381" s="32"/>
      <c r="EG381" s="32"/>
      <c r="EH381" s="32"/>
      <c r="EI381" s="32"/>
      <c r="EJ381" s="32"/>
      <c r="EK381" s="32"/>
    </row>
    <row r="382" spans="42:141">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c r="CK382" s="32"/>
      <c r="CL382" s="32"/>
      <c r="CM382" s="32"/>
      <c r="CN382" s="32"/>
      <c r="CO382" s="32"/>
      <c r="CP382" s="32"/>
      <c r="CQ382" s="32"/>
      <c r="CR382" s="32"/>
      <c r="CS382" s="32"/>
      <c r="CT382" s="32"/>
      <c r="CU382" s="32"/>
      <c r="CV382" s="32"/>
      <c r="CW382" s="32"/>
      <c r="CX382" s="32"/>
      <c r="CY382" s="32"/>
      <c r="CZ382" s="32"/>
      <c r="DA382" s="32"/>
      <c r="DB382" s="32"/>
      <c r="DC382" s="32"/>
      <c r="DD382" s="32"/>
      <c r="DE382" s="32"/>
      <c r="DF382" s="32"/>
      <c r="DG382" s="32"/>
      <c r="DH382" s="32"/>
      <c r="DI382" s="32"/>
      <c r="DJ382" s="32"/>
      <c r="DK382" s="32"/>
      <c r="DL382" s="32"/>
      <c r="DM382" s="32"/>
      <c r="DN382" s="32"/>
      <c r="DO382" s="32"/>
      <c r="DP382" s="32"/>
      <c r="DQ382" s="32"/>
      <c r="DR382" s="32"/>
      <c r="DS382" s="32"/>
      <c r="DT382" s="32"/>
      <c r="DU382" s="32"/>
      <c r="DV382" s="32"/>
      <c r="DW382" s="32"/>
      <c r="DX382" s="32"/>
      <c r="DY382" s="32"/>
      <c r="DZ382" s="32"/>
      <c r="EA382" s="32"/>
      <c r="EB382" s="32"/>
      <c r="EC382" s="32"/>
      <c r="ED382" s="32"/>
      <c r="EE382" s="32"/>
      <c r="EF382" s="32"/>
      <c r="EG382" s="32"/>
      <c r="EH382" s="32"/>
      <c r="EI382" s="32"/>
      <c r="EJ382" s="32"/>
      <c r="EK382" s="32"/>
    </row>
    <row r="383" spans="42:141">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c r="CK383" s="32"/>
      <c r="CL383" s="32"/>
      <c r="CM383" s="32"/>
      <c r="CN383" s="32"/>
      <c r="CO383" s="32"/>
      <c r="CP383" s="32"/>
      <c r="CQ383" s="32"/>
      <c r="CR383" s="32"/>
      <c r="CS383" s="32"/>
      <c r="CT383" s="32"/>
      <c r="CU383" s="32"/>
      <c r="CV383" s="32"/>
      <c r="CW383" s="32"/>
      <c r="CX383" s="32"/>
      <c r="CY383" s="32"/>
      <c r="CZ383" s="32"/>
      <c r="DA383" s="32"/>
      <c r="DB383" s="32"/>
      <c r="DC383" s="32"/>
      <c r="DD383" s="32"/>
      <c r="DE383" s="32"/>
      <c r="DF383" s="32"/>
      <c r="DG383" s="32"/>
      <c r="DH383" s="32"/>
      <c r="DI383" s="32"/>
      <c r="DJ383" s="32"/>
      <c r="DK383" s="32"/>
      <c r="DL383" s="32"/>
      <c r="DM383" s="32"/>
      <c r="DN383" s="32"/>
      <c r="DO383" s="32"/>
      <c r="DP383" s="32"/>
      <c r="DQ383" s="32"/>
      <c r="DR383" s="32"/>
      <c r="DS383" s="32"/>
      <c r="DT383" s="32"/>
      <c r="DU383" s="32"/>
      <c r="DV383" s="32"/>
      <c r="DW383" s="32"/>
      <c r="DX383" s="32"/>
      <c r="DY383" s="32"/>
      <c r="DZ383" s="32"/>
      <c r="EA383" s="32"/>
      <c r="EB383" s="32"/>
      <c r="EC383" s="32"/>
      <c r="ED383" s="32"/>
      <c r="EE383" s="32"/>
      <c r="EF383" s="32"/>
      <c r="EG383" s="32"/>
      <c r="EH383" s="32"/>
      <c r="EI383" s="32"/>
      <c r="EJ383" s="32"/>
      <c r="EK383" s="32"/>
    </row>
    <row r="384" spans="42:141">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c r="CK384" s="32"/>
      <c r="CL384" s="32"/>
      <c r="CM384" s="32"/>
      <c r="CN384" s="32"/>
      <c r="CO384" s="32"/>
      <c r="CP384" s="32"/>
      <c r="CQ384" s="32"/>
      <c r="CR384" s="32"/>
      <c r="CS384" s="32"/>
      <c r="CT384" s="32"/>
      <c r="CU384" s="32"/>
      <c r="CV384" s="32"/>
      <c r="CW384" s="32"/>
      <c r="CX384" s="32"/>
      <c r="CY384" s="32"/>
      <c r="CZ384" s="32"/>
      <c r="DA384" s="32"/>
      <c r="DB384" s="32"/>
      <c r="DC384" s="32"/>
      <c r="DD384" s="32"/>
      <c r="DE384" s="32"/>
      <c r="DF384" s="32"/>
      <c r="DG384" s="32"/>
      <c r="DH384" s="32"/>
      <c r="DI384" s="32"/>
      <c r="DJ384" s="32"/>
      <c r="DK384" s="32"/>
      <c r="DL384" s="32"/>
      <c r="DM384" s="32"/>
      <c r="DN384" s="32"/>
      <c r="DO384" s="32"/>
      <c r="DP384" s="32"/>
      <c r="DQ384" s="32"/>
      <c r="DR384" s="32"/>
      <c r="DS384" s="32"/>
      <c r="DT384" s="32"/>
      <c r="DU384" s="32"/>
      <c r="DV384" s="32"/>
      <c r="DW384" s="32"/>
      <c r="DX384" s="32"/>
      <c r="DY384" s="32"/>
      <c r="DZ384" s="32"/>
      <c r="EA384" s="32"/>
      <c r="EB384" s="32"/>
      <c r="EC384" s="32"/>
      <c r="ED384" s="32"/>
      <c r="EE384" s="32"/>
      <c r="EF384" s="32"/>
      <c r="EG384" s="32"/>
      <c r="EH384" s="32"/>
      <c r="EI384" s="32"/>
      <c r="EJ384" s="32"/>
      <c r="EK384" s="32"/>
    </row>
    <row r="385" spans="42:141">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c r="CK385" s="32"/>
      <c r="CL385" s="32"/>
      <c r="CM385" s="32"/>
      <c r="CN385" s="32"/>
      <c r="CO385" s="32"/>
      <c r="CP385" s="32"/>
      <c r="CQ385" s="32"/>
      <c r="CR385" s="32"/>
      <c r="CS385" s="32"/>
      <c r="CT385" s="32"/>
      <c r="CU385" s="32"/>
      <c r="CV385" s="32"/>
      <c r="CW385" s="32"/>
      <c r="CX385" s="32"/>
      <c r="CY385" s="32"/>
      <c r="CZ385" s="32"/>
      <c r="DA385" s="32"/>
      <c r="DB385" s="32"/>
      <c r="DC385" s="32"/>
      <c r="DD385" s="32"/>
      <c r="DE385" s="32"/>
      <c r="DF385" s="32"/>
      <c r="DG385" s="32"/>
      <c r="DH385" s="32"/>
      <c r="DI385" s="32"/>
      <c r="DJ385" s="32"/>
      <c r="DK385" s="32"/>
      <c r="DL385" s="32"/>
      <c r="DM385" s="32"/>
      <c r="DN385" s="32"/>
      <c r="DO385" s="32"/>
      <c r="DP385" s="32"/>
      <c r="DQ385" s="32"/>
      <c r="DR385" s="32"/>
      <c r="DS385" s="32"/>
      <c r="DT385" s="32"/>
      <c r="DU385" s="32"/>
      <c r="DV385" s="32"/>
      <c r="DW385" s="32"/>
      <c r="DX385" s="32"/>
      <c r="DY385" s="32"/>
      <c r="DZ385" s="32"/>
      <c r="EA385" s="32"/>
      <c r="EB385" s="32"/>
      <c r="EC385" s="32"/>
      <c r="ED385" s="32"/>
      <c r="EE385" s="32"/>
      <c r="EF385" s="32"/>
      <c r="EG385" s="32"/>
      <c r="EH385" s="32"/>
      <c r="EI385" s="32"/>
      <c r="EJ385" s="32"/>
      <c r="EK385" s="32"/>
    </row>
    <row r="386" spans="42:141">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c r="CK386" s="32"/>
      <c r="CL386" s="32"/>
      <c r="CM386" s="32"/>
      <c r="CN386" s="32"/>
      <c r="CO386" s="32"/>
      <c r="CP386" s="32"/>
      <c r="CQ386" s="32"/>
      <c r="CR386" s="32"/>
      <c r="CS386" s="32"/>
      <c r="CT386" s="32"/>
      <c r="CU386" s="32"/>
      <c r="CV386" s="32"/>
      <c r="CW386" s="32"/>
      <c r="CX386" s="32"/>
      <c r="CY386" s="32"/>
      <c r="CZ386" s="32"/>
      <c r="DA386" s="32"/>
      <c r="DB386" s="32"/>
      <c r="DC386" s="32"/>
      <c r="DD386" s="32"/>
      <c r="DE386" s="32"/>
      <c r="DF386" s="32"/>
      <c r="DG386" s="32"/>
      <c r="DH386" s="32"/>
      <c r="DI386" s="32"/>
      <c r="DJ386" s="32"/>
      <c r="DK386" s="32"/>
      <c r="DL386" s="32"/>
      <c r="DM386" s="32"/>
      <c r="DN386" s="32"/>
      <c r="DO386" s="32"/>
      <c r="DP386" s="32"/>
      <c r="DQ386" s="32"/>
      <c r="DR386" s="32"/>
      <c r="DS386" s="32"/>
      <c r="DT386" s="32"/>
      <c r="DU386" s="32"/>
      <c r="DV386" s="32"/>
      <c r="DW386" s="32"/>
      <c r="DX386" s="32"/>
      <c r="DY386" s="32"/>
      <c r="DZ386" s="32"/>
      <c r="EA386" s="32"/>
      <c r="EB386" s="32"/>
      <c r="EC386" s="32"/>
      <c r="ED386" s="32"/>
      <c r="EE386" s="32"/>
      <c r="EF386" s="32"/>
      <c r="EG386" s="32"/>
      <c r="EH386" s="32"/>
      <c r="EI386" s="32"/>
      <c r="EJ386" s="32"/>
      <c r="EK386" s="32"/>
    </row>
    <row r="387" spans="42:141">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32"/>
      <c r="CU387" s="32"/>
      <c r="CV387" s="32"/>
      <c r="CW387" s="32"/>
      <c r="CX387" s="32"/>
      <c r="CY387" s="32"/>
      <c r="CZ387" s="32"/>
      <c r="DA387" s="32"/>
      <c r="DB387" s="32"/>
      <c r="DC387" s="32"/>
      <c r="DD387" s="32"/>
      <c r="DE387" s="32"/>
      <c r="DF387" s="32"/>
      <c r="DG387" s="32"/>
      <c r="DH387" s="32"/>
      <c r="DI387" s="32"/>
      <c r="DJ387" s="32"/>
      <c r="DK387" s="32"/>
      <c r="DL387" s="32"/>
      <c r="DM387" s="32"/>
      <c r="DN387" s="32"/>
      <c r="DO387" s="32"/>
      <c r="DP387" s="32"/>
      <c r="DQ387" s="32"/>
      <c r="DR387" s="32"/>
      <c r="DS387" s="32"/>
      <c r="DT387" s="32"/>
      <c r="DU387" s="32"/>
      <c r="DV387" s="32"/>
      <c r="DW387" s="32"/>
      <c r="DX387" s="32"/>
      <c r="DY387" s="32"/>
      <c r="DZ387" s="32"/>
      <c r="EA387" s="32"/>
      <c r="EB387" s="32"/>
      <c r="EC387" s="32"/>
      <c r="ED387" s="32"/>
      <c r="EE387" s="32"/>
      <c r="EF387" s="32"/>
      <c r="EG387" s="32"/>
      <c r="EH387" s="32"/>
      <c r="EI387" s="32"/>
      <c r="EJ387" s="32"/>
      <c r="EK387" s="32"/>
    </row>
    <row r="388" spans="42:141">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32"/>
      <c r="CU388" s="32"/>
      <c r="CV388" s="32"/>
      <c r="CW388" s="32"/>
      <c r="CX388" s="32"/>
      <c r="CY388" s="32"/>
      <c r="CZ388" s="32"/>
      <c r="DA388" s="32"/>
      <c r="DB388" s="32"/>
      <c r="DC388" s="32"/>
      <c r="DD388" s="32"/>
      <c r="DE388" s="32"/>
      <c r="DF388" s="32"/>
      <c r="DG388" s="32"/>
      <c r="DH388" s="32"/>
      <c r="DI388" s="32"/>
      <c r="DJ388" s="32"/>
      <c r="DK388" s="32"/>
      <c r="DL388" s="32"/>
      <c r="DM388" s="32"/>
      <c r="DN388" s="32"/>
      <c r="DO388" s="32"/>
      <c r="DP388" s="32"/>
      <c r="DQ388" s="32"/>
      <c r="DR388" s="32"/>
      <c r="DS388" s="32"/>
      <c r="DT388" s="32"/>
      <c r="DU388" s="32"/>
      <c r="DV388" s="32"/>
      <c r="DW388" s="32"/>
      <c r="DX388" s="32"/>
      <c r="DY388" s="32"/>
      <c r="DZ388" s="32"/>
      <c r="EA388" s="32"/>
      <c r="EB388" s="32"/>
      <c r="EC388" s="32"/>
      <c r="ED388" s="32"/>
      <c r="EE388" s="32"/>
      <c r="EF388" s="32"/>
      <c r="EG388" s="32"/>
      <c r="EH388" s="32"/>
      <c r="EI388" s="32"/>
      <c r="EJ388" s="32"/>
      <c r="EK388" s="32"/>
    </row>
    <row r="389" spans="42:141">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c r="CK389" s="32"/>
      <c r="CL389" s="32"/>
      <c r="CM389" s="32"/>
      <c r="CN389" s="32"/>
      <c r="CO389" s="32"/>
      <c r="CP389" s="32"/>
      <c r="CQ389" s="32"/>
      <c r="CR389" s="32"/>
      <c r="CS389" s="32"/>
      <c r="CT389" s="32"/>
      <c r="CU389" s="32"/>
      <c r="CV389" s="32"/>
      <c r="CW389" s="32"/>
      <c r="CX389" s="32"/>
      <c r="CY389" s="32"/>
      <c r="CZ389" s="32"/>
      <c r="DA389" s="32"/>
      <c r="DB389" s="32"/>
      <c r="DC389" s="32"/>
      <c r="DD389" s="32"/>
      <c r="DE389" s="32"/>
      <c r="DF389" s="32"/>
      <c r="DG389" s="32"/>
      <c r="DH389" s="32"/>
      <c r="DI389" s="32"/>
      <c r="DJ389" s="32"/>
      <c r="DK389" s="32"/>
      <c r="DL389" s="32"/>
      <c r="DM389" s="32"/>
      <c r="DN389" s="32"/>
      <c r="DO389" s="32"/>
      <c r="DP389" s="32"/>
      <c r="DQ389" s="32"/>
      <c r="DR389" s="32"/>
      <c r="DS389" s="32"/>
      <c r="DT389" s="32"/>
      <c r="DU389" s="32"/>
      <c r="DV389" s="32"/>
      <c r="DW389" s="32"/>
      <c r="DX389" s="32"/>
      <c r="DY389" s="32"/>
      <c r="DZ389" s="32"/>
      <c r="EA389" s="32"/>
      <c r="EB389" s="32"/>
      <c r="EC389" s="32"/>
      <c r="ED389" s="32"/>
      <c r="EE389" s="32"/>
      <c r="EF389" s="32"/>
      <c r="EG389" s="32"/>
      <c r="EH389" s="32"/>
      <c r="EI389" s="32"/>
      <c r="EJ389" s="32"/>
      <c r="EK389" s="32"/>
    </row>
    <row r="390" spans="42:141">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c r="CK390" s="32"/>
      <c r="CL390" s="32"/>
      <c r="CM390" s="32"/>
      <c r="CN390" s="32"/>
      <c r="CO390" s="32"/>
      <c r="CP390" s="32"/>
      <c r="CQ390" s="32"/>
      <c r="CR390" s="32"/>
      <c r="CS390" s="32"/>
      <c r="CT390" s="32"/>
      <c r="CU390" s="32"/>
      <c r="CV390" s="32"/>
      <c r="CW390" s="32"/>
      <c r="CX390" s="32"/>
      <c r="CY390" s="32"/>
      <c r="CZ390" s="32"/>
      <c r="DA390" s="32"/>
      <c r="DB390" s="32"/>
      <c r="DC390" s="32"/>
      <c r="DD390" s="32"/>
      <c r="DE390" s="32"/>
      <c r="DF390" s="32"/>
      <c r="DG390" s="32"/>
      <c r="DH390" s="32"/>
      <c r="DI390" s="32"/>
      <c r="DJ390" s="32"/>
      <c r="DK390" s="32"/>
      <c r="DL390" s="32"/>
      <c r="DM390" s="32"/>
      <c r="DN390" s="32"/>
      <c r="DO390" s="32"/>
      <c r="DP390" s="32"/>
      <c r="DQ390" s="32"/>
      <c r="DR390" s="32"/>
      <c r="DS390" s="32"/>
      <c r="DT390" s="32"/>
      <c r="DU390" s="32"/>
      <c r="DV390" s="32"/>
      <c r="DW390" s="32"/>
      <c r="DX390" s="32"/>
      <c r="DY390" s="32"/>
      <c r="DZ390" s="32"/>
      <c r="EA390" s="32"/>
      <c r="EB390" s="32"/>
      <c r="EC390" s="32"/>
      <c r="ED390" s="32"/>
      <c r="EE390" s="32"/>
      <c r="EF390" s="32"/>
      <c r="EG390" s="32"/>
      <c r="EH390" s="32"/>
      <c r="EI390" s="32"/>
      <c r="EJ390" s="32"/>
      <c r="EK390" s="32"/>
    </row>
    <row r="391" spans="42:141">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c r="BO391" s="32"/>
      <c r="BP391" s="32"/>
      <c r="BQ391" s="32"/>
      <c r="BR391" s="32"/>
      <c r="BS391" s="32"/>
      <c r="BT391" s="32"/>
      <c r="BU391" s="32"/>
      <c r="BV391" s="32"/>
      <c r="BW391" s="32"/>
      <c r="BX391" s="32"/>
      <c r="BY391" s="32"/>
      <c r="BZ391" s="32"/>
      <c r="CA391" s="32"/>
      <c r="CB391" s="32"/>
      <c r="CC391" s="32"/>
      <c r="CD391" s="32"/>
      <c r="CE391" s="32"/>
      <c r="CF391" s="32"/>
      <c r="CG391" s="32"/>
      <c r="CH391" s="32"/>
      <c r="CI391" s="32"/>
      <c r="CJ391" s="32"/>
      <c r="CK391" s="32"/>
      <c r="CL391" s="32"/>
      <c r="CM391" s="32"/>
      <c r="CN391" s="32"/>
      <c r="CO391" s="32"/>
      <c r="CP391" s="32"/>
      <c r="CQ391" s="32"/>
      <c r="CR391" s="32"/>
      <c r="CS391" s="32"/>
      <c r="CT391" s="32"/>
      <c r="CU391" s="32"/>
      <c r="CV391" s="32"/>
      <c r="CW391" s="32"/>
      <c r="CX391" s="32"/>
      <c r="CY391" s="32"/>
      <c r="CZ391" s="32"/>
      <c r="DA391" s="32"/>
      <c r="DB391" s="32"/>
      <c r="DC391" s="32"/>
      <c r="DD391" s="32"/>
      <c r="DE391" s="32"/>
      <c r="DF391" s="32"/>
      <c r="DG391" s="32"/>
      <c r="DH391" s="32"/>
      <c r="DI391" s="32"/>
      <c r="DJ391" s="32"/>
      <c r="DK391" s="32"/>
      <c r="DL391" s="32"/>
      <c r="DM391" s="32"/>
      <c r="DN391" s="32"/>
      <c r="DO391" s="32"/>
      <c r="DP391" s="32"/>
      <c r="DQ391" s="32"/>
      <c r="DR391" s="32"/>
      <c r="DS391" s="32"/>
      <c r="DT391" s="32"/>
      <c r="DU391" s="32"/>
      <c r="DV391" s="32"/>
      <c r="DW391" s="32"/>
      <c r="DX391" s="32"/>
      <c r="DY391" s="32"/>
      <c r="DZ391" s="32"/>
      <c r="EA391" s="32"/>
      <c r="EB391" s="32"/>
      <c r="EC391" s="32"/>
      <c r="ED391" s="32"/>
      <c r="EE391" s="32"/>
      <c r="EF391" s="32"/>
      <c r="EG391" s="32"/>
      <c r="EH391" s="32"/>
      <c r="EI391" s="32"/>
      <c r="EJ391" s="32"/>
      <c r="EK391" s="32"/>
    </row>
    <row r="392" spans="42:141">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c r="BO392" s="32"/>
      <c r="BP392" s="32"/>
      <c r="BQ392" s="32"/>
      <c r="BR392" s="32"/>
      <c r="BS392" s="32"/>
      <c r="BT392" s="32"/>
      <c r="BU392" s="32"/>
      <c r="BV392" s="32"/>
      <c r="BW392" s="32"/>
      <c r="BX392" s="32"/>
      <c r="BY392" s="32"/>
      <c r="BZ392" s="32"/>
      <c r="CA392" s="32"/>
      <c r="CB392" s="32"/>
      <c r="CC392" s="32"/>
      <c r="CD392" s="32"/>
      <c r="CE392" s="32"/>
      <c r="CF392" s="32"/>
      <c r="CG392" s="32"/>
      <c r="CH392" s="32"/>
      <c r="CI392" s="32"/>
      <c r="CJ392" s="32"/>
      <c r="CK392" s="32"/>
      <c r="CL392" s="32"/>
      <c r="CM392" s="32"/>
      <c r="CN392" s="32"/>
      <c r="CO392" s="32"/>
      <c r="CP392" s="32"/>
      <c r="CQ392" s="32"/>
      <c r="CR392" s="32"/>
      <c r="CS392" s="32"/>
      <c r="CT392" s="32"/>
      <c r="CU392" s="32"/>
      <c r="CV392" s="32"/>
      <c r="CW392" s="32"/>
      <c r="CX392" s="32"/>
      <c r="CY392" s="32"/>
      <c r="CZ392" s="32"/>
      <c r="DA392" s="32"/>
      <c r="DB392" s="32"/>
      <c r="DC392" s="32"/>
      <c r="DD392" s="32"/>
      <c r="DE392" s="32"/>
      <c r="DF392" s="32"/>
      <c r="DG392" s="32"/>
      <c r="DH392" s="32"/>
      <c r="DI392" s="32"/>
      <c r="DJ392" s="32"/>
      <c r="DK392" s="32"/>
      <c r="DL392" s="32"/>
      <c r="DM392" s="32"/>
      <c r="DN392" s="32"/>
      <c r="DO392" s="32"/>
      <c r="DP392" s="32"/>
      <c r="DQ392" s="32"/>
      <c r="DR392" s="32"/>
      <c r="DS392" s="32"/>
      <c r="DT392" s="32"/>
      <c r="DU392" s="32"/>
      <c r="DV392" s="32"/>
      <c r="DW392" s="32"/>
      <c r="DX392" s="32"/>
      <c r="DY392" s="32"/>
      <c r="DZ392" s="32"/>
      <c r="EA392" s="32"/>
      <c r="EB392" s="32"/>
      <c r="EC392" s="32"/>
      <c r="ED392" s="32"/>
      <c r="EE392" s="32"/>
      <c r="EF392" s="32"/>
      <c r="EG392" s="32"/>
      <c r="EH392" s="32"/>
      <c r="EI392" s="32"/>
      <c r="EJ392" s="32"/>
      <c r="EK392" s="32"/>
    </row>
    <row r="393" spans="42:141">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c r="BO393" s="32"/>
      <c r="BP393" s="32"/>
      <c r="BQ393" s="32"/>
      <c r="BR393" s="32"/>
      <c r="BS393" s="32"/>
      <c r="BT393" s="32"/>
      <c r="BU393" s="32"/>
      <c r="BV393" s="32"/>
      <c r="BW393" s="32"/>
      <c r="BX393" s="32"/>
      <c r="BY393" s="32"/>
      <c r="BZ393" s="32"/>
      <c r="CA393" s="32"/>
      <c r="CB393" s="32"/>
      <c r="CC393" s="32"/>
      <c r="CD393" s="32"/>
      <c r="CE393" s="32"/>
      <c r="CF393" s="32"/>
      <c r="CG393" s="32"/>
      <c r="CH393" s="32"/>
      <c r="CI393" s="32"/>
      <c r="CJ393" s="32"/>
      <c r="CK393" s="32"/>
      <c r="CL393" s="32"/>
      <c r="CM393" s="32"/>
      <c r="CN393" s="32"/>
      <c r="CO393" s="32"/>
      <c r="CP393" s="32"/>
      <c r="CQ393" s="32"/>
      <c r="CR393" s="32"/>
      <c r="CS393" s="32"/>
      <c r="CT393" s="32"/>
      <c r="CU393" s="32"/>
      <c r="CV393" s="32"/>
      <c r="CW393" s="32"/>
      <c r="CX393" s="32"/>
      <c r="CY393" s="32"/>
      <c r="CZ393" s="32"/>
      <c r="DA393" s="32"/>
      <c r="DB393" s="32"/>
      <c r="DC393" s="32"/>
      <c r="DD393" s="32"/>
      <c r="DE393" s="32"/>
      <c r="DF393" s="32"/>
      <c r="DG393" s="32"/>
      <c r="DH393" s="32"/>
      <c r="DI393" s="32"/>
      <c r="DJ393" s="32"/>
      <c r="DK393" s="32"/>
      <c r="DL393" s="32"/>
      <c r="DM393" s="32"/>
      <c r="DN393" s="32"/>
      <c r="DO393" s="32"/>
      <c r="DP393" s="32"/>
      <c r="DQ393" s="32"/>
      <c r="DR393" s="32"/>
      <c r="DS393" s="32"/>
      <c r="DT393" s="32"/>
      <c r="DU393" s="32"/>
      <c r="DV393" s="32"/>
      <c r="DW393" s="32"/>
      <c r="DX393" s="32"/>
      <c r="DY393" s="32"/>
      <c r="DZ393" s="32"/>
      <c r="EA393" s="32"/>
      <c r="EB393" s="32"/>
      <c r="EC393" s="32"/>
      <c r="ED393" s="32"/>
      <c r="EE393" s="32"/>
      <c r="EF393" s="32"/>
      <c r="EG393" s="32"/>
      <c r="EH393" s="32"/>
      <c r="EI393" s="32"/>
      <c r="EJ393" s="32"/>
      <c r="EK393" s="32"/>
    </row>
    <row r="394" spans="42:141">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c r="BO394" s="32"/>
      <c r="BP394" s="32"/>
      <c r="BQ394" s="32"/>
      <c r="BR394" s="32"/>
      <c r="BS394" s="32"/>
      <c r="BT394" s="32"/>
      <c r="BU394" s="32"/>
      <c r="BV394" s="32"/>
      <c r="BW394" s="32"/>
      <c r="BX394" s="32"/>
      <c r="BY394" s="32"/>
      <c r="BZ394" s="32"/>
      <c r="CA394" s="32"/>
      <c r="CB394" s="32"/>
      <c r="CC394" s="32"/>
      <c r="CD394" s="32"/>
      <c r="CE394" s="32"/>
      <c r="CF394" s="32"/>
      <c r="CG394" s="32"/>
      <c r="CH394" s="32"/>
      <c r="CI394" s="32"/>
      <c r="CJ394" s="32"/>
      <c r="CK394" s="32"/>
      <c r="CL394" s="32"/>
      <c r="CM394" s="32"/>
      <c r="CN394" s="32"/>
      <c r="CO394" s="32"/>
      <c r="CP394" s="32"/>
      <c r="CQ394" s="32"/>
      <c r="CR394" s="32"/>
      <c r="CS394" s="32"/>
      <c r="CT394" s="32"/>
      <c r="CU394" s="32"/>
      <c r="CV394" s="32"/>
      <c r="CW394" s="32"/>
      <c r="CX394" s="32"/>
      <c r="CY394" s="32"/>
      <c r="CZ394" s="32"/>
      <c r="DA394" s="32"/>
      <c r="DB394" s="32"/>
      <c r="DC394" s="32"/>
      <c r="DD394" s="32"/>
      <c r="DE394" s="32"/>
      <c r="DF394" s="32"/>
      <c r="DG394" s="32"/>
      <c r="DH394" s="32"/>
      <c r="DI394" s="32"/>
      <c r="DJ394" s="32"/>
      <c r="DK394" s="32"/>
      <c r="DL394" s="32"/>
      <c r="DM394" s="32"/>
      <c r="DN394" s="32"/>
      <c r="DO394" s="32"/>
      <c r="DP394" s="32"/>
      <c r="DQ394" s="32"/>
      <c r="DR394" s="32"/>
      <c r="DS394" s="32"/>
      <c r="DT394" s="32"/>
      <c r="DU394" s="32"/>
      <c r="DV394" s="32"/>
      <c r="DW394" s="32"/>
      <c r="DX394" s="32"/>
      <c r="DY394" s="32"/>
      <c r="DZ394" s="32"/>
      <c r="EA394" s="32"/>
      <c r="EB394" s="32"/>
      <c r="EC394" s="32"/>
      <c r="ED394" s="32"/>
      <c r="EE394" s="32"/>
      <c r="EF394" s="32"/>
      <c r="EG394" s="32"/>
      <c r="EH394" s="32"/>
      <c r="EI394" s="32"/>
      <c r="EJ394" s="32"/>
      <c r="EK394" s="32"/>
    </row>
    <row r="395" spans="42:141">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c r="CK395" s="32"/>
      <c r="CL395" s="32"/>
      <c r="CM395" s="32"/>
      <c r="CN395" s="32"/>
      <c r="CO395" s="32"/>
      <c r="CP395" s="32"/>
      <c r="CQ395" s="32"/>
      <c r="CR395" s="32"/>
      <c r="CS395" s="32"/>
      <c r="CT395" s="32"/>
      <c r="CU395" s="32"/>
      <c r="CV395" s="32"/>
      <c r="CW395" s="32"/>
      <c r="CX395" s="32"/>
      <c r="CY395" s="32"/>
      <c r="CZ395" s="32"/>
      <c r="DA395" s="32"/>
      <c r="DB395" s="32"/>
      <c r="DC395" s="32"/>
      <c r="DD395" s="32"/>
      <c r="DE395" s="32"/>
      <c r="DF395" s="32"/>
      <c r="DG395" s="32"/>
      <c r="DH395" s="32"/>
      <c r="DI395" s="32"/>
      <c r="DJ395" s="32"/>
      <c r="DK395" s="32"/>
      <c r="DL395" s="32"/>
      <c r="DM395" s="32"/>
      <c r="DN395" s="32"/>
      <c r="DO395" s="32"/>
      <c r="DP395" s="32"/>
      <c r="DQ395" s="32"/>
      <c r="DR395" s="32"/>
      <c r="DS395" s="32"/>
      <c r="DT395" s="32"/>
      <c r="DU395" s="32"/>
      <c r="DV395" s="32"/>
      <c r="DW395" s="32"/>
      <c r="DX395" s="32"/>
      <c r="DY395" s="32"/>
      <c r="DZ395" s="32"/>
      <c r="EA395" s="32"/>
      <c r="EB395" s="32"/>
      <c r="EC395" s="32"/>
      <c r="ED395" s="32"/>
      <c r="EE395" s="32"/>
      <c r="EF395" s="32"/>
      <c r="EG395" s="32"/>
      <c r="EH395" s="32"/>
      <c r="EI395" s="32"/>
      <c r="EJ395" s="32"/>
      <c r="EK395" s="32"/>
    </row>
    <row r="396" spans="42:141">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c r="CK396" s="32"/>
      <c r="CL396" s="32"/>
      <c r="CM396" s="32"/>
      <c r="CN396" s="32"/>
      <c r="CO396" s="32"/>
      <c r="CP396" s="32"/>
      <c r="CQ396" s="32"/>
      <c r="CR396" s="32"/>
      <c r="CS396" s="32"/>
      <c r="CT396" s="32"/>
      <c r="CU396" s="32"/>
      <c r="CV396" s="32"/>
      <c r="CW396" s="32"/>
      <c r="CX396" s="32"/>
      <c r="CY396" s="32"/>
      <c r="CZ396" s="32"/>
      <c r="DA396" s="32"/>
      <c r="DB396" s="32"/>
      <c r="DC396" s="32"/>
      <c r="DD396" s="32"/>
      <c r="DE396" s="32"/>
      <c r="DF396" s="32"/>
      <c r="DG396" s="32"/>
      <c r="DH396" s="32"/>
      <c r="DI396" s="32"/>
      <c r="DJ396" s="32"/>
      <c r="DK396" s="32"/>
      <c r="DL396" s="32"/>
      <c r="DM396" s="32"/>
      <c r="DN396" s="32"/>
      <c r="DO396" s="32"/>
      <c r="DP396" s="32"/>
      <c r="DQ396" s="32"/>
      <c r="DR396" s="32"/>
      <c r="DS396" s="32"/>
      <c r="DT396" s="32"/>
      <c r="DU396" s="32"/>
      <c r="DV396" s="32"/>
      <c r="DW396" s="32"/>
      <c r="DX396" s="32"/>
      <c r="DY396" s="32"/>
      <c r="DZ396" s="32"/>
      <c r="EA396" s="32"/>
      <c r="EB396" s="32"/>
      <c r="EC396" s="32"/>
      <c r="ED396" s="32"/>
      <c r="EE396" s="32"/>
      <c r="EF396" s="32"/>
      <c r="EG396" s="32"/>
      <c r="EH396" s="32"/>
      <c r="EI396" s="32"/>
      <c r="EJ396" s="32"/>
      <c r="EK396" s="32"/>
    </row>
    <row r="397" spans="42:141">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c r="CK397" s="32"/>
      <c r="CL397" s="32"/>
      <c r="CM397" s="32"/>
      <c r="CN397" s="32"/>
      <c r="CO397" s="32"/>
      <c r="CP397" s="32"/>
      <c r="CQ397" s="32"/>
      <c r="CR397" s="32"/>
      <c r="CS397" s="32"/>
      <c r="CT397" s="32"/>
      <c r="CU397" s="32"/>
      <c r="CV397" s="32"/>
      <c r="CW397" s="32"/>
      <c r="CX397" s="32"/>
      <c r="CY397" s="32"/>
      <c r="CZ397" s="32"/>
      <c r="DA397" s="32"/>
      <c r="DB397" s="32"/>
      <c r="DC397" s="32"/>
      <c r="DD397" s="32"/>
      <c r="DE397" s="32"/>
      <c r="DF397" s="32"/>
      <c r="DG397" s="32"/>
      <c r="DH397" s="32"/>
      <c r="DI397" s="32"/>
      <c r="DJ397" s="32"/>
      <c r="DK397" s="32"/>
      <c r="DL397" s="32"/>
      <c r="DM397" s="32"/>
      <c r="DN397" s="32"/>
      <c r="DO397" s="32"/>
      <c r="DP397" s="32"/>
      <c r="DQ397" s="32"/>
      <c r="DR397" s="32"/>
      <c r="DS397" s="32"/>
      <c r="DT397" s="32"/>
      <c r="DU397" s="32"/>
      <c r="DV397" s="32"/>
      <c r="DW397" s="32"/>
      <c r="DX397" s="32"/>
      <c r="DY397" s="32"/>
      <c r="DZ397" s="32"/>
      <c r="EA397" s="32"/>
      <c r="EB397" s="32"/>
      <c r="EC397" s="32"/>
      <c r="ED397" s="32"/>
      <c r="EE397" s="32"/>
      <c r="EF397" s="32"/>
      <c r="EG397" s="32"/>
      <c r="EH397" s="32"/>
      <c r="EI397" s="32"/>
      <c r="EJ397" s="32"/>
      <c r="EK397" s="32"/>
    </row>
    <row r="398" spans="42:141">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c r="CK398" s="32"/>
      <c r="CL398" s="32"/>
      <c r="CM398" s="32"/>
      <c r="CN398" s="32"/>
      <c r="CO398" s="32"/>
      <c r="CP398" s="32"/>
      <c r="CQ398" s="32"/>
      <c r="CR398" s="32"/>
      <c r="CS398" s="32"/>
      <c r="CT398" s="32"/>
      <c r="CU398" s="32"/>
      <c r="CV398" s="32"/>
      <c r="CW398" s="32"/>
      <c r="CX398" s="32"/>
      <c r="CY398" s="32"/>
      <c r="CZ398" s="32"/>
      <c r="DA398" s="32"/>
      <c r="DB398" s="32"/>
      <c r="DC398" s="32"/>
      <c r="DD398" s="32"/>
      <c r="DE398" s="32"/>
      <c r="DF398" s="32"/>
      <c r="DG398" s="32"/>
      <c r="DH398" s="32"/>
      <c r="DI398" s="32"/>
      <c r="DJ398" s="32"/>
      <c r="DK398" s="32"/>
      <c r="DL398" s="32"/>
      <c r="DM398" s="32"/>
      <c r="DN398" s="32"/>
      <c r="DO398" s="32"/>
      <c r="DP398" s="32"/>
      <c r="DQ398" s="32"/>
      <c r="DR398" s="32"/>
      <c r="DS398" s="32"/>
      <c r="DT398" s="32"/>
      <c r="DU398" s="32"/>
      <c r="DV398" s="32"/>
      <c r="DW398" s="32"/>
      <c r="DX398" s="32"/>
      <c r="DY398" s="32"/>
      <c r="DZ398" s="32"/>
      <c r="EA398" s="32"/>
      <c r="EB398" s="32"/>
      <c r="EC398" s="32"/>
      <c r="ED398" s="32"/>
      <c r="EE398" s="32"/>
      <c r="EF398" s="32"/>
      <c r="EG398" s="32"/>
      <c r="EH398" s="32"/>
      <c r="EI398" s="32"/>
      <c r="EJ398" s="32"/>
      <c r="EK398" s="32"/>
    </row>
    <row r="399" spans="42:141">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c r="CK399" s="32"/>
      <c r="CL399" s="32"/>
      <c r="CM399" s="32"/>
      <c r="CN399" s="32"/>
      <c r="CO399" s="32"/>
      <c r="CP399" s="32"/>
      <c r="CQ399" s="32"/>
      <c r="CR399" s="32"/>
      <c r="CS399" s="32"/>
      <c r="CT399" s="32"/>
      <c r="CU399" s="32"/>
      <c r="CV399" s="32"/>
      <c r="CW399" s="32"/>
      <c r="CX399" s="32"/>
      <c r="CY399" s="32"/>
      <c r="CZ399" s="32"/>
      <c r="DA399" s="32"/>
      <c r="DB399" s="32"/>
      <c r="DC399" s="32"/>
      <c r="DD399" s="32"/>
      <c r="DE399" s="32"/>
      <c r="DF399" s="32"/>
      <c r="DG399" s="32"/>
      <c r="DH399" s="32"/>
      <c r="DI399" s="32"/>
      <c r="DJ399" s="32"/>
      <c r="DK399" s="32"/>
      <c r="DL399" s="32"/>
      <c r="DM399" s="32"/>
      <c r="DN399" s="32"/>
      <c r="DO399" s="32"/>
      <c r="DP399" s="32"/>
      <c r="DQ399" s="32"/>
      <c r="DR399" s="32"/>
      <c r="DS399" s="32"/>
      <c r="DT399" s="32"/>
      <c r="DU399" s="32"/>
      <c r="DV399" s="32"/>
      <c r="DW399" s="32"/>
      <c r="DX399" s="32"/>
      <c r="DY399" s="32"/>
      <c r="DZ399" s="32"/>
      <c r="EA399" s="32"/>
      <c r="EB399" s="32"/>
      <c r="EC399" s="32"/>
      <c r="ED399" s="32"/>
      <c r="EE399" s="32"/>
      <c r="EF399" s="32"/>
      <c r="EG399" s="32"/>
      <c r="EH399" s="32"/>
      <c r="EI399" s="32"/>
      <c r="EJ399" s="32"/>
      <c r="EK399" s="32"/>
    </row>
    <row r="400" spans="42:141">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c r="CK400" s="32"/>
      <c r="CL400" s="32"/>
      <c r="CM400" s="32"/>
      <c r="CN400" s="32"/>
      <c r="CO400" s="32"/>
      <c r="CP400" s="32"/>
      <c r="CQ400" s="32"/>
      <c r="CR400" s="32"/>
      <c r="CS400" s="32"/>
      <c r="CT400" s="32"/>
      <c r="CU400" s="32"/>
      <c r="CV400" s="32"/>
      <c r="CW400" s="32"/>
      <c r="CX400" s="32"/>
      <c r="CY400" s="32"/>
      <c r="CZ400" s="32"/>
      <c r="DA400" s="32"/>
      <c r="DB400" s="32"/>
      <c r="DC400" s="32"/>
      <c r="DD400" s="32"/>
      <c r="DE400" s="32"/>
      <c r="DF400" s="32"/>
      <c r="DG400" s="32"/>
      <c r="DH400" s="32"/>
      <c r="DI400" s="32"/>
      <c r="DJ400" s="32"/>
      <c r="DK400" s="32"/>
      <c r="DL400" s="32"/>
      <c r="DM400" s="32"/>
      <c r="DN400" s="32"/>
      <c r="DO400" s="32"/>
      <c r="DP400" s="32"/>
      <c r="DQ400" s="32"/>
      <c r="DR400" s="32"/>
      <c r="DS400" s="32"/>
      <c r="DT400" s="32"/>
      <c r="DU400" s="32"/>
      <c r="DV400" s="32"/>
      <c r="DW400" s="32"/>
      <c r="DX400" s="32"/>
      <c r="DY400" s="32"/>
      <c r="DZ400" s="32"/>
      <c r="EA400" s="32"/>
      <c r="EB400" s="32"/>
      <c r="EC400" s="32"/>
      <c r="ED400" s="32"/>
      <c r="EE400" s="32"/>
      <c r="EF400" s="32"/>
      <c r="EG400" s="32"/>
      <c r="EH400" s="32"/>
      <c r="EI400" s="32"/>
      <c r="EJ400" s="32"/>
      <c r="EK400" s="32"/>
    </row>
    <row r="401" spans="42:141">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c r="CK401" s="32"/>
      <c r="CL401" s="32"/>
      <c r="CM401" s="32"/>
      <c r="CN401" s="32"/>
      <c r="CO401" s="32"/>
      <c r="CP401" s="32"/>
      <c r="CQ401" s="32"/>
      <c r="CR401" s="32"/>
      <c r="CS401" s="32"/>
      <c r="CT401" s="32"/>
      <c r="CU401" s="32"/>
      <c r="CV401" s="32"/>
      <c r="CW401" s="32"/>
      <c r="CX401" s="32"/>
      <c r="CY401" s="32"/>
      <c r="CZ401" s="32"/>
      <c r="DA401" s="32"/>
      <c r="DB401" s="32"/>
      <c r="DC401" s="32"/>
      <c r="DD401" s="32"/>
      <c r="DE401" s="32"/>
      <c r="DF401" s="32"/>
      <c r="DG401" s="32"/>
      <c r="DH401" s="32"/>
      <c r="DI401" s="32"/>
      <c r="DJ401" s="32"/>
      <c r="DK401" s="32"/>
      <c r="DL401" s="32"/>
      <c r="DM401" s="32"/>
      <c r="DN401" s="32"/>
      <c r="DO401" s="32"/>
      <c r="DP401" s="32"/>
      <c r="DQ401" s="32"/>
      <c r="DR401" s="32"/>
      <c r="DS401" s="32"/>
      <c r="DT401" s="32"/>
      <c r="DU401" s="32"/>
      <c r="DV401" s="32"/>
      <c r="DW401" s="32"/>
      <c r="DX401" s="32"/>
      <c r="DY401" s="32"/>
      <c r="DZ401" s="32"/>
      <c r="EA401" s="32"/>
      <c r="EB401" s="32"/>
      <c r="EC401" s="32"/>
      <c r="ED401" s="32"/>
      <c r="EE401" s="32"/>
      <c r="EF401" s="32"/>
      <c r="EG401" s="32"/>
      <c r="EH401" s="32"/>
      <c r="EI401" s="32"/>
      <c r="EJ401" s="32"/>
      <c r="EK401" s="32"/>
    </row>
    <row r="402" spans="42:141">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32"/>
      <c r="CU402" s="32"/>
      <c r="CV402" s="32"/>
      <c r="CW402" s="32"/>
      <c r="CX402" s="32"/>
      <c r="CY402" s="32"/>
      <c r="CZ402" s="32"/>
      <c r="DA402" s="32"/>
      <c r="DB402" s="32"/>
      <c r="DC402" s="32"/>
      <c r="DD402" s="32"/>
      <c r="DE402" s="32"/>
      <c r="DF402" s="32"/>
      <c r="DG402" s="32"/>
      <c r="DH402" s="32"/>
      <c r="DI402" s="32"/>
      <c r="DJ402" s="32"/>
      <c r="DK402" s="32"/>
      <c r="DL402" s="32"/>
      <c r="DM402" s="32"/>
      <c r="DN402" s="32"/>
      <c r="DO402" s="32"/>
      <c r="DP402" s="32"/>
      <c r="DQ402" s="32"/>
      <c r="DR402" s="32"/>
      <c r="DS402" s="32"/>
      <c r="DT402" s="32"/>
      <c r="DU402" s="32"/>
      <c r="DV402" s="32"/>
      <c r="DW402" s="32"/>
      <c r="DX402" s="32"/>
      <c r="DY402" s="32"/>
      <c r="DZ402" s="32"/>
      <c r="EA402" s="32"/>
      <c r="EB402" s="32"/>
      <c r="EC402" s="32"/>
      <c r="ED402" s="32"/>
      <c r="EE402" s="32"/>
      <c r="EF402" s="32"/>
      <c r="EG402" s="32"/>
      <c r="EH402" s="32"/>
      <c r="EI402" s="32"/>
      <c r="EJ402" s="32"/>
      <c r="EK402" s="32"/>
    </row>
    <row r="403" spans="42:141">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32"/>
      <c r="CU403" s="32"/>
      <c r="CV403" s="32"/>
      <c r="CW403" s="32"/>
      <c r="CX403" s="32"/>
      <c r="CY403" s="32"/>
      <c r="CZ403" s="32"/>
      <c r="DA403" s="32"/>
      <c r="DB403" s="32"/>
      <c r="DC403" s="32"/>
      <c r="DD403" s="32"/>
      <c r="DE403" s="32"/>
      <c r="DF403" s="32"/>
      <c r="DG403" s="32"/>
      <c r="DH403" s="32"/>
      <c r="DI403" s="32"/>
      <c r="DJ403" s="32"/>
      <c r="DK403" s="32"/>
      <c r="DL403" s="32"/>
      <c r="DM403" s="32"/>
      <c r="DN403" s="32"/>
      <c r="DO403" s="32"/>
      <c r="DP403" s="32"/>
      <c r="DQ403" s="32"/>
      <c r="DR403" s="32"/>
      <c r="DS403" s="32"/>
      <c r="DT403" s="32"/>
      <c r="DU403" s="32"/>
      <c r="DV403" s="32"/>
      <c r="DW403" s="32"/>
      <c r="DX403" s="32"/>
      <c r="DY403" s="32"/>
      <c r="DZ403" s="32"/>
      <c r="EA403" s="32"/>
      <c r="EB403" s="32"/>
      <c r="EC403" s="32"/>
      <c r="ED403" s="32"/>
      <c r="EE403" s="32"/>
      <c r="EF403" s="32"/>
      <c r="EG403" s="32"/>
      <c r="EH403" s="32"/>
      <c r="EI403" s="32"/>
      <c r="EJ403" s="32"/>
      <c r="EK403" s="32"/>
    </row>
    <row r="404" spans="42:141">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c r="CK404" s="32"/>
      <c r="CL404" s="32"/>
      <c r="CM404" s="32"/>
      <c r="CN404" s="32"/>
      <c r="CO404" s="32"/>
      <c r="CP404" s="32"/>
      <c r="CQ404" s="32"/>
      <c r="CR404" s="32"/>
      <c r="CS404" s="32"/>
      <c r="CT404" s="32"/>
      <c r="CU404" s="32"/>
      <c r="CV404" s="32"/>
      <c r="CW404" s="32"/>
      <c r="CX404" s="32"/>
      <c r="CY404" s="32"/>
      <c r="CZ404" s="32"/>
      <c r="DA404" s="32"/>
      <c r="DB404" s="32"/>
      <c r="DC404" s="32"/>
      <c r="DD404" s="32"/>
      <c r="DE404" s="32"/>
      <c r="DF404" s="32"/>
      <c r="DG404" s="32"/>
      <c r="DH404" s="32"/>
      <c r="DI404" s="32"/>
      <c r="DJ404" s="32"/>
      <c r="DK404" s="32"/>
      <c r="DL404" s="32"/>
      <c r="DM404" s="32"/>
      <c r="DN404" s="32"/>
      <c r="DO404" s="32"/>
      <c r="DP404" s="32"/>
      <c r="DQ404" s="32"/>
      <c r="DR404" s="32"/>
      <c r="DS404" s="32"/>
      <c r="DT404" s="32"/>
      <c r="DU404" s="32"/>
      <c r="DV404" s="32"/>
      <c r="DW404" s="32"/>
      <c r="DX404" s="32"/>
      <c r="DY404" s="32"/>
      <c r="DZ404" s="32"/>
      <c r="EA404" s="32"/>
      <c r="EB404" s="32"/>
      <c r="EC404" s="32"/>
      <c r="ED404" s="32"/>
      <c r="EE404" s="32"/>
      <c r="EF404" s="32"/>
      <c r="EG404" s="32"/>
      <c r="EH404" s="32"/>
      <c r="EI404" s="32"/>
      <c r="EJ404" s="32"/>
      <c r="EK404" s="32"/>
    </row>
    <row r="405" spans="42:141">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c r="CK405" s="32"/>
      <c r="CL405" s="32"/>
      <c r="CM405" s="32"/>
      <c r="CN405" s="32"/>
      <c r="CO405" s="32"/>
      <c r="CP405" s="32"/>
      <c r="CQ405" s="32"/>
      <c r="CR405" s="32"/>
      <c r="CS405" s="32"/>
      <c r="CT405" s="32"/>
      <c r="CU405" s="32"/>
      <c r="CV405" s="32"/>
      <c r="CW405" s="32"/>
      <c r="CX405" s="32"/>
      <c r="CY405" s="32"/>
      <c r="CZ405" s="32"/>
      <c r="DA405" s="32"/>
      <c r="DB405" s="32"/>
      <c r="DC405" s="32"/>
      <c r="DD405" s="32"/>
      <c r="DE405" s="32"/>
      <c r="DF405" s="32"/>
      <c r="DG405" s="32"/>
      <c r="DH405" s="32"/>
      <c r="DI405" s="32"/>
      <c r="DJ405" s="32"/>
      <c r="DK405" s="32"/>
      <c r="DL405" s="32"/>
      <c r="DM405" s="32"/>
      <c r="DN405" s="32"/>
      <c r="DO405" s="32"/>
      <c r="DP405" s="32"/>
      <c r="DQ405" s="32"/>
      <c r="DR405" s="32"/>
      <c r="DS405" s="32"/>
      <c r="DT405" s="32"/>
      <c r="DU405" s="32"/>
      <c r="DV405" s="32"/>
      <c r="DW405" s="32"/>
      <c r="DX405" s="32"/>
      <c r="DY405" s="32"/>
      <c r="DZ405" s="32"/>
      <c r="EA405" s="32"/>
      <c r="EB405" s="32"/>
      <c r="EC405" s="32"/>
      <c r="ED405" s="32"/>
      <c r="EE405" s="32"/>
      <c r="EF405" s="32"/>
      <c r="EG405" s="32"/>
      <c r="EH405" s="32"/>
      <c r="EI405" s="32"/>
      <c r="EJ405" s="32"/>
      <c r="EK405" s="32"/>
    </row>
    <row r="406" spans="42:141">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c r="CK406" s="32"/>
      <c r="CL406" s="32"/>
      <c r="CM406" s="32"/>
      <c r="CN406" s="32"/>
      <c r="CO406" s="32"/>
      <c r="CP406" s="32"/>
      <c r="CQ406" s="32"/>
      <c r="CR406" s="32"/>
      <c r="CS406" s="32"/>
      <c r="CT406" s="32"/>
      <c r="CU406" s="32"/>
      <c r="CV406" s="32"/>
      <c r="CW406" s="32"/>
      <c r="CX406" s="32"/>
      <c r="CY406" s="32"/>
      <c r="CZ406" s="32"/>
      <c r="DA406" s="32"/>
      <c r="DB406" s="32"/>
      <c r="DC406" s="32"/>
      <c r="DD406" s="32"/>
      <c r="DE406" s="32"/>
      <c r="DF406" s="32"/>
      <c r="DG406" s="32"/>
      <c r="DH406" s="32"/>
      <c r="DI406" s="32"/>
      <c r="DJ406" s="32"/>
      <c r="DK406" s="32"/>
      <c r="DL406" s="32"/>
      <c r="DM406" s="32"/>
      <c r="DN406" s="32"/>
      <c r="DO406" s="32"/>
      <c r="DP406" s="32"/>
      <c r="DQ406" s="32"/>
      <c r="DR406" s="32"/>
      <c r="DS406" s="32"/>
      <c r="DT406" s="32"/>
      <c r="DU406" s="32"/>
      <c r="DV406" s="32"/>
      <c r="DW406" s="32"/>
      <c r="DX406" s="32"/>
      <c r="DY406" s="32"/>
      <c r="DZ406" s="32"/>
      <c r="EA406" s="32"/>
      <c r="EB406" s="32"/>
      <c r="EC406" s="32"/>
      <c r="ED406" s="32"/>
      <c r="EE406" s="32"/>
      <c r="EF406" s="32"/>
      <c r="EG406" s="32"/>
      <c r="EH406" s="32"/>
      <c r="EI406" s="32"/>
      <c r="EJ406" s="32"/>
      <c r="EK406" s="32"/>
    </row>
    <row r="407" spans="42:141">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c r="BO407" s="32"/>
      <c r="BP407" s="32"/>
      <c r="BQ407" s="32"/>
      <c r="BR407" s="32"/>
      <c r="BS407" s="32"/>
      <c r="BT407" s="32"/>
      <c r="BU407" s="32"/>
      <c r="BV407" s="32"/>
      <c r="BW407" s="32"/>
      <c r="BX407" s="32"/>
      <c r="BY407" s="32"/>
      <c r="BZ407" s="32"/>
      <c r="CA407" s="32"/>
      <c r="CB407" s="32"/>
      <c r="CC407" s="32"/>
      <c r="CD407" s="32"/>
      <c r="CE407" s="32"/>
      <c r="CF407" s="32"/>
      <c r="CG407" s="32"/>
      <c r="CH407" s="32"/>
      <c r="CI407" s="32"/>
      <c r="CJ407" s="32"/>
      <c r="CK407" s="32"/>
      <c r="CL407" s="32"/>
      <c r="CM407" s="32"/>
      <c r="CN407" s="32"/>
      <c r="CO407" s="32"/>
      <c r="CP407" s="32"/>
      <c r="CQ407" s="32"/>
      <c r="CR407" s="32"/>
      <c r="CS407" s="32"/>
      <c r="CT407" s="32"/>
      <c r="CU407" s="32"/>
      <c r="CV407" s="32"/>
      <c r="CW407" s="32"/>
      <c r="CX407" s="32"/>
      <c r="CY407" s="32"/>
      <c r="CZ407" s="32"/>
      <c r="DA407" s="32"/>
      <c r="DB407" s="32"/>
      <c r="DC407" s="32"/>
      <c r="DD407" s="32"/>
      <c r="DE407" s="32"/>
      <c r="DF407" s="32"/>
      <c r="DG407" s="32"/>
      <c r="DH407" s="32"/>
      <c r="DI407" s="32"/>
      <c r="DJ407" s="32"/>
      <c r="DK407" s="32"/>
      <c r="DL407" s="32"/>
      <c r="DM407" s="32"/>
      <c r="DN407" s="32"/>
      <c r="DO407" s="32"/>
      <c r="DP407" s="32"/>
      <c r="DQ407" s="32"/>
      <c r="DR407" s="32"/>
      <c r="DS407" s="32"/>
      <c r="DT407" s="32"/>
      <c r="DU407" s="32"/>
      <c r="DV407" s="32"/>
      <c r="DW407" s="32"/>
      <c r="DX407" s="32"/>
      <c r="DY407" s="32"/>
      <c r="DZ407" s="32"/>
      <c r="EA407" s="32"/>
      <c r="EB407" s="32"/>
      <c r="EC407" s="32"/>
      <c r="ED407" s="32"/>
      <c r="EE407" s="32"/>
      <c r="EF407" s="32"/>
      <c r="EG407" s="32"/>
      <c r="EH407" s="32"/>
      <c r="EI407" s="32"/>
      <c r="EJ407" s="32"/>
      <c r="EK407" s="32"/>
    </row>
    <row r="408" spans="42:141">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c r="CK408" s="32"/>
      <c r="CL408" s="32"/>
      <c r="CM408" s="32"/>
      <c r="CN408" s="32"/>
      <c r="CO408" s="32"/>
      <c r="CP408" s="32"/>
      <c r="CQ408" s="32"/>
      <c r="CR408" s="32"/>
      <c r="CS408" s="32"/>
      <c r="CT408" s="32"/>
      <c r="CU408" s="32"/>
      <c r="CV408" s="32"/>
      <c r="CW408" s="32"/>
      <c r="CX408" s="32"/>
      <c r="CY408" s="32"/>
      <c r="CZ408" s="32"/>
      <c r="DA408" s="32"/>
      <c r="DB408" s="32"/>
      <c r="DC408" s="32"/>
      <c r="DD408" s="32"/>
      <c r="DE408" s="32"/>
      <c r="DF408" s="32"/>
      <c r="DG408" s="32"/>
      <c r="DH408" s="32"/>
      <c r="DI408" s="32"/>
      <c r="DJ408" s="32"/>
      <c r="DK408" s="32"/>
      <c r="DL408" s="32"/>
      <c r="DM408" s="32"/>
      <c r="DN408" s="32"/>
      <c r="DO408" s="32"/>
      <c r="DP408" s="32"/>
      <c r="DQ408" s="32"/>
      <c r="DR408" s="32"/>
      <c r="DS408" s="32"/>
      <c r="DT408" s="32"/>
      <c r="DU408" s="32"/>
      <c r="DV408" s="32"/>
      <c r="DW408" s="32"/>
      <c r="DX408" s="32"/>
      <c r="DY408" s="32"/>
      <c r="DZ408" s="32"/>
      <c r="EA408" s="32"/>
      <c r="EB408" s="32"/>
      <c r="EC408" s="32"/>
      <c r="ED408" s="32"/>
      <c r="EE408" s="32"/>
      <c r="EF408" s="32"/>
      <c r="EG408" s="32"/>
      <c r="EH408" s="32"/>
      <c r="EI408" s="32"/>
      <c r="EJ408" s="32"/>
      <c r="EK408" s="32"/>
    </row>
    <row r="1000" spans="648:648" ht="15.75">
      <c r="XX1000" s="151">
        <v>125713</v>
      </c>
    </row>
  </sheetData>
  <mergeCells count="5">
    <mergeCell ref="G53:R53"/>
    <mergeCell ref="G54:R54"/>
    <mergeCell ref="G55:R55"/>
    <mergeCell ref="G56:R56"/>
    <mergeCell ref="G57:R57"/>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7" id="{0D6FD747-C5D9-470F-8B3D-E2777816762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F53:F57</xm:sqref>
        </x14:conditionalFormatting>
        <x14:conditionalFormatting xmlns:xm="http://schemas.microsoft.com/office/excel/2006/main">
          <x14:cfRule type="iconSet" priority="24" id="{78F35F11-A1DB-4A94-A521-3481CDF2052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F63:F65</xm:sqref>
        </x14:conditionalFormatting>
        <x14:conditionalFormatting xmlns:xm="http://schemas.microsoft.com/office/excel/2006/main">
          <x14:cfRule type="iconSet" priority="21" id="{6EA5A6EE-7190-494D-B8BA-7E66AD8E098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F68:F70</xm:sqref>
        </x14:conditionalFormatting>
        <x14:conditionalFormatting xmlns:xm="http://schemas.microsoft.com/office/excel/2006/main">
          <x14:cfRule type="iconSet" priority="16" id="{AD15F696-7130-4FC6-AFD5-33B9937E8CD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F74</xm:sqref>
        </x14:conditionalFormatting>
        <x14:conditionalFormatting xmlns:xm="http://schemas.microsoft.com/office/excel/2006/main">
          <x14:cfRule type="iconSet" priority="9" id="{A8198740-3EFA-467E-BCB3-259F5A5872F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F76:F95</xm:sqref>
        </x14:conditionalFormatting>
        <x14:conditionalFormatting xmlns:xm="http://schemas.microsoft.com/office/excel/2006/main">
          <x14:cfRule type="iconSet" priority="20" id="{3DDB738F-6D30-415E-8718-B692804160A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F103:F106</xm:sqref>
        </x14:conditionalFormatting>
        <x14:conditionalFormatting xmlns:xm="http://schemas.microsoft.com/office/excel/2006/main">
          <x14:cfRule type="iconSet" priority="15" id="{6C3CDB6E-07E3-477C-8B59-3D118D9E420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F110</xm:sqref>
        </x14:conditionalFormatting>
        <x14:conditionalFormatting xmlns:xm="http://schemas.microsoft.com/office/excel/2006/main">
          <x14:cfRule type="iconSet" priority="8" id="{A67498C7-1625-41C7-B82A-D4CD8E307AA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F112:F131</xm:sqref>
        </x14:conditionalFormatting>
        <x14:conditionalFormatting xmlns:xm="http://schemas.microsoft.com/office/excel/2006/main">
          <x14:cfRule type="iconSet" priority="14" id="{CD24C41E-43C2-4412-B6F7-8770AF87661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F138:F142</xm:sqref>
        </x14:conditionalFormatting>
        <x14:conditionalFormatting xmlns:xm="http://schemas.microsoft.com/office/excel/2006/main">
          <x14:cfRule type="iconSet" priority="13" id="{6DEA35E1-8F36-4B00-98A5-D091A1F0B18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F146</xm:sqref>
        </x14:conditionalFormatting>
        <x14:conditionalFormatting xmlns:xm="http://schemas.microsoft.com/office/excel/2006/main">
          <x14:cfRule type="iconSet" priority="7" id="{F218F394-3B6B-478F-BEEE-B8564103395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F148:F167</xm:sqref>
        </x14:conditionalFormatting>
        <x14:conditionalFormatting xmlns:xm="http://schemas.microsoft.com/office/excel/2006/main">
          <x14:cfRule type="iconSet" priority="10" id="{517AE05B-6E19-4801-89B2-EC07A965A7F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F183</xm:sqref>
        </x14:conditionalFormatting>
        <x14:conditionalFormatting xmlns:xm="http://schemas.microsoft.com/office/excel/2006/main">
          <x14:cfRule type="iconSet" priority="6" id="{EFF2145F-EC78-4B8C-B556-BD7E31C1910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F185:F204</xm:sqref>
        </x14:conditionalFormatting>
        <x14:conditionalFormatting xmlns:xm="http://schemas.microsoft.com/office/excel/2006/main">
          <x14:cfRule type="iconSet" priority="3" id="{B5D5B16F-420C-4AC7-AB91-D393D5C5840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F213:F216</xm:sqref>
        </x14:conditionalFormatting>
        <x14:conditionalFormatting xmlns:xm="http://schemas.microsoft.com/office/excel/2006/main">
          <x14:cfRule type="iconSet" priority="2" id="{D2DCE3A1-C380-4239-8C03-B9AD4EC7FDE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F220</xm:sqref>
        </x14:conditionalFormatting>
        <x14:conditionalFormatting xmlns:xm="http://schemas.microsoft.com/office/excel/2006/main">
          <x14:cfRule type="iconSet" priority="1" id="{E2FE426A-DCE9-4DD0-8FC2-82E577EFAC4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F222:F241</xm:sqref>
        </x14:conditionalFormatting>
        <x14:conditionalFormatting xmlns:xm="http://schemas.microsoft.com/office/excel/2006/main">
          <x14:cfRule type="iconSet" priority="19" id="{0B9B5B20-A3A9-4F38-AAC5-E96FDCB551E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F251:F254</xm:sqref>
        </x14:conditionalFormatting>
        <x14:conditionalFormatting xmlns:xm="http://schemas.microsoft.com/office/excel/2006/main">
          <x14:cfRule type="iconSet" priority="12" id="{829C3D13-967A-442B-8EB0-62722F8B712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F258</xm:sqref>
        </x14:conditionalFormatting>
        <x14:conditionalFormatting xmlns:xm="http://schemas.microsoft.com/office/excel/2006/main">
          <x14:cfRule type="iconSet" priority="5" id="{C895CACD-D64E-4E3E-ABDA-15E7EBBEE29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F260:F279</xm:sqref>
        </x14:conditionalFormatting>
        <x14:conditionalFormatting xmlns:xm="http://schemas.microsoft.com/office/excel/2006/main">
          <x14:cfRule type="iconSet" priority="18" id="{B891D2F7-401E-4831-BD48-C271E4BC369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F294:F296</xm:sqref>
        </x14:conditionalFormatting>
        <x14:conditionalFormatting xmlns:xm="http://schemas.microsoft.com/office/excel/2006/main">
          <x14:cfRule type="iconSet" priority="23" id="{72E472CC-0F8B-4DDA-84E0-8D465FFF6B7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F298:F322 F256:F293 F66:F67 F108:F137 F144:F179 F184:F212 F218:F250 F71:F102 B71:E71 F54:F62 B107:F107 B143:F143 F181:F182 B180:F180 B217:F217 B255:F255 B297:F297</xm:sqref>
        </x14:conditionalFormatting>
        <x14:conditionalFormatting xmlns:xm="http://schemas.microsoft.com/office/excel/2006/main">
          <x14:cfRule type="iconSet" priority="11" id="{4252A3F3-B76B-4EAB-B30A-F46F85C0B86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F300</xm:sqref>
        </x14:conditionalFormatting>
        <x14:conditionalFormatting xmlns:xm="http://schemas.microsoft.com/office/excel/2006/main">
          <x14:cfRule type="iconSet" priority="4" id="{D9DB7D35-5A6F-4959-B9E2-8C55BBFA054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F302:F321</xm:sqref>
        </x14:conditionalFormatting>
        <x14:conditionalFormatting xmlns:xm="http://schemas.microsoft.com/office/excel/2006/main">
          <x14:cfRule type="iconSet" priority="22" id="{9D896DB8-9D45-4C56-9CC8-33A49D7102D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F364:F365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Cover</vt:lpstr>
      <vt:lpstr>Case</vt:lpstr>
      <vt:lpstr>Graded Answers</vt:lpstr>
      <vt:lpstr>Answers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Financial Modeling World Cup</dc:creator>
  <cp:keywords/>
  <dc:description/>
  <cp:lastModifiedBy>Maciej Kopczyński</cp:lastModifiedBy>
  <cp:revision/>
  <dcterms:created xsi:type="dcterms:W3CDTF">2021-08-11T13:47:05Z</dcterms:created>
  <dcterms:modified xsi:type="dcterms:W3CDTF">2026-02-24T22:31:55Z</dcterms:modified>
  <cp:category/>
  <cp:contentStatus/>
</cp:coreProperties>
</file>