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3"/>
  <workbookPr codeName="ThisWorkbook" defaultThemeVersion="166925"/>
  <mc:AlternateContent xmlns:mc="http://schemas.openxmlformats.org/markup-compatibility/2006">
    <mc:Choice Requires="x15">
      <x15ac:absPath xmlns:x15ac="http://schemas.microsoft.com/office/spreadsheetml/2010/11/ac" url="https://d.docs.live.net/29f448ec057303af/Pulpit/"/>
    </mc:Choice>
  </mc:AlternateContent>
  <xr:revisionPtr revIDLastSave="209" documentId="13_ncr:1_{FC999751-B7FE-B342-AAAF-43A04CDBBDDF}" xr6:coauthVersionLast="47" xr6:coauthVersionMax="47" xr10:uidLastSave="{C1CAD958-6885-4527-AD95-E7A48072FA84}"/>
  <bookViews>
    <workbookView xWindow="-120" yWindow="-120" windowWidth="51840" windowHeight="21120" activeTab="1" xr2:uid="{114A3ACC-2F61-4F50-A5CF-63A86B2334B2}"/>
  </bookViews>
  <sheets>
    <sheet name="Cover" sheetId="8" r:id="rId1"/>
    <sheet name="Case" sheetId="4" r:id="rId2"/>
    <sheet name="Graded Answers" sheetId="6" state="hidden" r:id="rId3"/>
    <sheet name="Answers" sheetId="5" r:id="rId4"/>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Cover!#REF!</definedName>
    <definedName name="solver_typ" localSheetId="0" hidden="1">1</definedName>
    <definedName name="solver_val" localSheetId="0" hidden="1">0</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7" i="4" l="1"/>
  <c r="F57" i="4" s="1"/>
  <c r="BR52" i="4" a="1"/>
  <c r="BR52" i="4" s="1"/>
  <c r="BO52" i="4" a="1"/>
  <c r="BO52" i="4" s="1"/>
  <c r="BJ52" i="4" a="1"/>
  <c r="BJ52" i="4" s="1"/>
  <c r="BF52" i="4" a="1"/>
  <c r="BF52" i="4" s="1"/>
  <c r="BA52" i="4"/>
  <c r="AY52" i="4" a="1"/>
  <c r="AY52" i="4" s="1"/>
  <c r="AN52" i="4" a="1"/>
  <c r="AN52" i="4" s="1"/>
  <c r="AD48" i="4" a="1"/>
  <c r="AH54" i="4"/>
  <c r="AH52" i="4"/>
  <c r="AE52" i="4" a="1"/>
  <c r="AE52" i="4" s="1"/>
  <c r="Q303" i="4"/>
  <c r="Q304" i="4"/>
  <c r="Q305" i="4"/>
  <c r="Q306" i="4"/>
  <c r="Q307" i="4"/>
  <c r="Q308" i="4"/>
  <c r="Q309" i="4"/>
  <c r="Q310" i="4"/>
  <c r="Q311" i="4"/>
  <c r="Q312" i="4"/>
  <c r="Q313" i="4"/>
  <c r="Q314" i="4"/>
  <c r="Q315" i="4"/>
  <c r="Q316" i="4"/>
  <c r="Q317" i="4"/>
  <c r="Q318" i="4"/>
  <c r="Q319" i="4"/>
  <c r="Q320" i="4"/>
  <c r="Q321" i="4"/>
  <c r="Q302" i="4"/>
  <c r="T279" i="4"/>
  <c r="T278" i="4"/>
  <c r="T277" i="4"/>
  <c r="T276" i="4"/>
  <c r="T275" i="4"/>
  <c r="T274" i="4"/>
  <c r="T273" i="4"/>
  <c r="T272" i="4"/>
  <c r="T271" i="4"/>
  <c r="T270" i="4"/>
  <c r="T269" i="4"/>
  <c r="T268" i="4"/>
  <c r="T267" i="4"/>
  <c r="T266" i="4"/>
  <c r="T265" i="4"/>
  <c r="T264" i="4"/>
  <c r="T263" i="4"/>
  <c r="T262" i="4"/>
  <c r="T261" i="4"/>
  <c r="T260" i="4"/>
  <c r="T241" i="4"/>
  <c r="T240" i="4"/>
  <c r="T239" i="4"/>
  <c r="T238" i="4"/>
  <c r="T237" i="4"/>
  <c r="T236" i="4"/>
  <c r="T235" i="4"/>
  <c r="T234" i="4"/>
  <c r="T233" i="4"/>
  <c r="T232" i="4"/>
  <c r="T231" i="4"/>
  <c r="T230" i="4"/>
  <c r="T229" i="4"/>
  <c r="T228" i="4"/>
  <c r="T227" i="4"/>
  <c r="T226" i="4"/>
  <c r="T225" i="4"/>
  <c r="T224" i="4"/>
  <c r="T223" i="4"/>
  <c r="T222" i="4"/>
  <c r="T186" i="4"/>
  <c r="T187" i="4"/>
  <c r="T188" i="4"/>
  <c r="T189" i="4"/>
  <c r="T190" i="4"/>
  <c r="T191" i="4"/>
  <c r="T192" i="4"/>
  <c r="T193" i="4"/>
  <c r="T194" i="4"/>
  <c r="T195" i="4"/>
  <c r="T196" i="4"/>
  <c r="T197" i="4"/>
  <c r="T198" i="4"/>
  <c r="T199" i="4"/>
  <c r="T200" i="4"/>
  <c r="T201" i="4"/>
  <c r="T202" i="4"/>
  <c r="T203" i="4"/>
  <c r="T204" i="4"/>
  <c r="T185" i="4"/>
  <c r="Q167" i="4"/>
  <c r="Q166" i="4"/>
  <c r="Q165" i="4"/>
  <c r="Q164" i="4"/>
  <c r="Q163" i="4"/>
  <c r="Q162" i="4"/>
  <c r="Q161" i="4"/>
  <c r="Q160" i="4"/>
  <c r="Q159" i="4"/>
  <c r="Q158" i="4"/>
  <c r="Q157" i="4"/>
  <c r="Q156" i="4"/>
  <c r="Q155" i="4"/>
  <c r="Q154" i="4"/>
  <c r="Q153" i="4"/>
  <c r="Q152" i="4"/>
  <c r="Q151" i="4"/>
  <c r="Q150" i="4"/>
  <c r="Q149" i="4"/>
  <c r="Q148" i="4"/>
  <c r="Q131" i="4"/>
  <c r="Q130" i="4"/>
  <c r="Q129" i="4"/>
  <c r="Q128" i="4"/>
  <c r="Q127" i="4"/>
  <c r="Q126" i="4"/>
  <c r="Q125" i="4"/>
  <c r="Q124" i="4"/>
  <c r="Q123" i="4"/>
  <c r="Q122" i="4"/>
  <c r="Q121" i="4"/>
  <c r="Q120" i="4"/>
  <c r="Q119" i="4"/>
  <c r="Q118" i="4"/>
  <c r="Q117" i="4"/>
  <c r="Q116" i="4"/>
  <c r="Q115" i="4"/>
  <c r="Q114" i="4"/>
  <c r="Q113" i="4"/>
  <c r="Q112" i="4"/>
  <c r="Q77" i="4"/>
  <c r="Q78" i="4"/>
  <c r="Q79" i="4"/>
  <c r="Q80" i="4"/>
  <c r="Q81" i="4"/>
  <c r="Q82" i="4"/>
  <c r="Q83" i="4"/>
  <c r="Q84" i="4"/>
  <c r="Q85" i="4"/>
  <c r="Q86" i="4"/>
  <c r="Q87" i="4"/>
  <c r="Q88" i="4"/>
  <c r="Q89" i="4"/>
  <c r="Q90" i="4"/>
  <c r="Q91" i="4"/>
  <c r="Q92" i="4"/>
  <c r="Q93" i="4"/>
  <c r="Q94" i="4"/>
  <c r="Q95" i="4"/>
  <c r="Q76" i="4"/>
  <c r="AG302" i="4"/>
  <c r="AG303" i="4"/>
  <c r="AG304" i="4"/>
  <c r="AG305" i="4"/>
  <c r="AG306" i="4"/>
  <c r="AG307" i="4"/>
  <c r="AG308" i="4"/>
  <c r="AG309" i="4"/>
  <c r="AG310" i="4"/>
  <c r="AG311" i="4"/>
  <c r="AG312" i="4"/>
  <c r="AG313" i="4"/>
  <c r="AG314" i="4"/>
  <c r="AG315" i="4"/>
  <c r="AG316" i="4"/>
  <c r="AG317" i="4"/>
  <c r="AG318" i="4"/>
  <c r="AG319" i="4"/>
  <c r="AG320" i="4"/>
  <c r="AG321" i="4"/>
  <c r="AF303" i="4"/>
  <c r="AF304" i="4"/>
  <c r="AF305" i="4"/>
  <c r="AF306" i="4"/>
  <c r="AF307" i="4"/>
  <c r="AF308" i="4"/>
  <c r="AF309" i="4"/>
  <c r="AF310" i="4"/>
  <c r="AF311" i="4"/>
  <c r="AF312" i="4"/>
  <c r="AF313" i="4"/>
  <c r="AF314" i="4"/>
  <c r="AF315" i="4"/>
  <c r="AF316" i="4"/>
  <c r="AF317" i="4"/>
  <c r="AF318" i="4"/>
  <c r="AF319" i="4"/>
  <c r="AF320" i="4"/>
  <c r="AF321" i="4"/>
  <c r="AR303" i="4"/>
  <c r="AR304" i="4"/>
  <c r="AR305" i="4"/>
  <c r="AR306" i="4"/>
  <c r="AR307" i="4"/>
  <c r="AR308" i="4"/>
  <c r="AR309" i="4"/>
  <c r="AR310" i="4"/>
  <c r="AR311" i="4"/>
  <c r="AR312" i="4"/>
  <c r="AR313" i="4"/>
  <c r="AR314" i="4"/>
  <c r="AR315" i="4"/>
  <c r="AR316" i="4"/>
  <c r="AR317" i="4"/>
  <c r="AR318" i="4"/>
  <c r="AR319" i="4"/>
  <c r="AR320" i="4"/>
  <c r="AR321" i="4"/>
  <c r="AR302" i="4"/>
  <c r="AS302" i="4"/>
  <c r="AF302" i="4"/>
  <c r="T303" i="4"/>
  <c r="U303" i="4"/>
  <c r="T304" i="4"/>
  <c r="U304" i="4"/>
  <c r="T305" i="4"/>
  <c r="U305" i="4" s="1"/>
  <c r="T306" i="4"/>
  <c r="U306" i="4"/>
  <c r="T307" i="4"/>
  <c r="U307" i="4"/>
  <c r="T308" i="4"/>
  <c r="U308" i="4"/>
  <c r="T309" i="4"/>
  <c r="U309" i="4" s="1"/>
  <c r="T310" i="4"/>
  <c r="U310" i="4"/>
  <c r="T311" i="4"/>
  <c r="U311" i="4" s="1"/>
  <c r="T312" i="4"/>
  <c r="U312" i="4"/>
  <c r="T313" i="4"/>
  <c r="U313" i="4"/>
  <c r="T314" i="4"/>
  <c r="U314" i="4"/>
  <c r="T315" i="4"/>
  <c r="U315" i="4"/>
  <c r="T316" i="4"/>
  <c r="U316" i="4"/>
  <c r="T317" i="4"/>
  <c r="U317" i="4"/>
  <c r="T318" i="4"/>
  <c r="U318" i="4"/>
  <c r="T319" i="4"/>
  <c r="U319" i="4" s="1"/>
  <c r="T320" i="4"/>
  <c r="U320" i="4" s="1"/>
  <c r="T321" i="4"/>
  <c r="U321" i="4"/>
  <c r="T302" i="4"/>
  <c r="E261" i="4"/>
  <c r="E262" i="4"/>
  <c r="E263" i="4"/>
  <c r="E264" i="4"/>
  <c r="E265" i="4"/>
  <c r="E266" i="4"/>
  <c r="E267" i="4"/>
  <c r="E268" i="4"/>
  <c r="E269" i="4"/>
  <c r="E270" i="4"/>
  <c r="E271" i="4"/>
  <c r="E272" i="4"/>
  <c r="E273" i="4"/>
  <c r="E274" i="4"/>
  <c r="E275" i="4"/>
  <c r="E276" i="4"/>
  <c r="E277" i="4"/>
  <c r="E278" i="4"/>
  <c r="E279" i="4"/>
  <c r="E260" i="4"/>
  <c r="C111" i="6"/>
  <c r="C113" i="6"/>
  <c r="C114" i="6"/>
  <c r="C115" i="6"/>
  <c r="C116" i="6"/>
  <c r="C117" i="6"/>
  <c r="C118" i="6"/>
  <c r="C119" i="6"/>
  <c r="C120" i="6"/>
  <c r="C121" i="6"/>
  <c r="C122" i="6"/>
  <c r="C123" i="6"/>
  <c r="C124" i="6"/>
  <c r="C125" i="6"/>
  <c r="C126" i="6"/>
  <c r="C127" i="6"/>
  <c r="E222" i="4"/>
  <c r="E223" i="4"/>
  <c r="E224" i="4"/>
  <c r="E225" i="4"/>
  <c r="E226" i="4"/>
  <c r="E227" i="4"/>
  <c r="E228" i="4"/>
  <c r="E229" i="4"/>
  <c r="E230" i="4"/>
  <c r="E231" i="4"/>
  <c r="E232" i="4"/>
  <c r="E233" i="4"/>
  <c r="E234" i="4"/>
  <c r="E235" i="4"/>
  <c r="E236" i="4"/>
  <c r="E237" i="4"/>
  <c r="E238" i="4"/>
  <c r="F238" i="4" s="1"/>
  <c r="E239" i="4"/>
  <c r="F239" i="4" s="1"/>
  <c r="E240" i="4"/>
  <c r="E241" i="4"/>
  <c r="F241" i="4" s="1"/>
  <c r="E186" i="4"/>
  <c r="E187" i="4"/>
  <c r="E188" i="4"/>
  <c r="E189" i="4"/>
  <c r="E190" i="4"/>
  <c r="E191" i="4"/>
  <c r="E192" i="4"/>
  <c r="E193" i="4"/>
  <c r="E194" i="4"/>
  <c r="E195" i="4"/>
  <c r="E196" i="4"/>
  <c r="E197" i="4"/>
  <c r="E198" i="4"/>
  <c r="E199" i="4"/>
  <c r="E200" i="4"/>
  <c r="E201" i="4"/>
  <c r="E202" i="4"/>
  <c r="E203" i="4"/>
  <c r="E204" i="4"/>
  <c r="E185" i="4"/>
  <c r="E148" i="4" a="1"/>
  <c r="E148" i="4" s="1"/>
  <c r="E112" i="4" a="1"/>
  <c r="E112" i="4" s="1"/>
  <c r="E76" i="4" a="1"/>
  <c r="E76" i="4" s="1"/>
  <c r="F300" i="4"/>
  <c r="F279" i="4"/>
  <c r="F278" i="4"/>
  <c r="F277" i="4"/>
  <c r="F276" i="4"/>
  <c r="F275" i="4"/>
  <c r="F274" i="4"/>
  <c r="F273" i="4"/>
  <c r="F272" i="4"/>
  <c r="F271" i="4"/>
  <c r="F270" i="4"/>
  <c r="F269" i="4"/>
  <c r="F268" i="4"/>
  <c r="F267" i="4"/>
  <c r="F266" i="4"/>
  <c r="F265" i="4"/>
  <c r="F263" i="4"/>
  <c r="F258" i="4"/>
  <c r="F240" i="4"/>
  <c r="F236" i="4"/>
  <c r="F235" i="4"/>
  <c r="F234" i="4"/>
  <c r="F233" i="4"/>
  <c r="F232" i="4"/>
  <c r="F230" i="4"/>
  <c r="F229" i="4"/>
  <c r="F228" i="4"/>
  <c r="F227" i="4"/>
  <c r="F226" i="4"/>
  <c r="F225" i="4"/>
  <c r="F224" i="4"/>
  <c r="F223" i="4"/>
  <c r="F220" i="4"/>
  <c r="F183" i="4"/>
  <c r="F167" i="4"/>
  <c r="F166" i="4"/>
  <c r="F165" i="4"/>
  <c r="F164" i="4"/>
  <c r="F163" i="4"/>
  <c r="F162" i="4"/>
  <c r="F161" i="4"/>
  <c r="F160" i="4"/>
  <c r="F159" i="4"/>
  <c r="F158" i="4"/>
  <c r="F157" i="4"/>
  <c r="F156" i="4"/>
  <c r="F155" i="4"/>
  <c r="F154" i="4"/>
  <c r="F153" i="4"/>
  <c r="F152" i="4"/>
  <c r="F151" i="4"/>
  <c r="F150" i="4"/>
  <c r="F149" i="4"/>
  <c r="F146" i="4"/>
  <c r="F131" i="4"/>
  <c r="F130" i="4"/>
  <c r="F129" i="4"/>
  <c r="F128" i="4"/>
  <c r="F127" i="4"/>
  <c r="F126" i="4"/>
  <c r="F125" i="4"/>
  <c r="F124" i="4"/>
  <c r="F123" i="4"/>
  <c r="F122" i="4"/>
  <c r="F121" i="4"/>
  <c r="F120" i="4"/>
  <c r="F119" i="4"/>
  <c r="F118" i="4"/>
  <c r="F117" i="4"/>
  <c r="F116" i="4"/>
  <c r="F115" i="4"/>
  <c r="F114" i="4"/>
  <c r="F113" i="4"/>
  <c r="F110" i="4"/>
  <c r="F95" i="4"/>
  <c r="F94" i="4"/>
  <c r="F93" i="4"/>
  <c r="F92" i="4"/>
  <c r="F91" i="4"/>
  <c r="F90" i="4"/>
  <c r="F89" i="4"/>
  <c r="F88" i="4"/>
  <c r="F87" i="4"/>
  <c r="F86" i="4"/>
  <c r="F85" i="4"/>
  <c r="F84" i="4"/>
  <c r="F83" i="4"/>
  <c r="F82" i="4"/>
  <c r="F81" i="4"/>
  <c r="F80" i="4"/>
  <c r="F79" i="4"/>
  <c r="F78" i="4"/>
  <c r="F77" i="4"/>
  <c r="F74" i="4"/>
  <c r="F54" i="4"/>
  <c r="F55" i="4"/>
  <c r="F56" i="4"/>
  <c r="F53" i="4"/>
  <c r="C107" i="6"/>
  <c r="C106" i="6"/>
  <c r="C105" i="6"/>
  <c r="C104" i="6"/>
  <c r="C102" i="6"/>
  <c r="C101" i="6"/>
  <c r="C100" i="6"/>
  <c r="C99" i="6"/>
  <c r="C98" i="6"/>
  <c r="C96" i="6"/>
  <c r="C95" i="6"/>
  <c r="C94" i="6"/>
  <c r="C93" i="6"/>
  <c r="C92" i="6"/>
  <c r="C91" i="6"/>
  <c r="C90" i="6"/>
  <c r="C89" i="6"/>
  <c r="C67" i="6"/>
  <c r="C66" i="6"/>
  <c r="C65" i="6"/>
  <c r="C64" i="6"/>
  <c r="C63" i="6"/>
  <c r="C62" i="6"/>
  <c r="C61" i="6"/>
  <c r="C60" i="6"/>
  <c r="C59" i="6"/>
  <c r="C58" i="6"/>
  <c r="C57" i="6"/>
  <c r="C56" i="6"/>
  <c r="C55" i="6"/>
  <c r="C54" i="6"/>
  <c r="C53" i="6"/>
  <c r="C52" i="6"/>
  <c r="C51" i="6"/>
  <c r="C50" i="6"/>
  <c r="C49" i="6"/>
  <c r="C47" i="6"/>
  <c r="C46" i="6"/>
  <c r="C45" i="6"/>
  <c r="C44" i="6"/>
  <c r="C43" i="6"/>
  <c r="C42" i="6"/>
  <c r="C41" i="6"/>
  <c r="C40" i="6"/>
  <c r="C39" i="6"/>
  <c r="C38" i="6"/>
  <c r="C37" i="6"/>
  <c r="C36" i="6"/>
  <c r="C35" i="6"/>
  <c r="C34" i="6"/>
  <c r="C33" i="6"/>
  <c r="C32" i="6"/>
  <c r="C31" i="6"/>
  <c r="C30" i="6"/>
  <c r="C29" i="6"/>
  <c r="C27" i="6"/>
  <c r="C26" i="6"/>
  <c r="C25" i="6"/>
  <c r="C24" i="6"/>
  <c r="C23" i="6"/>
  <c r="C22" i="6"/>
  <c r="C21" i="6"/>
  <c r="C20" i="6"/>
  <c r="C19" i="6"/>
  <c r="C18" i="6"/>
  <c r="C17" i="6"/>
  <c r="C16" i="6"/>
  <c r="C15" i="6"/>
  <c r="C14" i="6"/>
  <c r="C13" i="6"/>
  <c r="C12" i="6"/>
  <c r="C11" i="6"/>
  <c r="C10" i="6"/>
  <c r="C9" i="6"/>
  <c r="C7" i="6"/>
  <c r="C6" i="6"/>
  <c r="C5" i="6"/>
  <c r="C4" i="6"/>
  <c r="C3" i="6"/>
  <c r="B9" i="6"/>
  <c r="B10" i="6" s="1"/>
  <c r="B11" i="6" s="1"/>
  <c r="B12" i="6" s="1"/>
  <c r="B13" i="6" s="1"/>
  <c r="B14" i="6" s="1"/>
  <c r="B15" i="6" s="1"/>
  <c r="B16" i="6" s="1"/>
  <c r="B17" i="6" s="1"/>
  <c r="B18" i="6" s="1"/>
  <c r="B19" i="6" s="1"/>
  <c r="B20" i="6" s="1"/>
  <c r="B21" i="6" s="1"/>
  <c r="B22" i="6" s="1"/>
  <c r="B23" i="6" s="1"/>
  <c r="B24" i="6" s="1"/>
  <c r="B25" i="6" s="1"/>
  <c r="B26" i="6" s="1"/>
  <c r="B27" i="6" s="1"/>
  <c r="B28" i="6" s="1"/>
  <c r="B29" i="6" s="1"/>
  <c r="B30" i="6" s="1"/>
  <c r="B31" i="6" s="1"/>
  <c r="B32" i="6" s="1"/>
  <c r="B33" i="6" s="1"/>
  <c r="B34" i="6" s="1"/>
  <c r="B35" i="6" s="1"/>
  <c r="B36" i="6" s="1"/>
  <c r="B37" i="6" s="1"/>
  <c r="B38" i="6" s="1"/>
  <c r="B39" i="6" s="1"/>
  <c r="B40" i="6" s="1"/>
  <c r="B41" i="6" s="1"/>
  <c r="B42" i="6" s="1"/>
  <c r="B43" i="6" s="1"/>
  <c r="B44" i="6" s="1"/>
  <c r="B45" i="6" s="1"/>
  <c r="B46" i="6" s="1"/>
  <c r="B47" i="6" s="1"/>
  <c r="B48" i="6" s="1"/>
  <c r="B49" i="6" s="1"/>
  <c r="B50" i="6" s="1"/>
  <c r="B51" i="6" s="1"/>
  <c r="B52" i="6" s="1"/>
  <c r="B53" i="6" s="1"/>
  <c r="B54" i="6" s="1"/>
  <c r="B55" i="6" s="1"/>
  <c r="B56" i="6" s="1"/>
  <c r="B57" i="6" s="1"/>
  <c r="B58" i="6" s="1"/>
  <c r="B59" i="6" s="1"/>
  <c r="B60" i="6" s="1"/>
  <c r="B61" i="6" s="1"/>
  <c r="B62" i="6" s="1"/>
  <c r="B63" i="6" s="1"/>
  <c r="B64" i="6" s="1"/>
  <c r="B65" i="6" s="1"/>
  <c r="B66" i="6" s="1"/>
  <c r="B67" i="6" s="1"/>
  <c r="B68" i="6" s="1"/>
  <c r="B69" i="6" s="1"/>
  <c r="B70" i="6" s="1"/>
  <c r="B71" i="6" s="1"/>
  <c r="B72" i="6" s="1"/>
  <c r="B73" i="6" s="1"/>
  <c r="B74" i="6" s="1"/>
  <c r="B75" i="6" s="1"/>
  <c r="B76" i="6" s="1"/>
  <c r="B77" i="6" s="1"/>
  <c r="B78" i="6" s="1"/>
  <c r="B79" i="6" s="1"/>
  <c r="B80" i="6" s="1"/>
  <c r="B81" i="6" s="1"/>
  <c r="B82" i="6" s="1"/>
  <c r="B83" i="6" s="1"/>
  <c r="B84" i="6" s="1"/>
  <c r="B85" i="6" s="1"/>
  <c r="B86" i="6" s="1"/>
  <c r="B87" i="6" s="1"/>
  <c r="B88" i="6" s="1"/>
  <c r="B89" i="6" s="1"/>
  <c r="B90" i="6" s="1"/>
  <c r="B91" i="6" s="1"/>
  <c r="B92" i="6" s="1"/>
  <c r="B93" i="6" s="1"/>
  <c r="B94" i="6" s="1"/>
  <c r="B95" i="6" s="1"/>
  <c r="B96" i="6" s="1"/>
  <c r="B97" i="6" s="1"/>
  <c r="B98" i="6" s="1"/>
  <c r="B99" i="6" s="1"/>
  <c r="B100" i="6" s="1"/>
  <c r="B101" i="6" s="1"/>
  <c r="B102" i="6" s="1"/>
  <c r="B103" i="6" s="1"/>
  <c r="B104" i="6" s="1"/>
  <c r="B105" i="6" s="1"/>
  <c r="B106" i="6" s="1"/>
  <c r="B107" i="6" s="1"/>
  <c r="B108" i="6" s="1"/>
  <c r="B109" i="6" s="1"/>
  <c r="B110" i="6" s="1"/>
  <c r="B111" i="6" s="1"/>
  <c r="B112" i="6" s="1"/>
  <c r="B113" i="6" s="1"/>
  <c r="B114" i="6" s="1"/>
  <c r="B115" i="6" s="1"/>
  <c r="B116" i="6" s="1"/>
  <c r="B117" i="6" s="1"/>
  <c r="B118" i="6" s="1"/>
  <c r="B119" i="6" s="1"/>
  <c r="B120" i="6" s="1"/>
  <c r="B121" i="6" s="1"/>
  <c r="B122" i="6" s="1"/>
  <c r="B123" i="6" s="1"/>
  <c r="B124" i="6" s="1"/>
  <c r="B125" i="6" s="1"/>
  <c r="B126" i="6" s="1"/>
  <c r="B127" i="6" s="1"/>
  <c r="B128" i="6" s="1"/>
  <c r="B129" i="6" s="1"/>
  <c r="B130" i="6" s="1"/>
  <c r="B131" i="6" s="1"/>
  <c r="B132" i="6" s="1"/>
  <c r="B133" i="6" s="1"/>
  <c r="B134" i="6" s="1"/>
  <c r="B135" i="6" s="1"/>
  <c r="B136" i="6" s="1"/>
  <c r="B137" i="6" s="1"/>
  <c r="B138" i="6" s="1"/>
  <c r="B139" i="6" s="1"/>
  <c r="B140" i="6" s="1"/>
  <c r="B141" i="6" s="1"/>
  <c r="B142" i="6" s="1"/>
  <c r="B143" i="6" s="1"/>
  <c r="B144" i="6" s="1"/>
  <c r="B145" i="6" s="1"/>
  <c r="B146" i="6" s="1"/>
  <c r="B147" i="6" s="1"/>
  <c r="AD48" i="4" l="1"/>
  <c r="AD38" i="4" s="1" a="1"/>
  <c r="V303" i="4"/>
  <c r="AH303" i="4" s="1"/>
  <c r="W303" i="4" s="1"/>
  <c r="AI303" i="4" s="1"/>
  <c r="AS303" i="4"/>
  <c r="V304" i="4"/>
  <c r="AH304" i="4" s="1"/>
  <c r="W304" i="4" s="1"/>
  <c r="AI304" i="4" s="1"/>
  <c r="AS304" i="4"/>
  <c r="V305" i="4"/>
  <c r="AH305" i="4" s="1"/>
  <c r="W305" i="4" s="1"/>
  <c r="AI305" i="4" s="1"/>
  <c r="AS305" i="4"/>
  <c r="V306" i="4"/>
  <c r="AH306" i="4" s="1"/>
  <c r="W306" i="4" s="1"/>
  <c r="AI306" i="4" s="1"/>
  <c r="AS306" i="4"/>
  <c r="V307" i="4"/>
  <c r="AH307" i="4" s="1"/>
  <c r="W307" i="4" s="1"/>
  <c r="AI307" i="4" s="1"/>
  <c r="AS307" i="4"/>
  <c r="V308" i="4"/>
  <c r="AH308" i="4" s="1"/>
  <c r="W308" i="4" s="1"/>
  <c r="AI308" i="4" s="1"/>
  <c r="AS308" i="4"/>
  <c r="V309" i="4"/>
  <c r="AH309" i="4" s="1"/>
  <c r="W309" i="4" s="1"/>
  <c r="AI309" i="4" s="1"/>
  <c r="AS309" i="4"/>
  <c r="V310" i="4"/>
  <c r="AH310" i="4" s="1"/>
  <c r="W310" i="4" s="1"/>
  <c r="AI310" i="4" s="1"/>
  <c r="AS310" i="4"/>
  <c r="AS311" i="4"/>
  <c r="V312" i="4"/>
  <c r="AH312" i="4" s="1"/>
  <c r="W312" i="4" s="1"/>
  <c r="AI312" i="4" s="1"/>
  <c r="AS312" i="4"/>
  <c r="V313" i="4"/>
  <c r="AH313" i="4" s="1"/>
  <c r="W313" i="4" s="1"/>
  <c r="AI313" i="4" s="1"/>
  <c r="AS313" i="4"/>
  <c r="V314" i="4"/>
  <c r="AH314" i="4" s="1"/>
  <c r="W314" i="4" s="1"/>
  <c r="AI314" i="4" s="1"/>
  <c r="AS314" i="4"/>
  <c r="V315" i="4"/>
  <c r="AH315" i="4" s="1"/>
  <c r="W315" i="4" s="1"/>
  <c r="AI315" i="4" s="1"/>
  <c r="AS315" i="4"/>
  <c r="V316" i="4"/>
  <c r="AH316" i="4" s="1"/>
  <c r="W316" i="4" s="1"/>
  <c r="AI316" i="4" s="1"/>
  <c r="AS316" i="4"/>
  <c r="V317" i="4"/>
  <c r="AH317" i="4" s="1"/>
  <c r="W317" i="4" s="1"/>
  <c r="AI317" i="4" s="1"/>
  <c r="AS317" i="4"/>
  <c r="V318" i="4"/>
  <c r="AH318" i="4" s="1"/>
  <c r="W318" i="4" s="1"/>
  <c r="AI318" i="4" s="1"/>
  <c r="AS318" i="4"/>
  <c r="V319" i="4"/>
  <c r="AH319" i="4" s="1"/>
  <c r="W319" i="4" s="1"/>
  <c r="AI319" i="4" s="1"/>
  <c r="AS319" i="4"/>
  <c r="V320" i="4"/>
  <c r="AH320" i="4" s="1"/>
  <c r="W320" i="4" s="1"/>
  <c r="AI320" i="4" s="1"/>
  <c r="AS320" i="4"/>
  <c r="V321" i="4"/>
  <c r="AH321" i="4" s="1"/>
  <c r="W321" i="4" s="1"/>
  <c r="AI321" i="4" s="1"/>
  <c r="AS321" i="4"/>
  <c r="V311" i="4"/>
  <c r="AH311" i="4" s="1"/>
  <c r="W311" i="4" s="1"/>
  <c r="AI311" i="4" s="1"/>
  <c r="U302" i="4"/>
  <c r="C112" i="6"/>
  <c r="F264" i="4"/>
  <c r="F261" i="4"/>
  <c r="C109" i="6"/>
  <c r="F262" i="4"/>
  <c r="C110" i="6"/>
  <c r="F260" i="4"/>
  <c r="C108" i="6"/>
  <c r="C97" i="6"/>
  <c r="F231" i="4"/>
  <c r="F237" i="4"/>
  <c r="C103" i="6"/>
  <c r="F222" i="4"/>
  <c r="C88" i="6"/>
  <c r="C70" i="6"/>
  <c r="F187" i="4"/>
  <c r="F188" i="4"/>
  <c r="C71" i="6"/>
  <c r="F189" i="4"/>
  <c r="C72" i="6"/>
  <c r="F190" i="4"/>
  <c r="C73" i="6"/>
  <c r="F191" i="4"/>
  <c r="C74" i="6"/>
  <c r="F192" i="4"/>
  <c r="C75" i="6"/>
  <c r="F193" i="4"/>
  <c r="C76" i="6"/>
  <c r="F194" i="4"/>
  <c r="C77" i="6"/>
  <c r="F195" i="4"/>
  <c r="C78" i="6"/>
  <c r="F196" i="4"/>
  <c r="C79" i="6"/>
  <c r="F197" i="4"/>
  <c r="C80" i="6"/>
  <c r="F198" i="4"/>
  <c r="C81" i="6"/>
  <c r="F199" i="4"/>
  <c r="C82" i="6"/>
  <c r="F200" i="4"/>
  <c r="C83" i="6"/>
  <c r="F201" i="4"/>
  <c r="C84" i="6"/>
  <c r="F202" i="4"/>
  <c r="C85" i="6"/>
  <c r="F203" i="4"/>
  <c r="C86" i="6"/>
  <c r="F204" i="4"/>
  <c r="C87" i="6"/>
  <c r="C69" i="6"/>
  <c r="F186" i="4"/>
  <c r="F185" i="4"/>
  <c r="C68" i="6"/>
  <c r="C48" i="6"/>
  <c r="F148" i="4"/>
  <c r="C28" i="6"/>
  <c r="F112" i="4"/>
  <c r="C8" i="6"/>
  <c r="F76" i="4"/>
  <c r="AD38" i="4" l="1"/>
  <c r="AD39" i="4" s="1" a="1"/>
  <c r="AT303" i="4"/>
  <c r="AT304" i="4"/>
  <c r="AT305" i="4"/>
  <c r="AT306" i="4"/>
  <c r="AT307" i="4"/>
  <c r="AT308" i="4"/>
  <c r="AT309" i="4"/>
  <c r="AT310" i="4"/>
  <c r="AT312" i="4"/>
  <c r="AT313" i="4"/>
  <c r="AT314" i="4"/>
  <c r="AT315" i="4"/>
  <c r="AT316" i="4"/>
  <c r="AT317" i="4"/>
  <c r="AT318" i="4"/>
  <c r="AT319" i="4"/>
  <c r="AT320" i="4"/>
  <c r="AT321" i="4"/>
  <c r="AT311" i="4"/>
  <c r="AU303" i="4"/>
  <c r="AU304" i="4"/>
  <c r="AU305" i="4"/>
  <c r="AU306" i="4"/>
  <c r="AU307" i="4"/>
  <c r="AU308" i="4"/>
  <c r="AU309" i="4"/>
  <c r="AU310" i="4"/>
  <c r="AU311" i="4"/>
  <c r="AU312" i="4"/>
  <c r="AU313" i="4"/>
  <c r="AU314" i="4"/>
  <c r="AU315" i="4"/>
  <c r="AU316" i="4"/>
  <c r="AU317" i="4"/>
  <c r="AU318" i="4"/>
  <c r="AU319" i="4"/>
  <c r="AU320" i="4"/>
  <c r="AU321" i="4"/>
  <c r="V302" i="4"/>
  <c r="X303" i="4"/>
  <c r="AJ303" i="4" s="1"/>
  <c r="X304" i="4"/>
  <c r="AJ304" i="4" s="1"/>
  <c r="X305" i="4"/>
  <c r="AJ305" i="4" s="1"/>
  <c r="X306" i="4"/>
  <c r="AJ306" i="4" s="1"/>
  <c r="X307" i="4"/>
  <c r="AJ307" i="4" s="1"/>
  <c r="X308" i="4"/>
  <c r="AJ308" i="4" s="1"/>
  <c r="X309" i="4"/>
  <c r="AJ309" i="4" s="1"/>
  <c r="X310" i="4"/>
  <c r="AJ310" i="4" s="1"/>
  <c r="X311" i="4"/>
  <c r="AJ311" i="4" s="1"/>
  <c r="X312" i="4"/>
  <c r="AJ312" i="4" s="1"/>
  <c r="X313" i="4"/>
  <c r="AJ313" i="4" s="1"/>
  <c r="X314" i="4"/>
  <c r="AJ314" i="4" s="1"/>
  <c r="X315" i="4"/>
  <c r="AJ315" i="4" s="1"/>
  <c r="X316" i="4"/>
  <c r="AJ316" i="4" s="1"/>
  <c r="X317" i="4"/>
  <c r="AJ317" i="4" s="1"/>
  <c r="X318" i="4"/>
  <c r="AJ318" i="4" s="1"/>
  <c r="X319" i="4"/>
  <c r="AJ319" i="4" s="1"/>
  <c r="X320" i="4"/>
  <c r="AJ320" i="4" s="1"/>
  <c r="X321" i="4"/>
  <c r="AJ321" i="4" s="1"/>
  <c r="AD39" i="4" l="1"/>
  <c r="AJ39" i="4"/>
  <c r="AH302" i="4"/>
  <c r="AT302" i="4"/>
  <c r="AV303" i="4"/>
  <c r="AV304" i="4"/>
  <c r="AV305" i="4"/>
  <c r="AV306" i="4"/>
  <c r="AV307" i="4"/>
  <c r="AV308" i="4"/>
  <c r="AV309" i="4"/>
  <c r="AV310" i="4"/>
  <c r="AV311" i="4"/>
  <c r="AV312" i="4"/>
  <c r="AV313" i="4"/>
  <c r="AV314" i="4"/>
  <c r="AV315" i="4"/>
  <c r="AV316" i="4"/>
  <c r="AV317" i="4"/>
  <c r="AV318" i="4"/>
  <c r="AV319" i="4"/>
  <c r="AV320" i="4"/>
  <c r="AV321" i="4"/>
  <c r="W302" i="4"/>
  <c r="Y303" i="4"/>
  <c r="AK303" i="4" s="1"/>
  <c r="Y304" i="4"/>
  <c r="AK304" i="4" s="1"/>
  <c r="Y305" i="4"/>
  <c r="AK305" i="4" s="1"/>
  <c r="Y306" i="4"/>
  <c r="AK306" i="4" s="1"/>
  <c r="Y307" i="4"/>
  <c r="AK307" i="4" s="1"/>
  <c r="Y308" i="4"/>
  <c r="AK308" i="4" s="1"/>
  <c r="Y309" i="4"/>
  <c r="AK309" i="4" s="1"/>
  <c r="Y310" i="4"/>
  <c r="AK310" i="4" s="1"/>
  <c r="Y311" i="4"/>
  <c r="AK311" i="4" s="1"/>
  <c r="Y312" i="4"/>
  <c r="AK312" i="4" s="1"/>
  <c r="Y313" i="4"/>
  <c r="AK313" i="4" s="1"/>
  <c r="Y314" i="4"/>
  <c r="AK314" i="4" s="1"/>
  <c r="Y315" i="4"/>
  <c r="AK315" i="4" s="1"/>
  <c r="Y316" i="4"/>
  <c r="AK316" i="4" s="1"/>
  <c r="Y317" i="4"/>
  <c r="AK317" i="4" s="1"/>
  <c r="Y318" i="4"/>
  <c r="AK318" i="4" s="1"/>
  <c r="Y319" i="4"/>
  <c r="AK319" i="4" s="1"/>
  <c r="Y320" i="4"/>
  <c r="AK320" i="4" s="1"/>
  <c r="Y321" i="4"/>
  <c r="AK321" i="4" s="1"/>
  <c r="AI302" i="4" l="1"/>
  <c r="AU302" i="4"/>
  <c r="AW303" i="4"/>
  <c r="AW304" i="4"/>
  <c r="AW305" i="4"/>
  <c r="AW306" i="4"/>
  <c r="AW307" i="4"/>
  <c r="AW308" i="4"/>
  <c r="AW309" i="4"/>
  <c r="AW310" i="4"/>
  <c r="AW311" i="4"/>
  <c r="AW312" i="4"/>
  <c r="AW313" i="4"/>
  <c r="AW314" i="4"/>
  <c r="AW315" i="4"/>
  <c r="AW316" i="4"/>
  <c r="AW317" i="4"/>
  <c r="AW318" i="4"/>
  <c r="AW319" i="4"/>
  <c r="AW320" i="4"/>
  <c r="AW321" i="4"/>
  <c r="X302" i="4"/>
  <c r="Z303" i="4"/>
  <c r="AL303" i="4" s="1"/>
  <c r="Z304" i="4"/>
  <c r="AL304" i="4" s="1"/>
  <c r="Z305" i="4"/>
  <c r="AL305" i="4" s="1"/>
  <c r="Z306" i="4"/>
  <c r="AL306" i="4" s="1"/>
  <c r="Z307" i="4"/>
  <c r="AL307" i="4" s="1"/>
  <c r="Z308" i="4"/>
  <c r="AL308" i="4" s="1"/>
  <c r="Z309" i="4"/>
  <c r="AL309" i="4" s="1"/>
  <c r="Z310" i="4"/>
  <c r="AL310" i="4" s="1"/>
  <c r="Z311" i="4"/>
  <c r="AL311" i="4" s="1"/>
  <c r="Z312" i="4"/>
  <c r="AL312" i="4" s="1"/>
  <c r="Z313" i="4"/>
  <c r="AL313" i="4" s="1"/>
  <c r="Z314" i="4"/>
  <c r="AL314" i="4" s="1"/>
  <c r="Z315" i="4"/>
  <c r="AL315" i="4" s="1"/>
  <c r="Z316" i="4"/>
  <c r="AL316" i="4" s="1"/>
  <c r="Z317" i="4"/>
  <c r="AL317" i="4" s="1"/>
  <c r="Z318" i="4"/>
  <c r="AL318" i="4" s="1"/>
  <c r="Z319" i="4"/>
  <c r="AL319" i="4" s="1"/>
  <c r="Z320" i="4"/>
  <c r="AL320" i="4" s="1"/>
  <c r="Z321" i="4"/>
  <c r="AL321" i="4" s="1"/>
  <c r="AJ302" i="4" l="1"/>
  <c r="Y302" i="4" s="1"/>
  <c r="AV302" i="4"/>
  <c r="AX303" i="4"/>
  <c r="AX304" i="4"/>
  <c r="AX305" i="4"/>
  <c r="AX306" i="4"/>
  <c r="AX307" i="4"/>
  <c r="AX308" i="4"/>
  <c r="AX309" i="4"/>
  <c r="AX310" i="4"/>
  <c r="AX311" i="4"/>
  <c r="AX312" i="4"/>
  <c r="AX313" i="4"/>
  <c r="AX314" i="4"/>
  <c r="AX315" i="4"/>
  <c r="AX316" i="4"/>
  <c r="AX317" i="4"/>
  <c r="AX318" i="4"/>
  <c r="AX319" i="4"/>
  <c r="AX320" i="4"/>
  <c r="AX321" i="4"/>
  <c r="AA303" i="4"/>
  <c r="AM303" i="4" s="1"/>
  <c r="AA304" i="4"/>
  <c r="AM304" i="4" s="1"/>
  <c r="AA305" i="4"/>
  <c r="AM305" i="4" s="1"/>
  <c r="AA306" i="4"/>
  <c r="AM306" i="4" s="1"/>
  <c r="AA307" i="4"/>
  <c r="AM307" i="4" s="1"/>
  <c r="AA308" i="4"/>
  <c r="AM308" i="4" s="1"/>
  <c r="AA309" i="4"/>
  <c r="AM309" i="4" s="1"/>
  <c r="AA310" i="4"/>
  <c r="AM310" i="4" s="1"/>
  <c r="AA311" i="4"/>
  <c r="AM311" i="4" s="1"/>
  <c r="AA312" i="4"/>
  <c r="AM312" i="4" s="1"/>
  <c r="AA313" i="4"/>
  <c r="AM313" i="4" s="1"/>
  <c r="AA314" i="4"/>
  <c r="AM314" i="4" s="1"/>
  <c r="AA315" i="4"/>
  <c r="AM315" i="4" s="1"/>
  <c r="AA316" i="4"/>
  <c r="AM316" i="4" s="1"/>
  <c r="AA317" i="4"/>
  <c r="AM317" i="4" s="1"/>
  <c r="AA318" i="4"/>
  <c r="AM318" i="4" s="1"/>
  <c r="AA319" i="4"/>
  <c r="AM319" i="4" s="1"/>
  <c r="AA320" i="4"/>
  <c r="AM320" i="4" s="1"/>
  <c r="AA321" i="4"/>
  <c r="AM321" i="4" s="1"/>
  <c r="AW302" i="4" l="1"/>
  <c r="AK302" i="4"/>
  <c r="Z302" i="4"/>
  <c r="AY303" i="4"/>
  <c r="AY304" i="4"/>
  <c r="AY305" i="4"/>
  <c r="AY306" i="4"/>
  <c r="AY307" i="4"/>
  <c r="AY308" i="4"/>
  <c r="AY309" i="4"/>
  <c r="AY310" i="4"/>
  <c r="AY311" i="4"/>
  <c r="AY312" i="4"/>
  <c r="AY313" i="4"/>
  <c r="AY314" i="4"/>
  <c r="AY315" i="4"/>
  <c r="AY316" i="4"/>
  <c r="AY317" i="4"/>
  <c r="AY318" i="4"/>
  <c r="AY319" i="4"/>
  <c r="AY320" i="4"/>
  <c r="AY321" i="4"/>
  <c r="AB303" i="4"/>
  <c r="AN303" i="4" s="1"/>
  <c r="AB304" i="4"/>
  <c r="AN304" i="4" s="1"/>
  <c r="AB305" i="4"/>
  <c r="AN305" i="4" s="1"/>
  <c r="AB306" i="4"/>
  <c r="AN306" i="4" s="1"/>
  <c r="AB307" i="4"/>
  <c r="AN307" i="4" s="1"/>
  <c r="AB308" i="4"/>
  <c r="AN308" i="4" s="1"/>
  <c r="AB309" i="4"/>
  <c r="AN309" i="4" s="1"/>
  <c r="AB310" i="4"/>
  <c r="AN310" i="4" s="1"/>
  <c r="AB311" i="4"/>
  <c r="AN311" i="4" s="1"/>
  <c r="AB312" i="4"/>
  <c r="AN312" i="4" s="1"/>
  <c r="AB313" i="4"/>
  <c r="AN313" i="4" s="1"/>
  <c r="AB314" i="4"/>
  <c r="AN314" i="4" s="1"/>
  <c r="AB315" i="4"/>
  <c r="AN315" i="4" s="1"/>
  <c r="AB316" i="4"/>
  <c r="AN316" i="4" s="1"/>
  <c r="AB317" i="4"/>
  <c r="AN317" i="4" s="1"/>
  <c r="AB318" i="4"/>
  <c r="AN318" i="4" s="1"/>
  <c r="AB319" i="4"/>
  <c r="AN319" i="4" s="1"/>
  <c r="AB320" i="4"/>
  <c r="AN320" i="4" s="1"/>
  <c r="AB321" i="4"/>
  <c r="AN321" i="4" s="1"/>
  <c r="AX302" i="4" l="1"/>
  <c r="AL302" i="4"/>
  <c r="AA302" i="4" s="1"/>
  <c r="AZ303" i="4"/>
  <c r="AZ304" i="4"/>
  <c r="AZ305" i="4"/>
  <c r="AZ306" i="4"/>
  <c r="AZ307" i="4"/>
  <c r="AZ308" i="4"/>
  <c r="AZ309" i="4"/>
  <c r="AZ310" i="4"/>
  <c r="AZ311" i="4"/>
  <c r="AZ312" i="4"/>
  <c r="AZ313" i="4"/>
  <c r="AZ314" i="4"/>
  <c r="AZ315" i="4"/>
  <c r="AZ316" i="4"/>
  <c r="AZ317" i="4"/>
  <c r="AZ318" i="4"/>
  <c r="AZ319" i="4"/>
  <c r="AZ320" i="4"/>
  <c r="AZ321" i="4"/>
  <c r="AC303" i="4"/>
  <c r="AO303" i="4" s="1"/>
  <c r="AC304" i="4"/>
  <c r="AO304" i="4" s="1"/>
  <c r="AC305" i="4"/>
  <c r="AO305" i="4" s="1"/>
  <c r="AC306" i="4"/>
  <c r="AO306" i="4" s="1"/>
  <c r="AC307" i="4"/>
  <c r="AO307" i="4" s="1"/>
  <c r="AC308" i="4"/>
  <c r="AO308" i="4" s="1"/>
  <c r="AC309" i="4"/>
  <c r="AO309" i="4" s="1"/>
  <c r="AC310" i="4"/>
  <c r="AO310" i="4" s="1"/>
  <c r="AC311" i="4"/>
  <c r="AO311" i="4" s="1"/>
  <c r="AC312" i="4"/>
  <c r="AO312" i="4" s="1"/>
  <c r="AC313" i="4"/>
  <c r="AO313" i="4" s="1"/>
  <c r="AC314" i="4"/>
  <c r="AO314" i="4" s="1"/>
  <c r="AC315" i="4"/>
  <c r="AO315" i="4" s="1"/>
  <c r="AC316" i="4"/>
  <c r="AO316" i="4" s="1"/>
  <c r="AC317" i="4"/>
  <c r="AO317" i="4" s="1"/>
  <c r="AC318" i="4"/>
  <c r="AO318" i="4" s="1"/>
  <c r="AC319" i="4"/>
  <c r="AO319" i="4" s="1"/>
  <c r="AC320" i="4"/>
  <c r="AO320" i="4" s="1"/>
  <c r="AC321" i="4"/>
  <c r="AO321" i="4" s="1"/>
  <c r="AY302" i="4" l="1"/>
  <c r="AM302" i="4"/>
  <c r="AB302" i="4" s="1"/>
  <c r="BA303" i="4"/>
  <c r="E303" i="4" s="1"/>
  <c r="BA304" i="4"/>
  <c r="E304" i="4" s="1"/>
  <c r="BA305" i="4"/>
  <c r="E305" i="4" s="1"/>
  <c r="BA306" i="4"/>
  <c r="E306" i="4" s="1"/>
  <c r="BA307" i="4"/>
  <c r="E307" i="4" s="1"/>
  <c r="BA308" i="4"/>
  <c r="E308" i="4" s="1"/>
  <c r="BA309" i="4"/>
  <c r="E309" i="4" s="1"/>
  <c r="BA310" i="4"/>
  <c r="E310" i="4" s="1"/>
  <c r="BA311" i="4"/>
  <c r="E311" i="4" s="1"/>
  <c r="BA312" i="4"/>
  <c r="E312" i="4" s="1"/>
  <c r="BA313" i="4"/>
  <c r="E313" i="4" s="1"/>
  <c r="BA314" i="4"/>
  <c r="E314" i="4" s="1"/>
  <c r="BA315" i="4"/>
  <c r="E315" i="4" s="1"/>
  <c r="BA316" i="4"/>
  <c r="E316" i="4" s="1"/>
  <c r="BA317" i="4"/>
  <c r="E317" i="4" s="1"/>
  <c r="BA318" i="4"/>
  <c r="E318" i="4" s="1"/>
  <c r="BA319" i="4"/>
  <c r="E319" i="4" s="1"/>
  <c r="BA320" i="4"/>
  <c r="E320" i="4" s="1"/>
  <c r="BA321" i="4"/>
  <c r="E321" i="4" s="1"/>
  <c r="AZ302" i="4" l="1"/>
  <c r="AN302" i="4"/>
  <c r="AC302" i="4" s="1"/>
  <c r="F303" i="4"/>
  <c r="C129" i="6"/>
  <c r="F304" i="4"/>
  <c r="C130" i="6"/>
  <c r="F305" i="4"/>
  <c r="C131" i="6"/>
  <c r="F306" i="4"/>
  <c r="C132" i="6"/>
  <c r="F307" i="4"/>
  <c r="C133" i="6"/>
  <c r="F308" i="4"/>
  <c r="C134" i="6"/>
  <c r="F309" i="4"/>
  <c r="C135" i="6"/>
  <c r="F310" i="4"/>
  <c r="C136" i="6"/>
  <c r="F311" i="4"/>
  <c r="C137" i="6"/>
  <c r="F312" i="4"/>
  <c r="C138" i="6"/>
  <c r="F313" i="4"/>
  <c r="C139" i="6"/>
  <c r="F314" i="4"/>
  <c r="C140" i="6"/>
  <c r="F315" i="4"/>
  <c r="C141" i="6"/>
  <c r="F316" i="4"/>
  <c r="C142" i="6"/>
  <c r="F317" i="4"/>
  <c r="C143" i="6"/>
  <c r="F318" i="4"/>
  <c r="C144" i="6"/>
  <c r="F319" i="4"/>
  <c r="C145" i="6"/>
  <c r="F320" i="4"/>
  <c r="C146" i="6"/>
  <c r="F321" i="4"/>
  <c r="C147" i="6"/>
  <c r="BA302" i="4" l="1"/>
  <c r="E302" i="4" s="1"/>
  <c r="AO302" i="4"/>
  <c r="F302" i="4" l="1"/>
  <c r="C12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tc={BB6ED529-45F6-468F-ADA7-FD293C1DD2F6}</author>
  </authors>
  <commentList>
    <comment ref="E56" authorId="0" shapeId="0" xr:uid="{BB6ED529-45F6-468F-ADA7-FD293C1DD2F6}">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Lub 9</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<sst xmlns="http://schemas.openxmlformats.org/spreadsheetml/2006/main" count="517" uniqueCount="157">
  <si>
    <t>Instructions</t>
  </si>
  <si>
    <t>A</t>
  </si>
  <si>
    <t>B</t>
  </si>
  <si>
    <t>C</t>
  </si>
  <si>
    <t>D</t>
  </si>
  <si>
    <t>E</t>
  </si>
  <si>
    <t>F</t>
  </si>
  <si>
    <t>G</t>
  </si>
  <si>
    <t>Game #</t>
  </si>
  <si>
    <t>Level</t>
  </si>
  <si>
    <t>Points</t>
  </si>
  <si>
    <t>Answer</t>
  </si>
  <si>
    <t>C3</t>
  </si>
  <si>
    <t>C4</t>
  </si>
  <si>
    <t>C5</t>
  </si>
  <si>
    <t>D3</t>
  </si>
  <si>
    <t>D4</t>
  </si>
  <si>
    <t>D5</t>
  </si>
  <si>
    <t>E3</t>
  </si>
  <si>
    <t>E4</t>
  </si>
  <si>
    <t>E5</t>
  </si>
  <si>
    <t>The Cells Around Excelopolis:</t>
  </si>
  <si>
    <t xml:space="preserve"> </t>
  </si>
  <si>
    <t>Bonus Questions</t>
  </si>
  <si>
    <t>Relates to Level #</t>
  </si>
  <si>
    <t>Question</t>
  </si>
  <si>
    <t>Bonus 1</t>
  </si>
  <si>
    <t>Bonus 2</t>
  </si>
  <si>
    <t>Bonus 3</t>
  </si>
  <si>
    <t>Bonus 4</t>
  </si>
  <si>
    <t>Bonus 5</t>
  </si>
  <si>
    <t>Levels</t>
  </si>
  <si>
    <t>Level 1</t>
  </si>
  <si>
    <t>Very Easy</t>
  </si>
  <si>
    <t>Answer Hints:</t>
  </si>
  <si>
    <t>Example1</t>
  </si>
  <si>
    <t>Level 2</t>
  </si>
  <si>
    <t>Example2</t>
  </si>
  <si>
    <t>Level 3</t>
  </si>
  <si>
    <t>Medium</t>
  </si>
  <si>
    <t>Game 41's answer is even.</t>
  </si>
  <si>
    <t>Game 43's answer is odd.</t>
  </si>
  <si>
    <t>Example3</t>
  </si>
  <si>
    <t>Level 4</t>
  </si>
  <si>
    <t>Example4</t>
  </si>
  <si>
    <t>Level 5</t>
  </si>
  <si>
    <t>Medium Hard</t>
  </si>
  <si>
    <t>Example5</t>
  </si>
  <si>
    <t>Level 6</t>
  </si>
  <si>
    <t>Hard</t>
  </si>
  <si>
    <t>Example6</t>
  </si>
  <si>
    <t>Level 7</t>
  </si>
  <si>
    <t>Very Hard</t>
  </si>
  <si>
    <t>Example7</t>
  </si>
  <si>
    <t>Feeding Excelopolis - MECC Junior Varsity Edition</t>
  </si>
  <si>
    <t>How much food would be produced if citizens worked every available cell?</t>
  </si>
  <si>
    <t>X</t>
  </si>
  <si>
    <t>Turn</t>
  </si>
  <si>
    <t>People</t>
  </si>
  <si>
    <t>You are a chief of a tribe of nomads. Your tribe has recently discovered some advanced agricultural technologies and decided to settle down and found a city. You name the city Excelopolis.</t>
  </si>
  <si>
    <t>You want to forecast how fast will the population of your city grow based on 140 different scenarios listed below. Each scenario provides different land fertility assumptions.</t>
  </si>
  <si>
    <t>Key rules for the case:</t>
  </si>
  <si>
    <t xml:space="preserve"> - Excelopolis is founded at the beginning of Year 1. The new era starts for your people!</t>
  </si>
  <si>
    <t xml:space="preserve"> - The initial size of your city's population is 1 unit. </t>
  </si>
  <si>
    <t>Land cultivation:</t>
  </si>
  <si>
    <t xml:space="preserve"> - Every unit of population can cultivate 1 cell of land around the city (so, initially, your people will be cultivating only 1 cell).</t>
  </si>
  <si>
    <t>Food storage, consumption and city growth:</t>
  </si>
  <si>
    <t xml:space="preserve"> - Every year 1 unit of your population eats 2 units of food. Assume they do it at the end of the year and don't need to eat during the year.</t>
  </si>
  <si>
    <t xml:space="preserve"> - The remaining units of food produced during the year are added to the food stock in a warehouse.</t>
  </si>
  <si>
    <t xml:space="preserve"> - If at the end of a year the amount of food in the warehouse is 10x the current number of populations units (or more) - 2 things happen:</t>
  </si>
  <si>
    <t xml:space="preserve">     - At the beginning of the next year your population grows by 1 and you can cultivate 1 extra cell of land.</t>
  </si>
  <si>
    <t xml:space="preserve">     - The 10x units of food stored in the warehouse are used for growth and the warehouse now is empty or almost empty.</t>
  </si>
  <si>
    <t xml:space="preserve"> - The land around Excelopolis is represented by Excel cells (see table below). The city itself is located in cell D4. The table shows an example of land fertility distribution.</t>
  </si>
  <si>
    <t xml:space="preserve"> - Different cells have different fertility - each of them can give you from 2 to 5 units of food. You will be using the most fertile cells first.</t>
  </si>
  <si>
    <t>Case Details by Difficulty Level</t>
  </si>
  <si>
    <t>Original Case (Pro Level)</t>
  </si>
  <si>
    <t>Varsity Case</t>
  </si>
  <si>
    <t>Junior Varsity Case</t>
  </si>
  <si>
    <t>Used in Junior Varsity, Varsity, and Original Case</t>
  </si>
  <si>
    <t>Used only in Original Case</t>
  </si>
  <si>
    <t>Land Fertility Example: Excelopolis (Cell D4) &amp; Surroundings</t>
  </si>
  <si>
    <t>49 cells can be used - 3 rings around the city</t>
  </si>
  <si>
    <t>25 cells can be used - 2 rings around the city</t>
  </si>
  <si>
    <t>Original Case Author</t>
  </si>
  <si>
    <t>Case Design Team</t>
  </si>
  <si>
    <t>David Brown</t>
  </si>
  <si>
    <t>Chris McNeil</t>
  </si>
  <si>
    <t>Eric Kelley</t>
  </si>
  <si>
    <t>Andrew Grigolyunovich</t>
  </si>
  <si>
    <t>Used only in Varsity and Original Case</t>
  </si>
  <si>
    <t>Land Fertility by Cell</t>
  </si>
  <si>
    <t>What is the most common answer across all games, excluding the examples?</t>
  </si>
  <si>
    <t>Which game number has the most fertile land, i.e., the highest sum of fertility values, excluding the examples?</t>
  </si>
  <si>
    <t>What is the sum of the answers across all levels for odd game numbers, i.e., 1, 3, 5, …., 139? Exclude the examples.</t>
  </si>
  <si>
    <t xml:space="preserve">To make the game more exciting, we have created 5 bonus questions for you. Bonus questions 1, 2, and 3 can be solved independently of the Levels. Bonus questions 4 and 5 depend on </t>
  </si>
  <si>
    <t>having the correct answers to the Levels 1 - 7.</t>
  </si>
  <si>
    <t>1-7</t>
  </si>
  <si>
    <r>
      <t>Example1: </t>
    </r>
    <r>
      <rPr>
        <sz val="12"/>
        <rFont val="Roboto"/>
      </rPr>
      <t>Summing the land fertility values given in G73:O73 gives 3+5+3+4+3+3+2+3+3=29.</t>
    </r>
  </si>
  <si>
    <t>Game 1's answer is between 20 and 30.</t>
  </si>
  <si>
    <t>Game 3's answer is between 30 and 40.</t>
  </si>
  <si>
    <t>Game 2's answer is between 30 and 40.</t>
  </si>
  <si>
    <t>What is the highest land fertility value for each game?</t>
  </si>
  <si>
    <r>
      <t xml:space="preserve">Example2: </t>
    </r>
    <r>
      <rPr>
        <sz val="12"/>
        <rFont val="Roboto"/>
      </rPr>
      <t>The maximum of the values in cells G109:O109 (3, 5, 3, 4, 3, 3, 2, 3, and 3) is 5.</t>
    </r>
  </si>
  <si>
    <t>What is the sum of the two highest land fertility value for each game?</t>
  </si>
  <si>
    <t>Game 21's answer is odd.</t>
  </si>
  <si>
    <t>Game 22's answer is even.</t>
  </si>
  <si>
    <t>Game 23's answer is odd.</t>
  </si>
  <si>
    <t>Game 42's answer is even.</t>
  </si>
  <si>
    <t>Game 61's answer is between 20 and 30.</t>
  </si>
  <si>
    <t>Game 62's answer is between 20 and 30.</t>
  </si>
  <si>
    <t>Game 63's answer is between 10 and 20.</t>
  </si>
  <si>
    <r>
      <t xml:space="preserve">Example4: </t>
    </r>
    <r>
      <rPr>
        <sz val="12"/>
        <rFont val="Roboto"/>
      </rPr>
      <t>The four highest values in cells G180:O180 (3, 5, 3, 4, 3, 3, 2, 3, and 3) are 5, 4, 3, and 3 and their sum is 15.</t>
    </r>
  </si>
  <si>
    <r>
      <t xml:space="preserve">Example3: </t>
    </r>
    <r>
      <rPr>
        <sz val="12"/>
        <rFont val="Roboto"/>
      </rPr>
      <t>The two highest values in cells G144:O144 (3, 5, 3, 4, 3, 3, 2, 3, and 3) are 5 and 4 and their sum is 9.</t>
    </r>
  </si>
  <si>
    <t>Based on the given number of people and land fertility values, how much extra food is produced?</t>
  </si>
  <si>
    <t>Game 81's answer is between 0 and 10.</t>
  </si>
  <si>
    <t>Game 82's answer is between 10 and 20.</t>
  </si>
  <si>
    <t>Game 83's answer is between 10 and 20.</t>
  </si>
  <si>
    <r>
      <t xml:space="preserve">Example5: </t>
    </r>
    <r>
      <rPr>
        <sz val="12"/>
        <rFont val="Roboto"/>
      </rPr>
      <t>With four people, the four highest land fertility values are 5, 4, 3, and 3, for a total of 15 food production.</t>
    </r>
  </si>
  <si>
    <t>4 people require 2 food each, for a total of 8, leaving 7 units of extra food.</t>
  </si>
  <si>
    <t>Note that the city will only have a population of 1 in this level.</t>
  </si>
  <si>
    <r>
      <t xml:space="preserve">Example6: </t>
    </r>
    <r>
      <rPr>
        <sz val="12"/>
        <rFont val="Roboto"/>
      </rPr>
      <t>In turn 1, 5 units of food are produced and 2 are consumed, leaving 3 extra. The same production and consumption occur on turns 2 and 3.</t>
    </r>
  </si>
  <si>
    <t>With 3 extra food each turn, and 3 turns, the total food saved is 3x3=9.</t>
  </si>
  <si>
    <t>Game 101's answer is odd.</t>
  </si>
  <si>
    <t>Game 121's answer is between 90 and 100.</t>
  </si>
  <si>
    <t>Game 122's answer is between 80 and 90.</t>
  </si>
  <si>
    <t>Game 123's answer is between 80 and 90.</t>
  </si>
  <si>
    <t>Easy</t>
  </si>
  <si>
    <t>Game 103's answer is even.</t>
  </si>
  <si>
    <t xml:space="preserve"> - For example, if there are three people, they will each cultivate one cell, starting with the most fertile cell. Thus, in this case, the three people will cultivate the three most fertile cells</t>
  </si>
  <si>
    <t>What is the sum of the X highest land fertility values for each game?</t>
  </si>
  <si>
    <t>Microsoft Excel Collegiate Challenge 2026</t>
  </si>
  <si>
    <t>Fritz Burkhardt</t>
  </si>
  <si>
    <t xml:space="preserve"> - Note that land fertility values in each game usually differ from the table example.</t>
  </si>
  <si>
    <t xml:space="preserve"> - At the Junior Varsity level, you can't cultivate land that is more than 1 cell away from the city. As a result, the maximum amount of land your people can cultivate is the 9 blue cells.</t>
  </si>
  <si>
    <t>9 blue cells can be used - 1 ring around the city</t>
  </si>
  <si>
    <t xml:space="preserve">Based on the given land fertility and assuming a starting population of 1 and no population growth, how much food has been saved after the given number of turns? </t>
  </si>
  <si>
    <t>Game 102's answer is odd.</t>
  </si>
  <si>
    <r>
      <t xml:space="preserve">Based on the given land fertility and assuming a starting population of 1 and that the population can grow, </t>
    </r>
    <r>
      <rPr>
        <b/>
        <u/>
        <sz val="12"/>
        <rFont val="Roboto"/>
      </rPr>
      <t>how many units of food are produced</t>
    </r>
    <r>
      <rPr>
        <b/>
        <sz val="12"/>
        <rFont val="Roboto"/>
      </rPr>
      <t xml:space="preserve"> over the first 10 turns?</t>
    </r>
  </si>
  <si>
    <t>Population will grow by 1 unit at the end of a turn when the amount of warehoused food equals or exceeds 10x the current population.</t>
  </si>
  <si>
    <t>When the population grows, warehoused food will decrease by 10x the pre-growth population.</t>
  </si>
  <si>
    <r>
      <t xml:space="preserve">Example7: </t>
    </r>
    <r>
      <rPr>
        <sz val="12"/>
        <rFont val="Roboto"/>
      </rPr>
      <t>In turns 1 through 4, 5 units of food are produced and 2 are consumed, leaving 3 extra per turn, which accumulates to 12 saved food units after 4 turns. At the end</t>
    </r>
  </si>
  <si>
    <t>consume 4 units, resulting in 7 saved food units (2 + 5) at the end of turn 5. Two people continue to produce 9 units of food in turns 6 through 8, saving 5 units each turn. At</t>
  </si>
  <si>
    <t>of turn 4, the population grows by 1 since 12 food units saved &gt;= 10x the current population of 1. Stored food units is reduced to 2. In turn 5, 2 people produce 9 units of food,</t>
  </si>
  <si>
    <t>the end of turn 8, saved food units is 22, allowing the population to grow to 3. Saved food units is 2 (=22-20) at the end of turn 8. On turns 9 and 10, 3 people produce 12 food</t>
  </si>
  <si>
    <t>units each turn. Total food production equals 4 turns of 5 production, plus 4 turns of 9 production, plus 2 turns of 12 production, giving 80 total food produced over 10 turns.</t>
  </si>
  <si>
    <t>How many times does the most common land fertility value for a single cell occur across levels, excluding the examples? Land fertility cell values range from 2 to 5.</t>
  </si>
  <si>
    <t>What is the maximum number of plots of lowest fertile land (most values of 2) within a game, excluding the examples?</t>
  </si>
  <si>
    <t>Hint: The LARGE, SUM, and SEQUENCE functions may be helpful on this level.</t>
  </si>
  <si>
    <t>Your Answers</t>
  </si>
  <si>
    <t>Case Information</t>
  </si>
  <si>
    <t>MECC Jobs</t>
  </si>
  <si>
    <t>This case originally appeared as a part of the MECC Weekend Battle series in January 2026. The objective is to calculate the population growth of Excelopolis over time. The case uses the same scoring as the original competition version, but answers are included so you can check your work.</t>
  </si>
  <si>
    <t>MECC sponsors such as Siemens, New York Life, Alvarez &amp; Marsal, and BDO have all hired MECC participants. Will you be next?</t>
  </si>
  <si>
    <t>Earn MECC Badges</t>
  </si>
  <si>
    <t>Live participation in Weekend Battles counts towards earning the Excel Athlete Badge. Complete more challenges to earn the badge to post on LinkedIn!</t>
  </si>
  <si>
    <t>Feeding Excelopolis - Junior Varsity Edition</t>
  </si>
  <si>
    <t>Food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</si>
</sst>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0;\(#,##0\);\-"/>
  </numFmts>
  <fonts count="48">
    <font>
      <sz val="11"/>
      <color theme="1"/>
      <name val="Calibri"/>
      <family val="2"/>
      <scheme val="minor"/>
    </font>
    <font>
      <sz val="12"/>
      <color theme="1"/>
      <name val="Calibri"/>
      <family val="2"/>
      <scheme val="minor"/>
    </font>
    <font>
      <sz val="11"/>
      <color theme="1"/>
      <name val="Roboto"/>
    </font>
    <font>
      <sz val="8"/>
      <name val="Calibri"/>
      <family val="2"/>
      <scheme val="minor"/>
    </font>
    <font>
      <b/>
      <sz val="12"/>
      <color theme="7" tint="-0.499984740745262"/>
      <name val="Roboto"/>
    </font>
    <font>
      <sz val="12"/>
      <color theme="7" tint="-0.499984740745262"/>
      <name val="Roboto"/>
    </font>
    <font>
      <b/>
      <sz val="11"/>
      <color theme="0"/>
      <name val="Roboto"/>
    </font>
    <font>
      <b/>
      <sz val="18"/>
      <color theme="0"/>
      <name val="Roboto"/>
    </font>
    <font>
      <b/>
      <sz val="14"/>
      <color theme="0"/>
      <name val="Roboto"/>
    </font>
    <font>
      <sz val="11"/>
      <color theme="7" tint="-0.499984740745262"/>
      <name val="Roboto"/>
    </font>
    <font>
      <sz val="11"/>
      <name val="Roboto"/>
    </font>
    <font>
      <sz val="11"/>
      <color theme="0"/>
      <name val="Roboto"/>
    </font>
    <font>
      <sz val="11"/>
      <color theme="1"/>
      <name val="Calibri"/>
      <family val="2"/>
      <scheme val="minor"/>
    </font>
    <font>
      <sz val="12"/>
      <color theme="1"/>
      <name val="Roboto"/>
    </font>
    <font>
      <b/>
      <sz val="26"/>
      <color theme="0"/>
      <name val="Futura"/>
      <family val="2"/>
    </font>
    <font>
      <b/>
      <sz val="26"/>
      <color theme="0"/>
      <name val="Roboto"/>
    </font>
    <font>
      <sz val="20"/>
      <color theme="1"/>
      <name val="Aptos"/>
      <family val="2"/>
    </font>
    <font>
      <b/>
      <sz val="24"/>
      <color theme="0"/>
      <name val="Futura"/>
      <family val="2"/>
    </font>
    <font>
      <b/>
      <sz val="12"/>
      <color theme="1"/>
      <name val="Roboto"/>
    </font>
    <font>
      <b/>
      <sz val="20"/>
      <color theme="0"/>
      <name val="Futura"/>
      <family val="2"/>
    </font>
    <font>
      <b/>
      <sz val="12"/>
      <name val="Roboto"/>
    </font>
    <font>
      <b/>
      <sz val="12"/>
      <color theme="0"/>
      <name val="Roboto"/>
    </font>
    <font>
      <sz val="12"/>
      <name val="Roboto"/>
    </font>
    <font>
      <sz val="12"/>
      <color rgb="FF806000"/>
      <name val="Roboto"/>
    </font>
    <font>
      <i/>
      <sz val="14"/>
      <color theme="1"/>
      <name val="Roboto"/>
    </font>
    <font>
      <i/>
      <sz val="10"/>
      <color theme="1"/>
      <name val="Roboto"/>
    </font>
    <font>
      <sz val="11"/>
      <color rgb="FF806000"/>
      <name val="Roboto"/>
    </font>
    <font>
      <sz val="12"/>
      <color rgb="FF000000"/>
      <name val="Roboto"/>
    </font>
    <font>
      <i/>
      <sz val="12"/>
      <color theme="1"/>
      <name val="Roboto"/>
    </font>
    <font>
      <i/>
      <sz val="11"/>
      <color theme="1"/>
      <name val="Roboto"/>
    </font>
    <font>
      <i/>
      <sz val="11"/>
      <name val="Roboto"/>
    </font>
    <font>
      <sz val="12"/>
      <color theme="0"/>
      <name val="Roboto"/>
    </font>
    <font>
      <sz val="18"/>
      <color theme="1"/>
      <name val="Roboto"/>
    </font>
    <font>
      <b/>
      <sz val="12"/>
      <color theme="1"/>
      <name val="Robotech"/>
    </font>
    <font>
      <i/>
      <sz val="12"/>
      <name val="Roboto"/>
    </font>
    <font>
      <b/>
      <u/>
      <sz val="12"/>
      <name val="Roboto"/>
    </font>
    <font>
      <b/>
      <sz val="16"/>
      <color theme="1"/>
      <name val="Roboto"/>
    </font>
    <font>
      <sz val="14"/>
      <color theme="1"/>
      <name val="Roboto"/>
    </font>
    <font>
      <b/>
      <sz val="11"/>
      <color theme="1"/>
      <name val="Roboto"/>
    </font>
    <font>
      <b/>
      <sz val="20"/>
      <color theme="0"/>
      <name val="Futura"/>
      <family val="2"/>
    </font>
    <font>
      <sz val="12"/>
      <color theme="1"/>
      <name val="Aptos"/>
      <family val="2"/>
    </font>
    <font>
      <b/>
      <sz val="24"/>
      <color theme="0"/>
      <name val="Futura"/>
      <family val="2"/>
    </font>
    <font>
      <sz val="20"/>
      <color theme="1"/>
      <name val="Calibri"/>
      <family val="2"/>
      <scheme val="minor"/>
    </font>
    <font>
      <b/>
      <sz val="18"/>
      <color theme="0"/>
      <name val="Futura"/>
      <family val="2"/>
    </font>
    <font>
      <sz val="16"/>
      <name val="Roboto"/>
    </font>
    <font>
      <b/>
      <sz val="11"/>
      <name val="Roboto"/>
    </font>
    <font>
      <sz val="12"/>
      <color rgb="FFFFFFFF"/>
      <name val="Arial"/>
      <family val="2"/>
      <charset val="238"/>
    </font>
    <font>
      <sz val="9"/>
      <color indexed="81"/>
      <name val="Tahoma"/>
      <family val="2"/>
      <charset val="238"/>
    </font>
  </fonts>
  <fills count="14">
    <fill>
      <patternFill patternType="none"/>
    </fill>
    <fill>
      <patternFill patternType="gray125"/>
    </fill>
    <fill>
      <patternFill patternType="solid">
        <fgColor theme="0"/>
        <bgColor indexed="64"/>
      </patternFill>
    </fill>
    <fill>
      <patternFill patternType="solid">
        <fgColor rgb="FF161C49"/>
        <bgColor indexed="64"/>
      </patternFill>
    </fill>
    <fill>
      <patternFill patternType="solid">
        <fgColor rgb="FF228AB8"/>
        <bgColor indexed="64"/>
      </patternFill>
    </fill>
    <fill>
      <patternFill patternType="solid">
        <fgColor rgb="FF006837"/>
        <bgColor indexed="64"/>
      </patternFill>
    </fill>
    <fill>
      <patternFill patternType="solid">
        <fgColor rgb="FF001838"/>
        <bgColor indexed="64"/>
      </patternFill>
    </fill>
    <fill>
      <patternFill patternType="solid">
        <fgColor rgb="FFED203F"/>
        <bgColor indexed="64"/>
      </patternFill>
    </fill>
    <fill>
      <patternFill patternType="solid">
        <fgColor rgb="FFBC1F36"/>
        <bgColor indexed="64"/>
      </patternFill>
    </fill>
    <fill>
      <patternFill patternType="solid">
        <fgColor theme="9" tint="0.59996337778862885"/>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6C6CD"/>
        <bgColor indexed="64"/>
      </patternFill>
    </fill>
    <fill>
      <patternFill patternType="solid">
        <fgColor rgb="FF9E1B32"/>
        <bgColor indexed="64"/>
      </patternFill>
    </fill>
  </fills>
  <borders count="4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top style="thin">
        <color theme="0" tint="-0.499984740745262"/>
      </top>
      <bottom style="thin">
        <color theme="0" tint="-0.499984740745262"/>
      </bottom>
      <diagonal/>
    </border>
    <border>
      <left style="thin">
        <color theme="0" tint="-0.249977111117893"/>
      </left>
      <right style="thin">
        <color theme="0" tint="-0.249977111117893"/>
      </right>
      <top/>
      <bottom style="thin">
        <color theme="0" tint="-0.24997711111789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theme="0" tint="-0.499984740745262"/>
      </left>
      <right style="thin">
        <color theme="0" tint="-0.499984740745262"/>
      </right>
      <top/>
      <bottom style="thin">
        <color theme="0" tint="-0.499984740745262"/>
      </bottom>
      <diagonal/>
    </border>
    <border>
      <left/>
      <right/>
      <top style="thin">
        <color indexed="64"/>
      </top>
      <bottom style="thin">
        <color indexed="64"/>
      </bottom>
      <diagonal/>
    </border>
  </borders>
  <cellStyleXfs count="7">
    <xf numFmtId="0" fontId="0" fillId="0" borderId="0"/>
    <xf numFmtId="0" fontId="12" fillId="0" borderId="0"/>
    <xf numFmtId="0" fontId="16" fillId="0" borderId="0"/>
    <xf numFmtId="0" fontId="1" fillId="0" borderId="0"/>
    <xf numFmtId="0" fontId="1" fillId="0" borderId="0"/>
    <xf numFmtId="0" fontId="12" fillId="0" borderId="0"/>
    <xf numFmtId="0" fontId="42" fillId="0" borderId="0"/>
  </cellStyleXfs>
  <cellXfs count="160">
    <xf numFmtId="0" fontId="0" fillId="0" borderId="0" xfId="0"/>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6" fillId="4" borderId="11" xfId="0" applyFont="1" applyFill="1" applyBorder="1" applyAlignment="1">
      <alignment horizontal="center"/>
    </xf>
    <xf numFmtId="0" fontId="11" fillId="4" borderId="6" xfId="0" applyFont="1" applyFill="1" applyBorder="1" applyAlignment="1">
      <alignment horizontal="center"/>
    </xf>
    <xf numFmtId="0" fontId="11" fillId="4" borderId="14" xfId="0" applyFont="1" applyFill="1" applyBorder="1" applyAlignment="1">
      <alignment horizontal="center"/>
    </xf>
    <xf numFmtId="0" fontId="11" fillId="4" borderId="12" xfId="0" applyFont="1" applyFill="1" applyBorder="1" applyAlignment="1">
      <alignment horizontal="center"/>
    </xf>
    <xf numFmtId="0" fontId="11" fillId="4" borderId="13" xfId="0" applyFont="1" applyFill="1" applyBorder="1" applyAlignment="1">
      <alignment horizontal="center"/>
    </xf>
    <xf numFmtId="0" fontId="11" fillId="4" borderId="15" xfId="0" applyFont="1" applyFill="1" applyBorder="1" applyAlignment="1">
      <alignment horizontal="center"/>
    </xf>
    <xf numFmtId="0" fontId="11" fillId="5" borderId="6" xfId="0" applyFont="1" applyFill="1" applyBorder="1" applyAlignment="1">
      <alignment horizontal="center"/>
    </xf>
    <xf numFmtId="0" fontId="13" fillId="0" borderId="0" xfId="1" applyFont="1"/>
    <xf numFmtId="0" fontId="14" fillId="6" borderId="6" xfId="1" applyFont="1" applyFill="1" applyBorder="1" applyAlignment="1">
      <alignment horizontal="centerContinuous" vertical="center"/>
    </xf>
    <xf numFmtId="0" fontId="15" fillId="6" borderId="6" xfId="1" applyFont="1" applyFill="1" applyBorder="1" applyAlignment="1">
      <alignment horizontal="centerContinuous" vertical="center"/>
    </xf>
    <xf numFmtId="3" fontId="13" fillId="0" borderId="0" xfId="1" applyNumberFormat="1" applyFont="1"/>
    <xf numFmtId="0" fontId="17" fillId="7" borderId="0" xfId="2" applyFont="1" applyFill="1" applyAlignment="1">
      <alignment horizontal="centerContinuous" vertical="center"/>
    </xf>
    <xf numFmtId="0" fontId="17" fillId="7" borderId="0" xfId="2" applyFont="1" applyFill="1" applyAlignment="1">
      <alignment horizontal="centerContinuous" vertical="center" wrapText="1"/>
    </xf>
    <xf numFmtId="0" fontId="7" fillId="8" borderId="6" xfId="1" applyFont="1" applyFill="1" applyBorder="1" applyAlignment="1">
      <alignment horizontal="centerContinuous" vertical="center"/>
    </xf>
    <xf numFmtId="0" fontId="19" fillId="8" borderId="14" xfId="1" applyFont="1" applyFill="1" applyBorder="1" applyAlignment="1">
      <alignment horizontal="centerContinuous" vertical="center"/>
    </xf>
    <xf numFmtId="0" fontId="7" fillId="8" borderId="14" xfId="1" applyFont="1" applyFill="1" applyBorder="1" applyAlignment="1">
      <alignment horizontal="centerContinuous" vertical="center"/>
    </xf>
    <xf numFmtId="0" fontId="13" fillId="0" borderId="16" xfId="1" applyFont="1" applyBorder="1" applyAlignment="1">
      <alignment vertical="top"/>
    </xf>
    <xf numFmtId="0" fontId="13" fillId="0" borderId="17" xfId="1" applyFont="1" applyBorder="1" applyAlignment="1">
      <alignment vertical="top" wrapText="1"/>
    </xf>
    <xf numFmtId="0" fontId="13" fillId="0" borderId="18" xfId="1" applyFont="1" applyBorder="1"/>
    <xf numFmtId="0" fontId="13" fillId="0" borderId="19" xfId="1" applyFont="1" applyBorder="1" applyAlignment="1">
      <alignment vertical="top"/>
    </xf>
    <xf numFmtId="0" fontId="13" fillId="0" borderId="0" xfId="1" applyFont="1" applyAlignment="1">
      <alignment vertical="top" wrapText="1"/>
    </xf>
    <xf numFmtId="0" fontId="13" fillId="0" borderId="20" xfId="1" applyFont="1" applyBorder="1"/>
    <xf numFmtId="0" fontId="13" fillId="0" borderId="19" xfId="1" applyFont="1" applyBorder="1"/>
    <xf numFmtId="0" fontId="2" fillId="0" borderId="0" xfId="1" applyFont="1"/>
    <xf numFmtId="0" fontId="10" fillId="0" borderId="0" xfId="1" applyFont="1"/>
    <xf numFmtId="0" fontId="10" fillId="0" borderId="20" xfId="1" applyFont="1" applyBorder="1"/>
    <xf numFmtId="0" fontId="13" fillId="0" borderId="21" xfId="1" applyFont="1" applyBorder="1" applyAlignment="1">
      <alignment vertical="top"/>
    </xf>
    <xf numFmtId="0" fontId="13" fillId="0" borderId="22" xfId="1" applyFont="1" applyBorder="1" applyAlignment="1">
      <alignment vertical="top" wrapText="1"/>
    </xf>
    <xf numFmtId="0" fontId="13" fillId="0" borderId="23" xfId="1" applyFont="1" applyBorder="1" applyAlignment="1">
      <alignment vertical="top" wrapText="1"/>
    </xf>
    <xf numFmtId="0" fontId="5" fillId="2" borderId="0" xfId="1" applyFont="1" applyFill="1" applyAlignment="1">
      <alignment horizontal="centerContinuous"/>
    </xf>
    <xf numFmtId="0" fontId="13" fillId="2" borderId="0" xfId="1" applyFont="1" applyFill="1" applyAlignment="1">
      <alignment horizontal="centerContinuous"/>
    </xf>
    <xf numFmtId="2" fontId="5" fillId="2" borderId="0" xfId="1" applyNumberFormat="1" applyFont="1" applyFill="1" applyAlignment="1">
      <alignment horizontal="center" vertical="center" wrapText="1"/>
    </xf>
    <xf numFmtId="164" fontId="5" fillId="2" borderId="0" xfId="1" applyNumberFormat="1" applyFont="1" applyFill="1" applyAlignment="1">
      <alignment horizontal="centerContinuous" vertical="center" wrapText="1"/>
    </xf>
    <xf numFmtId="1" fontId="5" fillId="2" borderId="0" xfId="1" applyNumberFormat="1" applyFont="1" applyFill="1" applyAlignment="1">
      <alignment horizontal="center" vertical="center" wrapText="1"/>
    </xf>
    <xf numFmtId="0" fontId="19" fillId="6" borderId="6" xfId="1" applyFont="1" applyFill="1" applyBorder="1" applyAlignment="1">
      <alignment horizontal="centerContinuous" vertical="center"/>
    </xf>
    <xf numFmtId="0" fontId="7" fillId="6" borderId="6" xfId="1" applyFont="1" applyFill="1" applyBorder="1" applyAlignment="1">
      <alignment horizontal="centerContinuous" vertical="center"/>
    </xf>
    <xf numFmtId="0" fontId="20" fillId="0" borderId="0" xfId="1" applyFont="1" applyAlignment="1">
      <alignment horizontal="left" vertical="top"/>
    </xf>
    <xf numFmtId="0" fontId="2" fillId="0" borderId="0" xfId="1" applyFont="1" applyAlignment="1">
      <alignment horizontal="left" vertical="center" wrapText="1"/>
    </xf>
    <xf numFmtId="0" fontId="21" fillId="8" borderId="11" xfId="1" applyFont="1" applyFill="1" applyBorder="1" applyAlignment="1">
      <alignment horizontal="center" vertical="center"/>
    </xf>
    <xf numFmtId="0" fontId="21" fillId="8" borderId="11" xfId="1" applyFont="1" applyFill="1" applyBorder="1" applyAlignment="1">
      <alignment horizontal="center" vertical="center" wrapText="1"/>
    </xf>
    <xf numFmtId="0" fontId="13" fillId="0" borderId="0" xfId="1" applyFont="1" applyAlignment="1">
      <alignment horizontal="center"/>
    </xf>
    <xf numFmtId="0" fontId="22" fillId="0" borderId="0" xfId="1" applyFont="1"/>
    <xf numFmtId="0" fontId="5" fillId="0" borderId="24" xfId="1" applyFont="1" applyBorder="1" applyAlignment="1">
      <alignment horizontal="center" vertical="center" wrapText="1"/>
    </xf>
    <xf numFmtId="0" fontId="4" fillId="0" borderId="24" xfId="1" applyFont="1" applyBorder="1" applyAlignment="1">
      <alignment horizontal="center" vertical="center"/>
    </xf>
    <xf numFmtId="0" fontId="7" fillId="5" borderId="25" xfId="1" applyFont="1" applyFill="1" applyBorder="1" applyAlignment="1">
      <alignment horizontal="center" vertical="center"/>
    </xf>
    <xf numFmtId="0" fontId="2" fillId="0" borderId="0" xfId="2" applyFont="1" applyAlignment="1">
      <alignment horizontal="center" vertical="center"/>
    </xf>
    <xf numFmtId="0" fontId="7" fillId="5" borderId="26" xfId="1" applyFont="1" applyFill="1" applyBorder="1" applyAlignment="1">
      <alignment horizontal="center" vertical="center"/>
    </xf>
    <xf numFmtId="1" fontId="7" fillId="5" borderId="26" xfId="1" applyNumberFormat="1" applyFont="1" applyFill="1" applyBorder="1" applyAlignment="1">
      <alignment horizontal="center" vertical="center"/>
    </xf>
    <xf numFmtId="0" fontId="8" fillId="7" borderId="11" xfId="1" applyFont="1" applyFill="1" applyBorder="1" applyAlignment="1">
      <alignment horizontal="center" vertical="center"/>
    </xf>
    <xf numFmtId="0" fontId="24" fillId="9" borderId="11" xfId="1" applyFont="1" applyFill="1" applyBorder="1" applyAlignment="1">
      <alignment horizontal="center" vertical="center"/>
    </xf>
    <xf numFmtId="0" fontId="18" fillId="0" borderId="0" xfId="1" applyFont="1" applyAlignment="1">
      <alignment vertical="center"/>
    </xf>
    <xf numFmtId="0" fontId="20" fillId="0" borderId="0" xfId="1" applyFont="1" applyAlignment="1">
      <alignment horizontal="left"/>
    </xf>
    <xf numFmtId="0" fontId="22" fillId="0" borderId="0" xfId="1" applyFont="1" applyAlignment="1">
      <alignment vertical="center"/>
    </xf>
    <xf numFmtId="0" fontId="22" fillId="0" borderId="0" xfId="1" applyFont="1" applyAlignment="1">
      <alignment horizontal="left"/>
    </xf>
    <xf numFmtId="0" fontId="18" fillId="0" borderId="0" xfId="1" applyFont="1"/>
    <xf numFmtId="3" fontId="21" fillId="8" borderId="11" xfId="1" applyNumberFormat="1" applyFont="1" applyFill="1" applyBorder="1" applyAlignment="1">
      <alignment horizontal="center" vertical="center"/>
    </xf>
    <xf numFmtId="0" fontId="9" fillId="0" borderId="24" xfId="1" applyFont="1" applyBorder="1" applyAlignment="1">
      <alignment horizontal="center" vertical="center" wrapText="1"/>
    </xf>
    <xf numFmtId="0" fontId="5" fillId="0" borderId="27" xfId="1" applyFont="1" applyBorder="1" applyAlignment="1">
      <alignment horizontal="center" vertical="center"/>
    </xf>
    <xf numFmtId="0" fontId="4" fillId="0" borderId="28" xfId="1" applyFont="1" applyBorder="1" applyAlignment="1">
      <alignment horizontal="center" vertical="center"/>
    </xf>
    <xf numFmtId="0" fontId="23" fillId="0" borderId="27" xfId="1" applyFont="1" applyBorder="1" applyAlignment="1">
      <alignment horizontal="center" vertical="center"/>
    </xf>
    <xf numFmtId="0" fontId="2" fillId="2" borderId="0" xfId="1" applyFont="1" applyFill="1" applyAlignment="1">
      <alignment vertical="center"/>
    </xf>
    <xf numFmtId="0" fontId="24" fillId="10" borderId="11" xfId="3" applyFont="1" applyFill="1" applyBorder="1" applyAlignment="1">
      <alignment horizontal="center" vertical="center"/>
    </xf>
    <xf numFmtId="0" fontId="13" fillId="0" borderId="0" xfId="1" applyFont="1" applyAlignment="1">
      <alignment vertical="center"/>
    </xf>
    <xf numFmtId="0" fontId="26" fillId="0" borderId="0" xfId="1" applyFont="1"/>
    <xf numFmtId="0" fontId="25" fillId="11" borderId="11" xfId="3" applyFont="1" applyFill="1" applyBorder="1" applyAlignment="1">
      <alignment horizontal="center" vertical="center"/>
    </xf>
    <xf numFmtId="0" fontId="24" fillId="11" borderId="11" xfId="1" applyFont="1" applyFill="1" applyBorder="1" applyAlignment="1">
      <alignment horizontal="center" vertical="center"/>
    </xf>
    <xf numFmtId="0" fontId="18" fillId="0" borderId="0" xfId="1" applyFont="1" applyAlignment="1">
      <alignment horizontal="left" vertical="center"/>
    </xf>
    <xf numFmtId="0" fontId="27" fillId="0" borderId="0" xfId="1" applyFont="1"/>
    <xf numFmtId="0" fontId="1" fillId="0" borderId="0" xfId="4" applyAlignment="1">
      <alignment horizontal="center"/>
    </xf>
    <xf numFmtId="0" fontId="2" fillId="0" borderId="0" xfId="1" applyFont="1" applyAlignment="1">
      <alignment horizontal="center"/>
    </xf>
    <xf numFmtId="0" fontId="24" fillId="12" borderId="11" xfId="1" applyFont="1" applyFill="1" applyBorder="1" applyAlignment="1">
      <alignment horizontal="center" vertical="center"/>
    </xf>
    <xf numFmtId="0" fontId="28" fillId="0" borderId="0" xfId="1" applyFont="1" applyAlignment="1">
      <alignment vertical="center"/>
    </xf>
    <xf numFmtId="0" fontId="28" fillId="0" borderId="0" xfId="1" applyFont="1"/>
    <xf numFmtId="0" fontId="29" fillId="0" borderId="0" xfId="1" applyFont="1"/>
    <xf numFmtId="0" fontId="30" fillId="0" borderId="0" xfId="1" applyFont="1"/>
    <xf numFmtId="0" fontId="13" fillId="0" borderId="0" xfId="1" applyFont="1" applyAlignment="1">
      <alignment vertical="top"/>
    </xf>
    <xf numFmtId="0" fontId="2" fillId="0" borderId="0" xfId="0" applyFont="1" applyAlignment="1">
      <alignment horizontal="center"/>
    </xf>
    <xf numFmtId="0" fontId="19" fillId="3" borderId="6" xfId="1" applyFont="1" applyFill="1" applyBorder="1" applyAlignment="1">
      <alignment horizontal="centerContinuous" vertical="center"/>
    </xf>
    <xf numFmtId="0" fontId="6" fillId="8" borderId="1" xfId="0" applyFont="1" applyFill="1" applyBorder="1" applyAlignment="1">
      <alignment horizontal="center"/>
    </xf>
    <xf numFmtId="0" fontId="6" fillId="8" borderId="29" xfId="0" applyFont="1" applyFill="1" applyBorder="1" applyAlignment="1">
      <alignment horizontal="center"/>
    </xf>
    <xf numFmtId="0" fontId="6" fillId="8" borderId="30" xfId="0" applyFont="1" applyFill="1" applyBorder="1" applyAlignment="1">
      <alignment horizontal="left"/>
    </xf>
    <xf numFmtId="0" fontId="6" fillId="8" borderId="31" xfId="0" applyFont="1" applyFill="1" applyBorder="1" applyAlignment="1">
      <alignment horizontal="center"/>
    </xf>
    <xf numFmtId="0" fontId="6" fillId="8" borderId="32" xfId="0" applyFont="1" applyFill="1" applyBorder="1" applyAlignment="1">
      <alignment horizontal="center"/>
    </xf>
    <xf numFmtId="0" fontId="13" fillId="0" borderId="33" xfId="1" applyFont="1" applyBorder="1" applyAlignment="1">
      <alignment vertical="top"/>
    </xf>
    <xf numFmtId="0" fontId="13" fillId="0" borderId="34" xfId="1" applyFont="1" applyBorder="1" applyAlignment="1">
      <alignment vertical="top" wrapText="1"/>
    </xf>
    <xf numFmtId="0" fontId="13" fillId="0" borderId="35" xfId="1" applyFont="1" applyBorder="1"/>
    <xf numFmtId="0" fontId="13" fillId="0" borderId="36" xfId="1" applyFont="1" applyBorder="1"/>
    <xf numFmtId="0" fontId="13" fillId="0" borderId="36" xfId="1" applyFont="1" applyBorder="1" applyAlignment="1">
      <alignment vertical="top"/>
    </xf>
    <xf numFmtId="0" fontId="13" fillId="0" borderId="37" xfId="1" applyFont="1" applyBorder="1" applyAlignment="1">
      <alignment vertical="top" wrapText="1"/>
    </xf>
    <xf numFmtId="0" fontId="31" fillId="4" borderId="38" xfId="0" applyFont="1" applyFill="1" applyBorder="1" applyAlignment="1">
      <alignment horizontal="center"/>
    </xf>
    <xf numFmtId="0" fontId="22" fillId="0" borderId="0" xfId="0" applyFont="1"/>
    <xf numFmtId="0" fontId="10" fillId="0" borderId="0" xfId="0" applyFont="1"/>
    <xf numFmtId="0" fontId="10" fillId="0" borderId="34" xfId="0" applyFont="1" applyBorder="1"/>
    <xf numFmtId="0" fontId="31" fillId="5" borderId="5" xfId="0" applyFont="1" applyFill="1" applyBorder="1" applyAlignment="1">
      <alignment horizontal="center"/>
    </xf>
    <xf numFmtId="0" fontId="13" fillId="0" borderId="39" xfId="0" applyFont="1" applyBorder="1" applyAlignment="1">
      <alignment horizontal="center"/>
    </xf>
    <xf numFmtId="0" fontId="22" fillId="0" borderId="36" xfId="0" applyFont="1" applyBorder="1"/>
    <xf numFmtId="0" fontId="10" fillId="0" borderId="36" xfId="0" applyFont="1" applyBorder="1"/>
    <xf numFmtId="0" fontId="10" fillId="0" borderId="37" xfId="0" applyFont="1" applyBorder="1"/>
    <xf numFmtId="0" fontId="32" fillId="0" borderId="6" xfId="0" applyFont="1" applyBorder="1" applyAlignment="1">
      <alignment horizontal="centerContinuous"/>
    </xf>
    <xf numFmtId="0" fontId="33" fillId="0" borderId="6" xfId="0" applyFont="1" applyBorder="1" applyAlignment="1">
      <alignment horizontal="centerContinuous" wrapText="1"/>
    </xf>
    <xf numFmtId="0" fontId="21" fillId="8" borderId="40" xfId="1" applyFont="1" applyFill="1" applyBorder="1" applyAlignment="1">
      <alignment horizontal="center" vertical="center"/>
    </xf>
    <xf numFmtId="0" fontId="21" fillId="8" borderId="30" xfId="1" applyFont="1" applyFill="1" applyBorder="1" applyAlignment="1">
      <alignment horizontal="centerContinuous" vertical="center"/>
    </xf>
    <xf numFmtId="0" fontId="21" fillId="8" borderId="31" xfId="1" applyFont="1" applyFill="1" applyBorder="1" applyAlignment="1">
      <alignment horizontal="centerContinuous" vertical="center"/>
    </xf>
    <xf numFmtId="0" fontId="21" fillId="8" borderId="32" xfId="1" applyFont="1" applyFill="1" applyBorder="1" applyAlignment="1">
      <alignment horizontal="centerContinuous" vertical="center"/>
    </xf>
    <xf numFmtId="0" fontId="5" fillId="0" borderId="24" xfId="1" quotePrefix="1" applyFont="1" applyBorder="1" applyAlignment="1">
      <alignment horizontal="center" vertical="center" wrapText="1"/>
    </xf>
    <xf numFmtId="0" fontId="24" fillId="9" borderId="11" xfId="0" applyFont="1" applyFill="1" applyBorder="1" applyAlignment="1">
      <alignment horizontal="center" vertical="center"/>
    </xf>
    <xf numFmtId="0" fontId="34" fillId="0" borderId="0" xfId="1" applyFont="1" applyAlignment="1">
      <alignment horizontal="left"/>
    </xf>
    <xf numFmtId="0" fontId="13" fillId="0" borderId="17" xfId="1" applyFont="1" applyBorder="1"/>
    <xf numFmtId="0" fontId="36" fillId="2" borderId="0" xfId="1" applyFont="1" applyFill="1"/>
    <xf numFmtId="3" fontId="2" fillId="2" borderId="0" xfId="1" applyNumberFormat="1" applyFont="1" applyFill="1"/>
    <xf numFmtId="0" fontId="2" fillId="2" borderId="0" xfId="1" applyFont="1" applyFill="1"/>
    <xf numFmtId="0" fontId="10" fillId="2" borderId="0" xfId="1" applyFont="1" applyFill="1" applyAlignment="1">
      <alignment vertical="top" wrapText="1"/>
    </xf>
    <xf numFmtId="0" fontId="10" fillId="2" borderId="0" xfId="1" applyFont="1" applyFill="1"/>
    <xf numFmtId="0" fontId="6" fillId="13" borderId="11" xfId="1" applyFont="1" applyFill="1" applyBorder="1" applyAlignment="1">
      <alignment horizontal="center" vertical="center"/>
    </xf>
    <xf numFmtId="3" fontId="6" fillId="13" borderId="11" xfId="1" applyNumberFormat="1" applyFont="1" applyFill="1" applyBorder="1" applyAlignment="1">
      <alignment horizontal="center" vertical="center"/>
    </xf>
    <xf numFmtId="0" fontId="9" fillId="2" borderId="41" xfId="1" applyFont="1" applyFill="1" applyBorder="1" applyAlignment="1">
      <alignment horizontal="center" vertical="center" wrapText="1"/>
    </xf>
    <xf numFmtId="1" fontId="7" fillId="5" borderId="25" xfId="1" applyNumberFormat="1" applyFont="1" applyFill="1" applyBorder="1" applyAlignment="1">
      <alignment horizontal="center" vertical="center"/>
    </xf>
    <xf numFmtId="0" fontId="4" fillId="0" borderId="41" xfId="2" applyFont="1" applyBorder="1" applyAlignment="1">
      <alignment horizontal="center" vertical="center"/>
    </xf>
    <xf numFmtId="0" fontId="9" fillId="2" borderId="24" xfId="1" applyFont="1" applyFill="1" applyBorder="1" applyAlignment="1">
      <alignment horizontal="center" vertical="center" wrapText="1"/>
    </xf>
    <xf numFmtId="0" fontId="4" fillId="0" borderId="24" xfId="2" applyFont="1" applyBorder="1" applyAlignment="1">
      <alignment horizontal="center" vertical="center"/>
    </xf>
    <xf numFmtId="0" fontId="2" fillId="2" borderId="0" xfId="1" applyFont="1" applyFill="1" applyAlignment="1">
      <alignment horizontal="center"/>
    </xf>
    <xf numFmtId="3" fontId="2" fillId="2" borderId="0" xfId="1" applyNumberFormat="1" applyFont="1" applyFill="1" applyAlignment="1">
      <alignment horizontal="center"/>
    </xf>
    <xf numFmtId="0" fontId="37" fillId="0" borderId="0" xfId="2" applyFont="1" applyAlignment="1">
      <alignment horizontal="center" vertical="center"/>
    </xf>
    <xf numFmtId="0" fontId="2" fillId="0" borderId="0" xfId="5" applyFont="1" applyAlignment="1">
      <alignment vertical="center"/>
    </xf>
    <xf numFmtId="0" fontId="38" fillId="0" borderId="0" xfId="5" applyFont="1" applyAlignment="1">
      <alignment horizontal="center" vertical="center"/>
    </xf>
    <xf numFmtId="0" fontId="2" fillId="0" borderId="0" xfId="5" applyFont="1" applyAlignment="1">
      <alignment horizontal="center" vertical="center"/>
    </xf>
    <xf numFmtId="0" fontId="10" fillId="0" borderId="0" xfId="5" applyFont="1" applyAlignment="1">
      <alignment vertical="center"/>
    </xf>
    <xf numFmtId="0" fontId="39" fillId="8" borderId="19" xfId="2" applyFont="1" applyFill="1" applyBorder="1" applyAlignment="1">
      <alignment horizontal="centerContinuous" vertical="center"/>
    </xf>
    <xf numFmtId="0" fontId="39" fillId="8" borderId="0" xfId="2" applyFont="1" applyFill="1" applyAlignment="1">
      <alignment horizontal="centerContinuous" vertical="center"/>
    </xf>
    <xf numFmtId="0" fontId="32" fillId="0" borderId="12" xfId="2" applyFont="1" applyBorder="1" applyAlignment="1">
      <alignment horizontal="centerContinuous"/>
    </xf>
    <xf numFmtId="0" fontId="32" fillId="0" borderId="42" xfId="2" applyFont="1" applyBorder="1" applyAlignment="1">
      <alignment horizontal="centerContinuous"/>
    </xf>
    <xf numFmtId="0" fontId="32" fillId="0" borderId="13" xfId="2" applyFont="1" applyBorder="1" applyAlignment="1">
      <alignment horizontal="centerContinuous"/>
    </xf>
    <xf numFmtId="0" fontId="40" fillId="0" borderId="0" xfId="2" applyFont="1"/>
    <xf numFmtId="0" fontId="33" fillId="0" borderId="0" xfId="2" applyFont="1" applyAlignment="1">
      <alignment wrapText="1"/>
    </xf>
    <xf numFmtId="0" fontId="41" fillId="7" borderId="0" xfId="3" applyFont="1" applyFill="1" applyAlignment="1">
      <alignment horizontal="centerContinuous" vertical="center" wrapText="1"/>
    </xf>
    <xf numFmtId="0" fontId="10" fillId="0" borderId="0" xfId="5" applyFont="1" applyAlignment="1">
      <alignment horizontal="left" vertical="center"/>
    </xf>
    <xf numFmtId="0" fontId="2" fillId="0" borderId="0" xfId="5" applyFont="1" applyAlignment="1">
      <alignment horizontal="left" vertical="center"/>
    </xf>
    <xf numFmtId="0" fontId="42" fillId="0" borderId="0" xfId="6"/>
    <xf numFmtId="0" fontId="39" fillId="6" borderId="6" xfId="3" applyFont="1" applyFill="1" applyBorder="1" applyAlignment="1">
      <alignment horizontal="centerContinuous" vertical="center"/>
    </xf>
    <xf numFmtId="0" fontId="43" fillId="6" borderId="6" xfId="3" applyFont="1" applyFill="1" applyBorder="1" applyAlignment="1">
      <alignment horizontal="centerContinuous" vertical="center"/>
    </xf>
    <xf numFmtId="0" fontId="30" fillId="0" borderId="0" xfId="5" applyFont="1" applyAlignment="1">
      <alignment vertical="center"/>
    </xf>
    <xf numFmtId="0" fontId="45" fillId="0" borderId="0" xfId="5" applyFont="1" applyAlignment="1">
      <alignment horizontal="left" vertical="center"/>
    </xf>
    <xf numFmtId="0" fontId="46" fillId="0" borderId="0" xfId="0" applyFont="1"/>
    <xf numFmtId="165" fontId="23" fillId="0" borderId="15" xfId="1" applyNumberFormat="1" applyFont="1" applyBorder="1" applyAlignment="1">
      <alignment horizontal="left" vertical="center" wrapText="1"/>
    </xf>
    <xf numFmtId="165" fontId="23" fillId="0" borderId="6" xfId="1" applyNumberFormat="1" applyFont="1" applyBorder="1" applyAlignment="1">
      <alignment horizontal="left" vertical="center" wrapText="1"/>
    </xf>
    <xf numFmtId="0" fontId="44" fillId="0" borderId="30" xfId="5" applyFont="1" applyBorder="1" applyAlignment="1">
      <alignment horizontal="left" vertical="top" wrapText="1"/>
    </xf>
    <xf numFmtId="0" fontId="44" fillId="0" borderId="31" xfId="5" applyFont="1" applyBorder="1" applyAlignment="1">
      <alignment horizontal="left" vertical="top" wrapText="1"/>
    </xf>
    <xf numFmtId="0" fontId="44" fillId="0" borderId="32" xfId="5" applyFont="1" applyBorder="1" applyAlignment="1">
      <alignment horizontal="left" vertical="top" wrapText="1"/>
    </xf>
    <xf numFmtId="0" fontId="44" fillId="0" borderId="35" xfId="5" applyFont="1" applyBorder="1" applyAlignment="1">
      <alignment horizontal="left" vertical="top" wrapText="1"/>
    </xf>
    <xf numFmtId="0" fontId="44" fillId="0" borderId="36" xfId="5" applyFont="1" applyBorder="1" applyAlignment="1">
      <alignment horizontal="left" vertical="top" wrapText="1"/>
    </xf>
    <xf numFmtId="0" fontId="44" fillId="0" borderId="37" xfId="5" applyFont="1" applyBorder="1" applyAlignment="1">
      <alignment horizontal="left" vertical="top" wrapText="1"/>
    </xf>
  </cellXfs>
  <cellStyles count="7">
    <cellStyle name="Normal 2" xfId="3" xr:uid="{CCDA6757-D407-4EE9-A2F5-4E038EBAC702}"/>
    <cellStyle name="Normal 2 2" xfId="2" xr:uid="{BB09EF48-CCD4-4BDA-8D17-C33CE6E1318F}"/>
    <cellStyle name="Normal 2 3" xfId="4" xr:uid="{0483E27F-C366-4295-8F06-F45E48299302}"/>
    <cellStyle name="Normal 3 2" xfId="5" xr:uid="{7E4A010D-4F49-4F2B-BF12-69E77521A6D7}"/>
    <cellStyle name="Normal 3 3" xfId="1" xr:uid="{C88915C7-FFDF-4055-87BA-9E5FF413077F}"/>
    <cellStyle name="Normal 4" xfId="6" xr:uid="{9D8F9D63-BBA1-4B16-B031-EE8291C3F0E4}"/>
    <cellStyle name="Normalny" xfId="0" builtinId="0"/>
  </cellStyles>
  <dxfs count="0"/>
  <tableStyles count="1" defaultTableStyle="TableStyleMedium2" defaultPivotStyle="PivotStyleLight16">
    <tableStyle name="Invisible" pivot="0" table="0" count="0" xr9:uid="{85AC6DF2-663C-4EA7-906E-DFE30A529799}"/>
  </tableStyles>
  <colors>
    <mruColors>
      <color rgb="FFBC1F36"/>
      <color rgb="FF161C49"/>
      <color rgb="FF006837"/>
      <color rgb="FF228AB8"/>
      <color rgb="FF0EB9EE"/>
      <color rgb="FFA1D5ED"/>
      <color rgb="FFF7A600"/>
      <color rgb="FFC7D64F"/>
      <color rgb="FF3686CE"/>
      <color rgb="FFD5DB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youtube.com/watch?v=_SLj-y2DEm0" TargetMode="External"/><Relationship Id="rId2" Type="http://schemas.openxmlformats.org/officeDocument/2006/relationships/hyperlink" Target="https://mecc.college/certificate-of-completion/" TargetMode="External"/><Relationship Id="rId1" Type="http://schemas.openxmlformats.org/officeDocument/2006/relationships/hyperlink" Target="https://mecc.college/job-board/" TargetMode="External"/><Relationship Id="rId5" Type="http://schemas.openxmlformats.org/officeDocument/2006/relationships/image" Target="../media/image1.png"/><Relationship Id="rId4" Type="http://schemas.openxmlformats.org/officeDocument/2006/relationships/hyperlink" Target="https://mecc.college/january-battle-feeding-excelopolis-jv/"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19</xdr:col>
      <xdr:colOff>0</xdr:colOff>
      <xdr:row>10</xdr:row>
      <xdr:rowOff>9524</xdr:rowOff>
    </xdr:from>
    <xdr:to>
      <xdr:col>23</xdr:col>
      <xdr:colOff>0</xdr:colOff>
      <xdr:row>12</xdr:row>
      <xdr:rowOff>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9BC7DA3B-4C16-48A5-82DE-1FFD633D20C4}"/>
            </a:ext>
          </a:extLst>
        </xdr:cNvPr>
        <xdr:cNvSpPr/>
      </xdr:nvSpPr>
      <xdr:spPr>
        <a:xfrm>
          <a:off x="13306425" y="3438524"/>
          <a:ext cx="3048000" cy="1514476"/>
        </a:xfrm>
        <a:prstGeom prst="rect">
          <a:avLst/>
        </a:prstGeom>
        <a:solidFill>
          <a:srgbClr val="BC1F36"/>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2000" b="1">
              <a:latin typeface="FUTURA MEDIUM" panose="020B0602020204020303" pitchFamily="34" charset="-79"/>
              <a:cs typeface="FUTURA MEDIUM" panose="020B0602020204020303" pitchFamily="34" charset="-79"/>
            </a:rPr>
            <a:t>Click</a:t>
          </a:r>
          <a:r>
            <a:rPr lang="en-US" sz="2000" b="1" baseline="0">
              <a:latin typeface="FUTURA MEDIUM" panose="020B0602020204020303" pitchFamily="34" charset="-79"/>
              <a:cs typeface="FUTURA MEDIUM" panose="020B0602020204020303" pitchFamily="34" charset="-79"/>
            </a:rPr>
            <a:t> For </a:t>
          </a:r>
        </a:p>
        <a:p>
          <a:pPr algn="ctr"/>
          <a:r>
            <a:rPr lang="en-US" sz="2000" b="1">
              <a:latin typeface="FUTURA MEDIUM" panose="020B0602020204020303" pitchFamily="34" charset="-79"/>
              <a:cs typeface="FUTURA MEDIUM" panose="020B0602020204020303" pitchFamily="34" charset="-79"/>
            </a:rPr>
            <a:t>Job Postings</a:t>
          </a:r>
          <a:endParaRPr lang="en-US" sz="1800" b="1">
            <a:latin typeface="FUTURA MEDIUM" panose="020B0602020204020303" pitchFamily="34" charset="-79"/>
            <a:cs typeface="FUTURA MEDIUM" panose="020B0602020204020303" pitchFamily="34" charset="-79"/>
          </a:endParaRPr>
        </a:p>
      </xdr:txBody>
    </xdr:sp>
    <xdr:clientData/>
  </xdr:twoCellAnchor>
  <xdr:twoCellAnchor>
    <xdr:from>
      <xdr:col>19</xdr:col>
      <xdr:colOff>0</xdr:colOff>
      <xdr:row>13</xdr:row>
      <xdr:rowOff>12698</xdr:rowOff>
    </xdr:from>
    <xdr:to>
      <xdr:col>23</xdr:col>
      <xdr:colOff>0</xdr:colOff>
      <xdr:row>15</xdr:row>
      <xdr:rowOff>-1</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F2E0B6AC-7F7E-4D06-897F-9B9AFA363F17}"/>
            </a:ext>
          </a:extLst>
        </xdr:cNvPr>
        <xdr:cNvSpPr/>
      </xdr:nvSpPr>
      <xdr:spPr>
        <a:xfrm>
          <a:off x="13306425" y="5156198"/>
          <a:ext cx="3048000" cy="1511301"/>
        </a:xfrm>
        <a:prstGeom prst="rect">
          <a:avLst/>
        </a:prstGeom>
        <a:solidFill>
          <a:srgbClr val="BC1F36"/>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2000" b="1">
              <a:latin typeface="FUTURA MEDIUM" panose="020B0602020204020303" pitchFamily="34" charset="-79"/>
              <a:cs typeface="FUTURA MEDIUM" panose="020B0602020204020303" pitchFamily="34" charset="-79"/>
            </a:rPr>
            <a:t>Click</a:t>
          </a:r>
          <a:r>
            <a:rPr lang="en-US" sz="2000" b="1" baseline="0">
              <a:latin typeface="FUTURA MEDIUM" panose="020B0602020204020303" pitchFamily="34" charset="-79"/>
              <a:cs typeface="FUTURA MEDIUM" panose="020B0602020204020303" pitchFamily="34" charset="-79"/>
            </a:rPr>
            <a:t> For More About </a:t>
          </a:r>
        </a:p>
        <a:p>
          <a:pPr algn="ctr"/>
          <a:r>
            <a:rPr lang="en-US" sz="2000" b="1" baseline="0">
              <a:latin typeface="FUTURA MEDIUM" panose="020B0602020204020303" pitchFamily="34" charset="-79"/>
              <a:cs typeface="FUTURA MEDIUM" panose="020B0602020204020303" pitchFamily="34" charset="-79"/>
            </a:rPr>
            <a:t>MECC Badges</a:t>
          </a:r>
          <a:endParaRPr lang="en-US" sz="1800" b="1">
            <a:latin typeface="FUTURA MEDIUM" panose="020B0602020204020303" pitchFamily="34" charset="-79"/>
            <a:cs typeface="FUTURA MEDIUM" panose="020B0602020204020303" pitchFamily="34" charset="-79"/>
          </a:endParaRPr>
        </a:p>
      </xdr:txBody>
    </xdr:sp>
    <xdr:clientData/>
  </xdr:twoCellAnchor>
  <xdr:twoCellAnchor>
    <xdr:from>
      <xdr:col>19</xdr:col>
      <xdr:colOff>0</xdr:colOff>
      <xdr:row>1</xdr:row>
      <xdr:rowOff>17318</xdr:rowOff>
    </xdr:from>
    <xdr:to>
      <xdr:col>23</xdr:col>
      <xdr:colOff>0</xdr:colOff>
      <xdr:row>4</xdr:row>
      <xdr:rowOff>362858</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6BC6376F-3832-4B22-B285-E0CC17D72E8B}"/>
            </a:ext>
          </a:extLst>
        </xdr:cNvPr>
        <xdr:cNvSpPr/>
      </xdr:nvSpPr>
      <xdr:spPr>
        <a:xfrm>
          <a:off x="15185571" y="216889"/>
          <a:ext cx="3483429" cy="1488540"/>
        </a:xfrm>
        <a:prstGeom prst="rect">
          <a:avLst/>
        </a:prstGeom>
        <a:solidFill>
          <a:srgbClr val="BC1F36"/>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2000" b="1">
              <a:latin typeface="FUTURA MEDIUM" panose="020B0602020204020303" pitchFamily="34" charset="-79"/>
              <a:cs typeface="FUTURA MEDIUM" panose="020B0602020204020303" pitchFamily="34" charset="-79"/>
            </a:rPr>
            <a:t>Click</a:t>
          </a:r>
          <a:r>
            <a:rPr lang="en-US" sz="2000" b="1" baseline="0">
              <a:latin typeface="FUTURA MEDIUM" panose="020B0602020204020303" pitchFamily="34" charset="-79"/>
              <a:cs typeface="FUTURA MEDIUM" panose="020B0602020204020303" pitchFamily="34" charset="-79"/>
            </a:rPr>
            <a:t> For </a:t>
          </a:r>
        </a:p>
        <a:p>
          <a:pPr algn="ctr"/>
          <a:r>
            <a:rPr lang="en-US" sz="2000" b="1" baseline="0">
              <a:latin typeface="FUTURA MEDIUM" panose="020B0602020204020303" pitchFamily="34" charset="-79"/>
              <a:cs typeface="FUTURA MEDIUM" panose="020B0602020204020303" pitchFamily="34" charset="-79"/>
            </a:rPr>
            <a:t>Walkthrough Video</a:t>
          </a:r>
          <a:endParaRPr lang="en-US" sz="1800" b="1">
            <a:latin typeface="FUTURA MEDIUM" panose="020B0602020204020303" pitchFamily="34" charset="-79"/>
            <a:cs typeface="FUTURA MEDIUM" panose="020B0602020204020303" pitchFamily="34" charset="-79"/>
          </a:endParaRPr>
        </a:p>
      </xdr:txBody>
    </xdr:sp>
    <xdr:clientData/>
  </xdr:twoCellAnchor>
  <xdr:twoCellAnchor>
    <xdr:from>
      <xdr:col>19</xdr:col>
      <xdr:colOff>0</xdr:colOff>
      <xdr:row>5</xdr:row>
      <xdr:rowOff>217715</xdr:rowOff>
    </xdr:from>
    <xdr:to>
      <xdr:col>23</xdr:col>
      <xdr:colOff>0</xdr:colOff>
      <xdr:row>8</xdr:row>
      <xdr:rowOff>370568</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0D8C07B-7319-4965-84B7-22E7B5D6EC1E}"/>
            </a:ext>
          </a:extLst>
        </xdr:cNvPr>
        <xdr:cNvSpPr/>
      </xdr:nvSpPr>
      <xdr:spPr>
        <a:xfrm>
          <a:off x="15185571" y="1941286"/>
          <a:ext cx="3483429" cy="1295853"/>
        </a:xfrm>
        <a:prstGeom prst="rect">
          <a:avLst/>
        </a:prstGeom>
        <a:solidFill>
          <a:srgbClr val="BC1F36"/>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2000" b="1">
              <a:latin typeface="FUTURA MEDIUM" panose="020B0602020204020303" pitchFamily="34" charset="-79"/>
              <a:cs typeface="FUTURA MEDIUM" panose="020B0602020204020303" pitchFamily="34" charset="-79"/>
            </a:rPr>
            <a:t>Click</a:t>
          </a:r>
          <a:r>
            <a:rPr lang="en-US" sz="2000" b="1" baseline="0">
              <a:latin typeface="FUTURA MEDIUM" panose="020B0602020204020303" pitchFamily="34" charset="-79"/>
              <a:cs typeface="FUTURA MEDIUM" panose="020B0602020204020303" pitchFamily="34" charset="-79"/>
            </a:rPr>
            <a:t> For Additional </a:t>
          </a:r>
        </a:p>
        <a:p>
          <a:pPr algn="ctr"/>
          <a:r>
            <a:rPr lang="en-US" sz="2000" b="1" baseline="0">
              <a:latin typeface="FUTURA MEDIUM" panose="020B0602020204020303" pitchFamily="34" charset="-79"/>
              <a:cs typeface="FUTURA MEDIUM" panose="020B0602020204020303" pitchFamily="34" charset="-79"/>
            </a:rPr>
            <a:t>Case Resources</a:t>
          </a:r>
          <a:endParaRPr lang="en-US" sz="1800" b="1">
            <a:latin typeface="FUTURA MEDIUM" panose="020B0602020204020303" pitchFamily="34" charset="-79"/>
            <a:cs typeface="FUTURA MEDIUM" panose="020B0602020204020303" pitchFamily="34" charset="-79"/>
          </a:endParaRPr>
        </a:p>
      </xdr:txBody>
    </xdr:sp>
    <xdr:clientData/>
  </xdr:twoCellAnchor>
  <xdr:twoCellAnchor editAs="oneCell">
    <xdr:from>
      <xdr:col>1</xdr:col>
      <xdr:colOff>0</xdr:colOff>
      <xdr:row>1</xdr:row>
      <xdr:rowOff>0</xdr:rowOff>
    </xdr:from>
    <xdr:to>
      <xdr:col>12</xdr:col>
      <xdr:colOff>0</xdr:colOff>
      <xdr:row>7</xdr:row>
      <xdr:rowOff>91440</xdr:rowOff>
    </xdr:to>
    <xdr:pic>
      <xdr:nvPicPr>
        <xdr:cNvPr id="7" name="Picture 6">
          <a:extLst>
            <a:ext uri="{FF2B5EF4-FFF2-40B4-BE49-F238E27FC236}">
              <a16:creationId xmlns:a16="http://schemas.microsoft.com/office/drawing/2014/main" id="{BF36A282-C0CB-41D7-8735-23439D0221D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71475" y="190500"/>
          <a:ext cx="8382000" cy="23774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xdr:row>
      <xdr:rowOff>9525</xdr:rowOff>
    </xdr:from>
    <xdr:to>
      <xdr:col>11</xdr:col>
      <xdr:colOff>482600</xdr:colOff>
      <xdr:row>11</xdr:row>
      <xdr:rowOff>125210</xdr:rowOff>
    </xdr:to>
    <xdr:pic>
      <xdr:nvPicPr>
        <xdr:cNvPr id="2" name="Picture 1">
          <a:extLst>
            <a:ext uri="{FF2B5EF4-FFF2-40B4-BE49-F238E27FC236}">
              <a16:creationId xmlns:a16="http://schemas.microsoft.com/office/drawing/2014/main" id="{CABF4291-BD2F-4B37-ADBD-CFC9E38C21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9075" y="1190625"/>
          <a:ext cx="9807575" cy="27826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4</xdr:row>
      <xdr:rowOff>9525</xdr:rowOff>
    </xdr:from>
    <xdr:to>
      <xdr:col>12</xdr:col>
      <xdr:colOff>6350</xdr:colOff>
      <xdr:row>11</xdr:row>
      <xdr:rowOff>125210</xdr:rowOff>
    </xdr:to>
    <xdr:pic>
      <xdr:nvPicPr>
        <xdr:cNvPr id="2" name="Picture 1">
          <a:extLst>
            <a:ext uri="{FF2B5EF4-FFF2-40B4-BE49-F238E27FC236}">
              <a16:creationId xmlns:a16="http://schemas.microsoft.com/office/drawing/2014/main" id="{33F58174-97A1-47D6-AB89-6B9AB9D4F4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9550" y="1190625"/>
          <a:ext cx="9378950" cy="278268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aciej Kopczyński" id="{DAAD135C-5FCB-42A4-879F-EA1B7E77E751}" userId="29f448ec057303af" providerId="Windows Live"/>
</personList>
</file>

<file path=xl/theme/theme1.xml><?xml version="1.0" encoding="utf-8"?>
<a:theme xmlns:a="http://schemas.openxmlformats.org/drawingml/2006/main" name="Motyw pakietu Office 2013–2022">
  <a:themeElements>
    <a:clrScheme name="Pakiet 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2013–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56" dT="2026-03-01T19:57:18.16" personId="{DAAD135C-5FCB-42A4-879F-EA1B7E77E751}" id="{BB6ED529-45F6-468F-ADA7-FD293C1DD2F6}">
    <text>Lub 9</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D9824-76DC-4B38-8E1D-475BD0024843}">
  <sheetPr>
    <tabColor rgb="FFBC1F36"/>
  </sheetPr>
  <dimension ref="A1:XX1000"/>
  <sheetViews>
    <sheetView showGridLines="0" zoomScale="70" zoomScaleNormal="70" zoomScaleSheetLayoutView="100" workbookViewId="0"/>
  </sheetViews>
  <sheetFormatPr defaultColWidth="10.42578125" defaultRowHeight="20.100000000000001" customHeight="1"/>
  <cols>
    <col min="1" max="1" width="5.42578125" style="132" customWidth="1"/>
    <col min="2" max="9" width="11.42578125" style="134" customWidth="1"/>
    <col min="10" max="12" width="11.42578125" style="132" customWidth="1"/>
    <col min="13" max="13" width="5.42578125" style="132" customWidth="1"/>
    <col min="14" max="18" width="11.42578125" style="132" customWidth="1"/>
    <col min="19" max="19" width="5.42578125" style="132" customWidth="1"/>
    <col min="20" max="20" width="11.42578125" style="132" customWidth="1"/>
    <col min="21" max="23" width="11.42578125" style="135" customWidth="1"/>
    <col min="24" max="16384" width="10.42578125" style="135"/>
  </cols>
  <sheetData>
    <row r="1" spans="2:24" ht="15" customHeight="1">
      <c r="B1" s="132"/>
      <c r="C1" s="132"/>
      <c r="D1" s="132"/>
      <c r="E1" s="132"/>
      <c r="F1" s="132"/>
      <c r="G1" s="132"/>
      <c r="H1" s="132"/>
      <c r="I1" s="132"/>
      <c r="P1" s="133"/>
      <c r="Q1" s="134"/>
      <c r="R1" s="134"/>
    </row>
    <row r="2" spans="2:24" ht="30" customHeight="1">
      <c r="B2" s="132"/>
      <c r="C2" s="132"/>
      <c r="D2" s="132"/>
      <c r="E2" s="132"/>
      <c r="F2" s="132"/>
      <c r="G2" s="132"/>
      <c r="H2" s="132"/>
      <c r="I2" s="132"/>
      <c r="N2" s="136" t="s">
        <v>83</v>
      </c>
      <c r="O2" s="137"/>
      <c r="P2" s="137"/>
      <c r="Q2" s="137"/>
      <c r="R2" s="137"/>
    </row>
    <row r="3" spans="2:24" ht="30" customHeight="1">
      <c r="B3" s="132"/>
      <c r="C3" s="132"/>
      <c r="D3" s="132"/>
      <c r="E3" s="132"/>
      <c r="F3" s="132"/>
      <c r="G3" s="132"/>
      <c r="H3" s="132"/>
      <c r="I3" s="132"/>
      <c r="N3" s="138" t="s">
        <v>88</v>
      </c>
      <c r="O3" s="139"/>
      <c r="P3" s="139"/>
      <c r="Q3" s="139"/>
      <c r="R3" s="140"/>
      <c r="S3" s="134"/>
      <c r="T3" s="135"/>
      <c r="W3" s="132"/>
      <c r="X3" s="132"/>
    </row>
    <row r="4" spans="2:24" ht="30" customHeight="1">
      <c r="B4" s="132"/>
      <c r="C4" s="132"/>
      <c r="D4" s="132"/>
      <c r="E4" s="132"/>
      <c r="F4" s="132"/>
      <c r="G4" s="132"/>
      <c r="H4" s="132"/>
      <c r="I4" s="132"/>
      <c r="N4" s="141"/>
      <c r="O4" s="142"/>
      <c r="P4" s="134"/>
      <c r="Q4" s="134"/>
      <c r="R4" s="134"/>
      <c r="S4" s="134"/>
      <c r="T4" s="135"/>
      <c r="W4" s="132"/>
    </row>
    <row r="5" spans="2:24" ht="30" customHeight="1">
      <c r="B5" s="132"/>
      <c r="C5" s="132"/>
      <c r="D5" s="132"/>
      <c r="E5" s="132"/>
      <c r="F5" s="132"/>
      <c r="G5" s="132"/>
      <c r="H5" s="132"/>
      <c r="I5" s="132"/>
      <c r="N5" s="136" t="s">
        <v>84</v>
      </c>
      <c r="O5" s="137"/>
      <c r="P5" s="137"/>
      <c r="Q5" s="137"/>
      <c r="R5" s="137"/>
      <c r="S5" s="134"/>
      <c r="T5" s="135"/>
      <c r="W5" s="132"/>
    </row>
    <row r="6" spans="2:24" ht="30" customHeight="1">
      <c r="B6" s="132"/>
      <c r="C6" s="132"/>
      <c r="D6" s="132"/>
      <c r="E6" s="132"/>
      <c r="F6" s="132"/>
      <c r="G6" s="132"/>
      <c r="H6" s="132"/>
      <c r="I6" s="132"/>
      <c r="N6" s="138" t="s">
        <v>85</v>
      </c>
      <c r="O6" s="139"/>
      <c r="P6" s="139"/>
      <c r="Q6" s="139"/>
      <c r="R6" s="140"/>
      <c r="S6" s="134"/>
      <c r="T6" s="135"/>
      <c r="W6" s="132"/>
      <c r="X6" s="132"/>
    </row>
    <row r="7" spans="2:24" ht="30" customHeight="1">
      <c r="B7" s="132"/>
      <c r="C7" s="132"/>
      <c r="D7" s="132"/>
      <c r="E7" s="132"/>
      <c r="F7" s="132"/>
      <c r="G7" s="132"/>
      <c r="H7" s="132"/>
      <c r="I7" s="132"/>
      <c r="N7" s="138" t="s">
        <v>86</v>
      </c>
      <c r="O7" s="139"/>
      <c r="P7" s="139"/>
      <c r="Q7" s="139"/>
      <c r="R7" s="140"/>
      <c r="T7" s="135"/>
      <c r="W7" s="132"/>
      <c r="X7" s="132"/>
    </row>
    <row r="8" spans="2:24" ht="30" customHeight="1">
      <c r="B8" s="132"/>
      <c r="C8" s="132"/>
      <c r="D8" s="132"/>
      <c r="E8" s="132"/>
      <c r="F8" s="132"/>
      <c r="G8" s="132"/>
      <c r="H8" s="132"/>
      <c r="I8" s="132"/>
      <c r="N8" s="138" t="s">
        <v>87</v>
      </c>
      <c r="O8" s="139"/>
      <c r="P8" s="139"/>
      <c r="Q8" s="139"/>
      <c r="R8" s="140"/>
      <c r="S8" s="135"/>
      <c r="T8" s="135"/>
      <c r="W8" s="132"/>
      <c r="X8" s="132"/>
    </row>
    <row r="9" spans="2:24" ht="30" customHeight="1">
      <c r="B9" s="143" t="s">
        <v>155</v>
      </c>
      <c r="C9" s="143"/>
      <c r="D9" s="143"/>
      <c r="E9" s="143"/>
      <c r="F9" s="143"/>
      <c r="G9" s="143"/>
      <c r="H9" s="143"/>
      <c r="I9" s="143"/>
      <c r="J9" s="143"/>
      <c r="K9" s="143"/>
      <c r="L9" s="143"/>
      <c r="N9" s="138" t="s">
        <v>131</v>
      </c>
      <c r="O9" s="139"/>
      <c r="P9" s="139"/>
      <c r="Q9" s="139"/>
      <c r="R9" s="140"/>
      <c r="S9" s="134"/>
      <c r="T9" s="135"/>
    </row>
    <row r="10" spans="2:24" ht="15" customHeight="1">
      <c r="B10" s="144"/>
      <c r="C10" s="145"/>
      <c r="D10" s="146"/>
      <c r="H10" s="135"/>
      <c r="I10" s="135"/>
      <c r="J10" s="135"/>
      <c r="K10" s="135"/>
      <c r="O10" s="145"/>
      <c r="P10" s="134"/>
      <c r="Q10" s="134"/>
      <c r="R10" s="134"/>
      <c r="S10" s="134"/>
      <c r="T10" s="135"/>
      <c r="W10" s="132"/>
    </row>
    <row r="11" spans="2:24" ht="30" customHeight="1" thickBot="1">
      <c r="B11" s="147" t="s">
        <v>149</v>
      </c>
      <c r="C11" s="148"/>
      <c r="D11" s="148"/>
      <c r="E11" s="148"/>
      <c r="F11" s="148"/>
      <c r="G11" s="148"/>
      <c r="H11" s="148"/>
      <c r="I11" s="148"/>
      <c r="J11" s="148"/>
      <c r="K11" s="148"/>
      <c r="L11" s="148"/>
      <c r="N11" s="147" t="s">
        <v>150</v>
      </c>
      <c r="O11" s="148"/>
      <c r="P11" s="148"/>
      <c r="Q11" s="148"/>
      <c r="R11" s="148"/>
      <c r="U11" s="132"/>
      <c r="V11" s="132"/>
      <c r="W11" s="132"/>
    </row>
    <row r="12" spans="2:24" ht="90" customHeight="1" thickBot="1">
      <c r="B12" s="154" t="s">
        <v>151</v>
      </c>
      <c r="C12" s="155"/>
      <c r="D12" s="155"/>
      <c r="E12" s="155"/>
      <c r="F12" s="155"/>
      <c r="G12" s="155"/>
      <c r="H12" s="155"/>
      <c r="I12" s="155"/>
      <c r="J12" s="155"/>
      <c r="K12" s="155"/>
      <c r="L12" s="156"/>
      <c r="N12" s="157" t="s">
        <v>152</v>
      </c>
      <c r="O12" s="158"/>
      <c r="P12" s="158"/>
      <c r="Q12" s="158"/>
      <c r="R12" s="159"/>
      <c r="S12" s="134"/>
      <c r="T12" s="135"/>
      <c r="W12" s="132"/>
    </row>
    <row r="13" spans="2:24" ht="15" customHeight="1">
      <c r="B13" s="144"/>
      <c r="C13" s="145"/>
      <c r="D13" s="146"/>
      <c r="H13" s="135"/>
      <c r="I13" s="135"/>
      <c r="J13" s="135"/>
      <c r="K13" s="135"/>
      <c r="N13" s="134"/>
      <c r="O13" s="134"/>
      <c r="P13" s="134"/>
      <c r="Q13" s="134"/>
      <c r="R13" s="134"/>
      <c r="S13" s="134"/>
      <c r="T13" s="134"/>
      <c r="U13" s="134"/>
      <c r="V13" s="132"/>
      <c r="W13" s="132"/>
    </row>
    <row r="14" spans="2:24" ht="30" customHeight="1">
      <c r="B14" s="132"/>
      <c r="C14" s="132"/>
      <c r="D14" s="132"/>
      <c r="E14" s="132"/>
      <c r="F14" s="132"/>
      <c r="G14" s="132"/>
      <c r="H14" s="132"/>
      <c r="I14" s="132"/>
      <c r="N14" s="147" t="s">
        <v>153</v>
      </c>
      <c r="O14" s="148"/>
      <c r="P14" s="148"/>
      <c r="Q14" s="148"/>
      <c r="R14" s="148"/>
      <c r="U14" s="132"/>
      <c r="V14" s="132"/>
      <c r="W14" s="132"/>
      <c r="X14" s="132"/>
    </row>
    <row r="15" spans="2:24" ht="90" customHeight="1" thickBot="1">
      <c r="B15" s="144"/>
      <c r="C15" s="145"/>
      <c r="D15" s="146"/>
      <c r="H15" s="135"/>
      <c r="I15" s="135"/>
      <c r="J15" s="135"/>
      <c r="K15" s="135"/>
      <c r="N15" s="157" t="s">
        <v>154</v>
      </c>
      <c r="O15" s="158"/>
      <c r="P15" s="158"/>
      <c r="Q15" s="158"/>
      <c r="R15" s="159"/>
      <c r="S15" s="134"/>
      <c r="T15" s="135"/>
      <c r="W15" s="132"/>
    </row>
    <row r="16" spans="2:24" ht="20.100000000000001" customHeight="1">
      <c r="X16" s="132"/>
    </row>
    <row r="17" spans="1:24" ht="30" customHeight="1">
      <c r="A17" s="135"/>
      <c r="B17" s="135"/>
      <c r="C17" s="135"/>
      <c r="D17" s="135"/>
      <c r="E17" s="135"/>
      <c r="F17" s="135"/>
      <c r="G17" s="135"/>
      <c r="H17" s="135"/>
      <c r="I17" s="135"/>
      <c r="J17" s="135"/>
      <c r="K17" s="135"/>
      <c r="L17" s="135"/>
      <c r="M17" s="135"/>
      <c r="N17" s="135"/>
      <c r="O17" s="135"/>
      <c r="P17" s="135"/>
      <c r="Q17" s="135"/>
      <c r="R17" s="135"/>
      <c r="S17" s="135"/>
      <c r="T17" s="135"/>
      <c r="X17" s="132"/>
    </row>
    <row r="18" spans="1:24" ht="30" customHeight="1">
      <c r="A18" s="135"/>
      <c r="B18" s="135"/>
      <c r="C18" s="135"/>
      <c r="D18" s="135"/>
      <c r="E18" s="135"/>
      <c r="F18" s="135"/>
      <c r="G18" s="135"/>
      <c r="H18" s="135"/>
      <c r="I18" s="135"/>
      <c r="J18" s="135"/>
      <c r="K18" s="135"/>
      <c r="L18" s="135"/>
      <c r="M18" s="135"/>
      <c r="N18" s="135"/>
      <c r="O18" s="135"/>
      <c r="P18" s="135"/>
      <c r="Q18" s="135"/>
      <c r="R18" s="135"/>
      <c r="S18" s="135"/>
      <c r="T18" s="135"/>
      <c r="X18" s="132"/>
    </row>
    <row r="19" spans="1:24" s="149" customFormat="1" ht="30" customHeight="1">
      <c r="N19" s="134"/>
      <c r="O19" s="134"/>
      <c r="P19" s="134"/>
      <c r="Q19" s="134"/>
      <c r="R19" s="134"/>
      <c r="S19" s="134"/>
      <c r="T19" s="134"/>
      <c r="U19" s="134"/>
      <c r="V19" s="132"/>
      <c r="W19" s="132"/>
      <c r="X19" s="132"/>
    </row>
    <row r="20" spans="1:24" ht="30" customHeight="1">
      <c r="A20" s="135"/>
      <c r="B20" s="135"/>
      <c r="C20" s="135"/>
      <c r="D20" s="135"/>
      <c r="E20" s="135"/>
      <c r="F20" s="135"/>
      <c r="G20" s="135"/>
      <c r="H20" s="135"/>
      <c r="I20" s="135"/>
      <c r="J20" s="135"/>
      <c r="K20" s="135"/>
      <c r="L20" s="135"/>
      <c r="M20" s="135"/>
      <c r="N20" s="135"/>
      <c r="O20" s="135"/>
      <c r="P20" s="135"/>
      <c r="Q20" s="135"/>
      <c r="R20" s="134"/>
      <c r="S20" s="134"/>
      <c r="T20" s="134"/>
    </row>
    <row r="21" spans="1:24" ht="30" customHeight="1">
      <c r="A21" s="135"/>
      <c r="B21" s="135"/>
      <c r="C21" s="135"/>
      <c r="D21" s="135"/>
      <c r="E21" s="135"/>
      <c r="F21" s="135"/>
      <c r="G21" s="135"/>
      <c r="H21" s="135"/>
      <c r="I21" s="135"/>
      <c r="J21" s="135"/>
      <c r="K21" s="135"/>
      <c r="L21" s="135"/>
      <c r="M21" s="135"/>
      <c r="N21" s="135"/>
      <c r="O21" s="135"/>
      <c r="P21" s="135"/>
      <c r="Q21" s="135"/>
      <c r="R21" s="134"/>
      <c r="S21" s="134"/>
      <c r="T21" s="134"/>
    </row>
    <row r="22" spans="1:24" ht="30" customHeight="1">
      <c r="A22" s="135"/>
      <c r="B22" s="135"/>
      <c r="C22" s="135"/>
      <c r="D22" s="135"/>
      <c r="E22" s="135"/>
      <c r="F22" s="135"/>
      <c r="G22" s="135"/>
      <c r="H22" s="135"/>
      <c r="I22" s="135"/>
      <c r="J22" s="135"/>
      <c r="K22" s="135"/>
      <c r="L22" s="135"/>
      <c r="M22" s="135"/>
    </row>
    <row r="23" spans="1:24" ht="30" customHeight="1">
      <c r="A23" s="135"/>
      <c r="B23" s="135"/>
      <c r="C23" s="135"/>
      <c r="D23" s="135"/>
      <c r="E23" s="135"/>
      <c r="F23" s="135"/>
      <c r="G23" s="135"/>
      <c r="H23" s="135"/>
      <c r="I23" s="135"/>
      <c r="J23" s="135"/>
      <c r="K23" s="135"/>
      <c r="L23" s="135"/>
      <c r="M23" s="135"/>
    </row>
    <row r="24" spans="1:24" ht="20.100000000000001" customHeight="1">
      <c r="A24" s="135"/>
      <c r="B24" s="135"/>
      <c r="C24" s="135"/>
      <c r="D24" s="135"/>
      <c r="E24" s="135"/>
      <c r="F24" s="135"/>
      <c r="G24" s="135"/>
      <c r="H24" s="135"/>
      <c r="I24" s="135"/>
      <c r="J24" s="135"/>
      <c r="K24" s="135"/>
      <c r="L24" s="135"/>
      <c r="M24" s="135"/>
      <c r="N24" s="135"/>
      <c r="O24" s="135"/>
      <c r="P24" s="135"/>
      <c r="Q24" s="135"/>
      <c r="R24" s="134"/>
      <c r="S24" s="134"/>
      <c r="T24" s="134"/>
    </row>
    <row r="25" spans="1:24" ht="30" customHeight="1">
      <c r="A25" s="135"/>
      <c r="B25" s="135"/>
      <c r="C25" s="135"/>
      <c r="D25" s="135"/>
      <c r="E25" s="135"/>
      <c r="F25" s="135"/>
      <c r="G25" s="135"/>
      <c r="H25" s="135"/>
      <c r="I25" s="135"/>
      <c r="J25" s="135"/>
      <c r="K25" s="135"/>
      <c r="L25" s="135"/>
      <c r="M25" s="135"/>
    </row>
    <row r="26" spans="1:24" ht="89.45" customHeight="1">
      <c r="A26" s="135"/>
      <c r="B26" s="135"/>
      <c r="C26" s="135"/>
      <c r="D26" s="135"/>
      <c r="E26" s="135"/>
      <c r="F26" s="135"/>
      <c r="G26" s="135"/>
      <c r="H26" s="135"/>
      <c r="I26" s="135"/>
      <c r="J26" s="135"/>
      <c r="K26" s="135"/>
      <c r="L26" s="135"/>
      <c r="M26" s="135"/>
      <c r="N26" s="135"/>
      <c r="O26" s="135"/>
      <c r="P26" s="135"/>
      <c r="Q26" s="135"/>
      <c r="R26" s="134"/>
      <c r="S26" s="134"/>
      <c r="T26" s="134"/>
    </row>
    <row r="28" spans="1:24" ht="30" customHeight="1">
      <c r="A28" s="135"/>
      <c r="B28" s="135"/>
      <c r="C28" s="135"/>
      <c r="D28" s="135"/>
      <c r="E28" s="135"/>
      <c r="F28" s="135"/>
      <c r="G28" s="135"/>
      <c r="H28" s="135"/>
      <c r="I28" s="135"/>
      <c r="J28" s="135"/>
      <c r="K28" s="135"/>
      <c r="L28" s="135"/>
      <c r="M28" s="135"/>
    </row>
    <row r="29" spans="1:24" ht="86.45" customHeight="1">
      <c r="A29" s="135"/>
      <c r="B29" s="135"/>
      <c r="C29" s="135"/>
      <c r="D29" s="135"/>
      <c r="E29" s="135"/>
      <c r="F29" s="135"/>
      <c r="G29" s="135"/>
      <c r="H29" s="135"/>
      <c r="I29" s="135"/>
      <c r="J29" s="135"/>
      <c r="K29" s="135"/>
      <c r="L29" s="135"/>
      <c r="M29" s="135"/>
    </row>
    <row r="30" spans="1:24" ht="20.100000000000001" customHeight="1">
      <c r="A30" s="135"/>
      <c r="B30" s="135"/>
      <c r="C30" s="135"/>
      <c r="D30" s="135"/>
      <c r="E30" s="135"/>
      <c r="F30" s="135"/>
      <c r="G30" s="135"/>
      <c r="H30" s="135"/>
      <c r="I30" s="135"/>
      <c r="J30" s="135"/>
      <c r="K30" s="135"/>
      <c r="L30" s="135"/>
      <c r="M30" s="135"/>
    </row>
    <row r="32" spans="1:24" ht="20.100000000000001" customHeight="1">
      <c r="B32" s="132"/>
      <c r="C32" s="132"/>
      <c r="D32" s="132"/>
      <c r="E32" s="132"/>
      <c r="F32" s="132"/>
      <c r="G32" s="132"/>
      <c r="H32" s="132"/>
      <c r="I32" s="132"/>
      <c r="P32" s="133"/>
      <c r="Q32" s="134"/>
      <c r="R32" s="134"/>
    </row>
    <row r="34" spans="2:20" ht="20.100000000000001" customHeight="1">
      <c r="B34" s="150"/>
      <c r="C34" s="145"/>
      <c r="H34" s="135"/>
      <c r="I34" s="135"/>
      <c r="J34" s="135"/>
      <c r="K34" s="135"/>
      <c r="M34" s="135"/>
      <c r="N34" s="135"/>
      <c r="O34" s="135"/>
      <c r="P34" s="135"/>
      <c r="Q34" s="135"/>
      <c r="R34" s="134"/>
      <c r="S34" s="134"/>
      <c r="T34" s="134"/>
    </row>
    <row r="35" spans="2:20" ht="20.100000000000001" customHeight="1">
      <c r="B35" s="144"/>
      <c r="C35" s="145"/>
      <c r="H35" s="135"/>
      <c r="I35" s="135"/>
      <c r="J35" s="135"/>
      <c r="K35" s="135"/>
      <c r="M35" s="135"/>
      <c r="N35" s="135"/>
      <c r="O35" s="135"/>
      <c r="P35" s="135"/>
      <c r="Q35" s="135"/>
      <c r="R35" s="134"/>
      <c r="S35" s="134"/>
      <c r="T35" s="134"/>
    </row>
    <row r="36" spans="2:20" ht="20.100000000000001" customHeight="1">
      <c r="B36" s="144"/>
      <c r="C36" s="145"/>
      <c r="H36" s="135"/>
      <c r="I36" s="135"/>
      <c r="J36" s="135"/>
      <c r="K36" s="135"/>
      <c r="M36" s="135"/>
      <c r="N36" s="135"/>
      <c r="O36" s="135"/>
      <c r="P36" s="135"/>
      <c r="Q36" s="135"/>
      <c r="R36" s="134"/>
      <c r="S36" s="134"/>
      <c r="T36" s="134"/>
    </row>
    <row r="37" spans="2:20" ht="20.100000000000001" customHeight="1">
      <c r="B37" s="144"/>
      <c r="C37" s="145"/>
      <c r="D37" s="146"/>
      <c r="H37" s="135"/>
      <c r="I37" s="135"/>
      <c r="J37" s="135"/>
      <c r="K37" s="135"/>
      <c r="M37" s="135"/>
      <c r="N37" s="135"/>
      <c r="O37" s="135"/>
      <c r="P37" s="135"/>
      <c r="Q37" s="135"/>
      <c r="R37" s="134"/>
      <c r="S37" s="134"/>
      <c r="T37" s="134"/>
    </row>
    <row r="1000" spans="648:648" ht="15">
      <c r="XX1000" s="151">
        <v>125713</v>
      </c>
    </row>
  </sheetData>
  <mergeCells count="3">
    <mergeCell ref="B12:L12"/>
    <mergeCell ref="N12:R12"/>
    <mergeCell ref="N15:R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D5BE6-83EC-4058-9C88-C5D416B680AB}">
  <sheetPr codeName="Sheet4">
    <tabColor rgb="FFBC1F36"/>
    <pageSetUpPr autoPageBreaks="0"/>
  </sheetPr>
  <dimension ref="A1:AWO1000"/>
  <sheetViews>
    <sheetView showGridLines="0" tabSelected="1" topLeftCell="A45" zoomScale="70" zoomScaleNormal="70" workbookViewId="0">
      <selection activeCell="E58" sqref="E58"/>
    </sheetView>
  </sheetViews>
  <sheetFormatPr defaultColWidth="4.140625" defaultRowHeight="15"/>
  <cols>
    <col min="1" max="1" width="4.7109375" style="32" customWidth="1"/>
    <col min="2" max="2" width="12.140625" style="32" customWidth="1"/>
    <col min="3" max="3" width="13" style="32" customWidth="1"/>
    <col min="4" max="4" width="10.42578125" style="32" customWidth="1"/>
    <col min="5" max="5" width="41.85546875" style="32" customWidth="1"/>
    <col min="6" max="6" width="7.5703125" style="32" customWidth="1"/>
    <col min="7" max="10" width="9.7109375" style="32" customWidth="1"/>
    <col min="11" max="15" width="9.7109375" style="33" customWidth="1"/>
    <col min="16" max="31" width="8.42578125" style="33" customWidth="1"/>
    <col min="32" max="53" width="5.140625" style="33" customWidth="1"/>
    <col min="54" max="54" width="11" style="33" customWidth="1"/>
    <col min="55" max="69" width="5.140625" style="33" customWidth="1"/>
    <col min="70" max="70" width="11" style="33" customWidth="1"/>
    <col min="71" max="71" width="5.140625" style="33" customWidth="1"/>
    <col min="72" max="72" width="11.140625" style="33" customWidth="1"/>
    <col min="73" max="131" width="5.140625" style="33" customWidth="1"/>
    <col min="132" max="16384" width="4.140625" style="33"/>
  </cols>
  <sheetData>
    <row r="1" spans="1:18" s="16" customFormat="1" ht="15" customHeight="1">
      <c r="A1" s="16" t="s">
        <v>22</v>
      </c>
    </row>
    <row r="2" spans="1:18" s="16" customFormat="1" ht="33" customHeight="1">
      <c r="B2" s="17" t="s">
        <v>130</v>
      </c>
      <c r="C2" s="18"/>
      <c r="D2" s="18"/>
      <c r="E2" s="18"/>
      <c r="F2" s="18"/>
      <c r="G2" s="18"/>
      <c r="H2" s="18"/>
      <c r="I2" s="18"/>
      <c r="J2" s="18"/>
      <c r="K2" s="18"/>
      <c r="L2" s="18"/>
      <c r="M2" s="18"/>
      <c r="N2" s="18"/>
      <c r="O2" s="18"/>
      <c r="P2" s="18"/>
      <c r="Q2" s="18"/>
      <c r="R2" s="18"/>
    </row>
    <row r="3" spans="1:18" s="16" customFormat="1" ht="15" customHeight="1">
      <c r="E3" s="19"/>
    </row>
    <row r="4" spans="1:18" s="16" customFormat="1" ht="30" customHeight="1">
      <c r="B4" s="20" t="s">
        <v>54</v>
      </c>
      <c r="C4" s="21"/>
      <c r="D4" s="21"/>
      <c r="E4" s="21"/>
      <c r="F4" s="21"/>
      <c r="G4" s="21"/>
      <c r="H4" s="21"/>
      <c r="I4" s="21"/>
      <c r="J4" s="21"/>
      <c r="K4" s="21"/>
      <c r="L4" s="21"/>
      <c r="N4" s="22" t="s">
        <v>83</v>
      </c>
      <c r="O4" s="22"/>
      <c r="P4" s="22"/>
      <c r="Q4" s="22"/>
      <c r="R4" s="22"/>
    </row>
    <row r="5" spans="1:18" s="16" customFormat="1" ht="30" customHeight="1">
      <c r="E5" s="19"/>
      <c r="N5" s="107" t="s">
        <v>88</v>
      </c>
      <c r="O5" s="108"/>
      <c r="P5" s="108"/>
      <c r="Q5" s="108"/>
      <c r="R5" s="108"/>
    </row>
    <row r="6" spans="1:18" s="16" customFormat="1" ht="30" customHeight="1">
      <c r="E6" s="19"/>
    </row>
    <row r="7" spans="1:18" s="16" customFormat="1" ht="30" customHeight="1">
      <c r="E7" s="19"/>
      <c r="N7" s="22" t="s">
        <v>84</v>
      </c>
      <c r="O7" s="22"/>
      <c r="P7" s="22"/>
      <c r="Q7" s="22"/>
      <c r="R7" s="22"/>
    </row>
    <row r="8" spans="1:18" s="16" customFormat="1" ht="30" customHeight="1">
      <c r="E8" s="19"/>
      <c r="N8" s="107" t="s">
        <v>85</v>
      </c>
      <c r="O8" s="108"/>
      <c r="P8" s="108"/>
      <c r="Q8" s="108"/>
      <c r="R8" s="108"/>
    </row>
    <row r="9" spans="1:18" s="16" customFormat="1" ht="30" customHeight="1">
      <c r="E9" s="19"/>
      <c r="N9" s="107" t="s">
        <v>86</v>
      </c>
      <c r="O9" s="108"/>
      <c r="P9" s="108"/>
      <c r="Q9" s="108"/>
      <c r="R9" s="108"/>
    </row>
    <row r="10" spans="1:18" s="16" customFormat="1" ht="30" customHeight="1">
      <c r="E10" s="19"/>
      <c r="N10" s="107" t="s">
        <v>87</v>
      </c>
      <c r="O10" s="108"/>
      <c r="P10" s="108"/>
      <c r="Q10" s="108"/>
      <c r="R10" s="108"/>
    </row>
    <row r="11" spans="1:18" s="16" customFormat="1" ht="30" customHeight="1">
      <c r="E11" s="19"/>
      <c r="N11" s="107" t="s">
        <v>131</v>
      </c>
      <c r="O11" s="108"/>
      <c r="P11" s="108"/>
      <c r="Q11" s="108"/>
      <c r="R11" s="108"/>
    </row>
    <row r="12" spans="1:18" s="16" customFormat="1" ht="30" customHeight="1">
      <c r="E12" s="19"/>
    </row>
    <row r="13" spans="1:18" s="16" customFormat="1" ht="30" customHeight="1">
      <c r="B13" s="23" t="s">
        <v>0</v>
      </c>
      <c r="C13" s="24"/>
      <c r="D13" s="24"/>
      <c r="E13" s="24"/>
      <c r="F13" s="24"/>
      <c r="G13" s="24"/>
      <c r="H13" s="24"/>
      <c r="I13" s="24"/>
      <c r="J13" s="24"/>
      <c r="K13" s="24"/>
      <c r="L13" s="24"/>
      <c r="M13" s="24"/>
      <c r="N13" s="24"/>
      <c r="O13" s="24"/>
      <c r="P13" s="24"/>
      <c r="Q13" s="24"/>
      <c r="R13" s="24"/>
    </row>
    <row r="14" spans="1:18" s="16" customFormat="1" ht="15" customHeight="1">
      <c r="B14" s="25" t="s">
        <v>59</v>
      </c>
      <c r="C14" s="26"/>
      <c r="D14" s="26"/>
      <c r="E14" s="26"/>
      <c r="F14" s="26"/>
      <c r="G14" s="26"/>
      <c r="H14" s="26"/>
      <c r="I14" s="26"/>
      <c r="J14" s="26"/>
      <c r="K14" s="26"/>
      <c r="L14" s="26"/>
      <c r="M14" s="26"/>
      <c r="N14" s="26"/>
      <c r="O14" s="26"/>
      <c r="P14" s="26"/>
      <c r="Q14" s="116"/>
      <c r="R14" s="27"/>
    </row>
    <row r="15" spans="1:18" s="16" customFormat="1" ht="15" customHeight="1">
      <c r="B15" s="28" t="s">
        <v>60</v>
      </c>
      <c r="C15" s="29"/>
      <c r="D15" s="29"/>
      <c r="E15" s="29"/>
      <c r="F15" s="29"/>
      <c r="G15" s="29"/>
      <c r="H15" s="29"/>
      <c r="I15" s="29"/>
      <c r="J15" s="29"/>
      <c r="K15" s="29"/>
      <c r="L15" s="29"/>
      <c r="M15" s="29"/>
      <c r="N15" s="29"/>
      <c r="O15" s="29"/>
      <c r="P15" s="29"/>
      <c r="R15" s="30"/>
    </row>
    <row r="16" spans="1:18" s="16" customFormat="1" ht="15" customHeight="1">
      <c r="B16" s="31"/>
      <c r="R16" s="30"/>
    </row>
    <row r="17" spans="2:18" s="16" customFormat="1" ht="15" customHeight="1">
      <c r="B17" s="31" t="s">
        <v>61</v>
      </c>
      <c r="R17" s="30"/>
    </row>
    <row r="18" spans="2:18" s="16" customFormat="1" ht="15" customHeight="1">
      <c r="B18" s="31" t="s">
        <v>62</v>
      </c>
      <c r="R18" s="30"/>
    </row>
    <row r="19" spans="2:18" s="16" customFormat="1" ht="15" customHeight="1">
      <c r="B19" s="31" t="s">
        <v>63</v>
      </c>
      <c r="R19" s="30"/>
    </row>
    <row r="20" spans="2:18" s="16" customFormat="1" ht="15" customHeight="1">
      <c r="B20" s="31" t="s">
        <v>72</v>
      </c>
      <c r="R20" s="30"/>
    </row>
    <row r="21" spans="2:18" s="16" customFormat="1" ht="15" customHeight="1">
      <c r="B21" s="31" t="s">
        <v>132</v>
      </c>
      <c r="R21" s="30"/>
    </row>
    <row r="22" spans="2:18" s="16" customFormat="1" ht="15" customHeight="1">
      <c r="B22" s="31"/>
      <c r="R22" s="30"/>
    </row>
    <row r="23" spans="2:18" s="16" customFormat="1" ht="15" customHeight="1">
      <c r="B23" s="31" t="s">
        <v>64</v>
      </c>
      <c r="R23" s="30"/>
    </row>
    <row r="24" spans="2:18" s="16" customFormat="1" ht="15" customHeight="1">
      <c r="B24" s="31" t="s">
        <v>65</v>
      </c>
      <c r="R24" s="30"/>
    </row>
    <row r="25" spans="2:18" s="16" customFormat="1" ht="15" customHeight="1">
      <c r="B25" s="31" t="s">
        <v>73</v>
      </c>
      <c r="R25" s="30"/>
    </row>
    <row r="26" spans="2:18" s="16" customFormat="1" ht="15" customHeight="1">
      <c r="B26" s="31" t="s">
        <v>128</v>
      </c>
      <c r="R26" s="30"/>
    </row>
    <row r="27" spans="2:18" s="16" customFormat="1" ht="15" customHeight="1">
      <c r="B27" s="31" t="s">
        <v>133</v>
      </c>
      <c r="R27" s="30"/>
    </row>
    <row r="28" spans="2:18" ht="15.75">
      <c r="B28" s="28"/>
      <c r="R28" s="34"/>
    </row>
    <row r="29" spans="2:18" ht="15.75">
      <c r="B29" s="28" t="s">
        <v>66</v>
      </c>
      <c r="R29" s="34"/>
    </row>
    <row r="30" spans="2:18" ht="15.75">
      <c r="B30" s="28" t="s">
        <v>67</v>
      </c>
      <c r="R30" s="34"/>
    </row>
    <row r="31" spans="2:18" ht="15.75">
      <c r="B31" s="28" t="s">
        <v>68</v>
      </c>
      <c r="R31" s="34"/>
    </row>
    <row r="32" spans="2:18" ht="15.75">
      <c r="B32" s="28" t="s">
        <v>69</v>
      </c>
      <c r="R32" s="34"/>
    </row>
    <row r="33" spans="2:1289" ht="15.75">
      <c r="B33" s="28" t="s">
        <v>70</v>
      </c>
      <c r="R33" s="34"/>
    </row>
    <row r="34" spans="2:1289" ht="15.75">
      <c r="B34" s="28" t="s">
        <v>71</v>
      </c>
      <c r="R34" s="34"/>
    </row>
    <row r="35" spans="2:1289" s="16" customFormat="1" ht="15" customHeight="1">
      <c r="B35" s="35"/>
      <c r="C35" s="36"/>
      <c r="D35" s="36"/>
      <c r="E35" s="36"/>
      <c r="F35" s="36"/>
      <c r="G35" s="36"/>
      <c r="H35" s="36"/>
      <c r="I35" s="36"/>
      <c r="J35" s="36"/>
      <c r="K35" s="36"/>
      <c r="L35" s="36"/>
      <c r="M35" s="36"/>
      <c r="N35" s="36"/>
      <c r="O35" s="36"/>
      <c r="P35" s="36"/>
      <c r="Q35" s="36"/>
      <c r="R35" s="37"/>
    </row>
    <row r="36" spans="2:1289" s="16" customFormat="1" ht="15" customHeight="1" thickBot="1">
      <c r="B36" s="84"/>
      <c r="C36" s="29"/>
      <c r="D36" s="29"/>
      <c r="E36" s="29"/>
      <c r="F36" s="29"/>
      <c r="G36" s="29"/>
      <c r="H36" s="29"/>
      <c r="I36" s="29"/>
      <c r="J36" s="29"/>
      <c r="K36" s="29"/>
      <c r="L36" s="29"/>
      <c r="M36" s="29"/>
      <c r="N36" s="29"/>
      <c r="O36" s="29"/>
      <c r="P36" s="29"/>
      <c r="Q36" s="29"/>
      <c r="R36" s="29"/>
    </row>
    <row r="37" spans="2:1289" s="16" customFormat="1" ht="15" customHeight="1" thickBot="1">
      <c r="B37" s="89" t="s">
        <v>74</v>
      </c>
      <c r="C37" s="90"/>
      <c r="D37" s="90"/>
      <c r="E37" s="90"/>
      <c r="F37" s="91"/>
      <c r="G37" s="29"/>
      <c r="H37" s="29"/>
      <c r="I37" s="89" t="s">
        <v>80</v>
      </c>
      <c r="J37" s="90"/>
      <c r="K37" s="90"/>
      <c r="L37" s="90"/>
      <c r="M37" s="90"/>
      <c r="N37" s="90"/>
      <c r="O37" s="90"/>
      <c r="P37" s="91"/>
      <c r="R37" s="29"/>
    </row>
    <row r="38" spans="2:1289" s="16" customFormat="1" ht="15" customHeight="1" thickBot="1">
      <c r="B38" s="92" t="s">
        <v>75</v>
      </c>
      <c r="C38" s="29"/>
      <c r="D38" s="29"/>
      <c r="E38" s="84" t="s">
        <v>81</v>
      </c>
      <c r="F38" s="93"/>
      <c r="G38" s="29"/>
      <c r="H38" s="29"/>
      <c r="I38" s="88"/>
      <c r="J38" s="88">
        <v>1</v>
      </c>
      <c r="K38" s="88">
        <v>2</v>
      </c>
      <c r="L38" s="88">
        <v>3</v>
      </c>
      <c r="M38" s="88">
        <v>4</v>
      </c>
      <c r="N38" s="88">
        <v>5</v>
      </c>
      <c r="O38" s="88">
        <v>6</v>
      </c>
      <c r="P38" s="88">
        <v>7</v>
      </c>
      <c r="R38" s="29"/>
      <c r="AD38" s="16" cm="1">
        <f t="array" ref="AD38:AG38">_xlfn.UNIQUE(_xlfn.ANCHORARRAY(AD48),1)</f>
        <v>3</v>
      </c>
      <c r="AE38" s="16">
        <v>5</v>
      </c>
      <c r="AF38" s="16">
        <v>2</v>
      </c>
      <c r="AG38" s="16">
        <v>4</v>
      </c>
    </row>
    <row r="39" spans="2:1289" s="16" customFormat="1" ht="15" customHeight="1">
      <c r="B39" s="92" t="s">
        <v>76</v>
      </c>
      <c r="C39" s="29"/>
      <c r="D39" s="29"/>
      <c r="E39" s="84" t="s">
        <v>82</v>
      </c>
      <c r="F39" s="93"/>
      <c r="G39" s="29"/>
      <c r="H39" s="29"/>
      <c r="I39" s="87" t="s">
        <v>1</v>
      </c>
      <c r="J39" s="1">
        <v>3</v>
      </c>
      <c r="K39" s="2">
        <v>1</v>
      </c>
      <c r="L39" s="2">
        <v>2</v>
      </c>
      <c r="M39" s="2">
        <v>2</v>
      </c>
      <c r="N39" s="2">
        <v>2</v>
      </c>
      <c r="O39" s="2">
        <v>1</v>
      </c>
      <c r="P39" s="3">
        <v>2</v>
      </c>
      <c r="R39" s="29"/>
      <c r="AD39" s="16" cm="1">
        <f t="array" ref="AD39:AG39">COUNTIF(_xlfn.ANCHORARRAY(AD48),_xlfn.ANCHORARRAY(AD38))</f>
        <v>294</v>
      </c>
      <c r="AE39" s="16">
        <v>355</v>
      </c>
      <c r="AF39" s="16">
        <v>306</v>
      </c>
      <c r="AG39" s="16">
        <v>305</v>
      </c>
      <c r="AJ39" s="16">
        <f>MAX(_xlfn.ANCHORARRAY(AD39))</f>
        <v>355</v>
      </c>
    </row>
    <row r="40" spans="2:1289" s="16" customFormat="1" ht="15" customHeight="1" thickBot="1">
      <c r="B40" s="94" t="s">
        <v>77</v>
      </c>
      <c r="C40" s="95"/>
      <c r="D40" s="95"/>
      <c r="E40" s="96" t="s">
        <v>134</v>
      </c>
      <c r="F40" s="97"/>
      <c r="G40" s="29"/>
      <c r="H40" s="29"/>
      <c r="I40" s="87" t="s">
        <v>2</v>
      </c>
      <c r="J40" s="4">
        <v>2</v>
      </c>
      <c r="K40" s="15">
        <v>3</v>
      </c>
      <c r="L40" s="15">
        <v>5</v>
      </c>
      <c r="M40" s="15">
        <v>5</v>
      </c>
      <c r="N40" s="15">
        <v>5</v>
      </c>
      <c r="O40" s="15">
        <v>3</v>
      </c>
      <c r="P40" s="5">
        <v>1</v>
      </c>
      <c r="R40" s="29"/>
    </row>
    <row r="41" spans="2:1289" s="16" customFormat="1" ht="15" customHeight="1" thickBot="1">
      <c r="E41" s="29"/>
      <c r="F41" s="29"/>
      <c r="G41" s="29"/>
      <c r="H41" s="29"/>
      <c r="I41" s="87" t="s">
        <v>3</v>
      </c>
      <c r="J41" s="4">
        <v>3</v>
      </c>
      <c r="K41" s="15">
        <v>3</v>
      </c>
      <c r="L41" s="10">
        <v>3</v>
      </c>
      <c r="M41" s="11">
        <v>5</v>
      </c>
      <c r="N41" s="10">
        <v>3</v>
      </c>
      <c r="O41" s="15">
        <v>2</v>
      </c>
      <c r="P41" s="5">
        <v>2</v>
      </c>
      <c r="R41" s="29"/>
    </row>
    <row r="42" spans="2:1289" s="16" customFormat="1" ht="15" customHeight="1" thickBot="1">
      <c r="B42" s="89" t="s">
        <v>21</v>
      </c>
      <c r="C42" s="90"/>
      <c r="D42" s="90"/>
      <c r="E42" s="90"/>
      <c r="F42" s="91"/>
      <c r="G42" s="29"/>
      <c r="H42" s="29"/>
      <c r="I42" s="87" t="s">
        <v>4</v>
      </c>
      <c r="J42" s="4">
        <v>3</v>
      </c>
      <c r="K42" s="15">
        <v>2</v>
      </c>
      <c r="L42" s="12">
        <v>4</v>
      </c>
      <c r="M42" s="9">
        <v>3</v>
      </c>
      <c r="N42" s="13">
        <v>3</v>
      </c>
      <c r="O42" s="15">
        <v>2</v>
      </c>
      <c r="P42" s="5">
        <v>1</v>
      </c>
      <c r="R42" s="29"/>
    </row>
    <row r="43" spans="2:1289" s="16" customFormat="1" ht="15" customHeight="1">
      <c r="B43" s="98"/>
      <c r="C43" s="99" t="s">
        <v>78</v>
      </c>
      <c r="D43" s="100"/>
      <c r="E43" s="100"/>
      <c r="F43" s="101"/>
      <c r="G43" s="29"/>
      <c r="H43" s="29"/>
      <c r="I43" s="87" t="s">
        <v>5</v>
      </c>
      <c r="J43" s="4">
        <v>2</v>
      </c>
      <c r="K43" s="15">
        <v>3</v>
      </c>
      <c r="L43" s="10">
        <v>2</v>
      </c>
      <c r="M43" s="14">
        <v>3</v>
      </c>
      <c r="N43" s="10">
        <v>3</v>
      </c>
      <c r="O43" s="15">
        <v>3</v>
      </c>
      <c r="P43" s="5">
        <v>2</v>
      </c>
      <c r="R43" s="29"/>
    </row>
    <row r="44" spans="2:1289" s="16" customFormat="1" ht="15" customHeight="1">
      <c r="B44" s="102"/>
      <c r="C44" s="99" t="s">
        <v>89</v>
      </c>
      <c r="D44" s="100"/>
      <c r="E44" s="100"/>
      <c r="F44" s="101"/>
      <c r="G44" s="29"/>
      <c r="H44" s="29"/>
      <c r="I44" s="87" t="s">
        <v>6</v>
      </c>
      <c r="J44" s="4">
        <v>1</v>
      </c>
      <c r="K44" s="15">
        <v>2</v>
      </c>
      <c r="L44" s="15">
        <v>2</v>
      </c>
      <c r="M44" s="15">
        <v>3</v>
      </c>
      <c r="N44" s="15">
        <v>3</v>
      </c>
      <c r="O44" s="15">
        <v>2</v>
      </c>
      <c r="P44" s="5">
        <v>3</v>
      </c>
      <c r="R44" s="29"/>
    </row>
    <row r="45" spans="2:1289" s="16" customFormat="1" ht="15.75" customHeight="1" thickBot="1">
      <c r="B45" s="103"/>
      <c r="C45" s="104" t="s">
        <v>79</v>
      </c>
      <c r="D45" s="105"/>
      <c r="E45" s="105"/>
      <c r="F45" s="106"/>
      <c r="G45" s="40"/>
      <c r="H45" s="42"/>
      <c r="I45" s="87" t="s">
        <v>7</v>
      </c>
      <c r="J45" s="6">
        <v>2</v>
      </c>
      <c r="K45" s="7">
        <v>1</v>
      </c>
      <c r="L45" s="7">
        <v>1</v>
      </c>
      <c r="M45" s="7">
        <v>2</v>
      </c>
      <c r="N45" s="7">
        <v>3</v>
      </c>
      <c r="O45" s="7">
        <v>2</v>
      </c>
      <c r="P45" s="8">
        <v>2</v>
      </c>
    </row>
    <row r="46" spans="2:1289" s="16" customFormat="1" ht="15.75" customHeight="1">
      <c r="B46" s="38"/>
      <c r="C46" s="39"/>
      <c r="D46" s="40"/>
      <c r="E46" s="41"/>
      <c r="F46" s="39"/>
      <c r="G46" s="40"/>
      <c r="H46" s="42"/>
      <c r="I46" s="85"/>
      <c r="J46" s="85"/>
      <c r="K46" s="85"/>
      <c r="L46" s="85"/>
      <c r="M46" s="85"/>
      <c r="N46" s="85"/>
      <c r="O46" s="85"/>
      <c r="P46" s="85"/>
      <c r="Q46" s="85"/>
    </row>
    <row r="47" spans="2:1289" s="16" customFormat="1" ht="30" customHeight="1">
      <c r="B47" s="86" t="s">
        <v>23</v>
      </c>
      <c r="C47" s="44"/>
      <c r="D47" s="44"/>
      <c r="E47" s="44"/>
      <c r="F47" s="44"/>
      <c r="G47" s="44"/>
      <c r="H47" s="44"/>
      <c r="I47" s="44"/>
      <c r="J47" s="44"/>
      <c r="K47" s="44"/>
      <c r="L47" s="44"/>
      <c r="M47" s="44"/>
      <c r="N47" s="44"/>
      <c r="O47" s="44"/>
      <c r="P47" s="44"/>
      <c r="Q47" s="44"/>
      <c r="R47" s="44"/>
    </row>
    <row r="48" spans="2:1289" s="16" customFormat="1" ht="15" customHeight="1">
      <c r="E48" s="19"/>
      <c r="AD48" s="16" cm="1">
        <f t="array" ref="AD48:AWO48">_xlfn.TOROW(_xlfn.VSTACK(G76:O95,G112:O131,G148:O167,G185:O204,G260:O279,G222:O241,G302:O321))</f>
        <v>3</v>
      </c>
      <c r="AE48" s="16">
        <v>5</v>
      </c>
      <c r="AF48" s="16">
        <v>3</v>
      </c>
      <c r="AG48" s="16">
        <v>2</v>
      </c>
      <c r="AH48" s="16">
        <v>3</v>
      </c>
      <c r="AI48" s="16">
        <v>2</v>
      </c>
      <c r="AJ48" s="16">
        <v>4</v>
      </c>
      <c r="AK48" s="16">
        <v>5</v>
      </c>
      <c r="AL48" s="16">
        <v>2</v>
      </c>
      <c r="AM48" s="16">
        <v>3</v>
      </c>
      <c r="AN48" s="16">
        <v>2</v>
      </c>
      <c r="AO48" s="16">
        <v>4</v>
      </c>
      <c r="AP48" s="16">
        <v>3</v>
      </c>
      <c r="AQ48" s="16">
        <v>5</v>
      </c>
      <c r="AR48" s="16">
        <v>4</v>
      </c>
      <c r="AS48" s="16">
        <v>3</v>
      </c>
      <c r="AT48" s="16">
        <v>5</v>
      </c>
      <c r="AU48" s="16">
        <v>2</v>
      </c>
      <c r="AV48" s="16">
        <v>3</v>
      </c>
      <c r="AW48" s="16">
        <v>5</v>
      </c>
      <c r="AX48" s="16">
        <v>3</v>
      </c>
      <c r="AY48" s="16">
        <v>4</v>
      </c>
      <c r="AZ48" s="16">
        <v>5</v>
      </c>
      <c r="BA48" s="16">
        <v>5</v>
      </c>
      <c r="BB48" s="16">
        <v>4</v>
      </c>
      <c r="BC48" s="16">
        <v>3</v>
      </c>
      <c r="BD48" s="16">
        <v>3</v>
      </c>
      <c r="BE48" s="16">
        <v>4</v>
      </c>
      <c r="BF48" s="16">
        <v>3</v>
      </c>
      <c r="BG48" s="16">
        <v>5</v>
      </c>
      <c r="BH48" s="16">
        <v>5</v>
      </c>
      <c r="BI48" s="16">
        <v>2</v>
      </c>
      <c r="BJ48" s="16">
        <v>4</v>
      </c>
      <c r="BK48" s="16">
        <v>5</v>
      </c>
      <c r="BL48" s="16">
        <v>4</v>
      </c>
      <c r="BM48" s="16">
        <v>3</v>
      </c>
      <c r="BN48" s="16">
        <v>2</v>
      </c>
      <c r="BO48" s="16">
        <v>3</v>
      </c>
      <c r="BP48" s="16">
        <v>3</v>
      </c>
      <c r="BQ48" s="16">
        <v>5</v>
      </c>
      <c r="BR48" s="16">
        <v>4</v>
      </c>
      <c r="BS48" s="16">
        <v>4</v>
      </c>
      <c r="BT48" s="16">
        <v>2</v>
      </c>
      <c r="BU48" s="16">
        <v>2</v>
      </c>
      <c r="BV48" s="16">
        <v>3</v>
      </c>
      <c r="BW48" s="16">
        <v>4</v>
      </c>
      <c r="BX48" s="16">
        <v>4</v>
      </c>
      <c r="BY48" s="16">
        <v>3</v>
      </c>
      <c r="BZ48" s="16">
        <v>2</v>
      </c>
      <c r="CA48" s="16">
        <v>2</v>
      </c>
      <c r="CB48" s="16">
        <v>4</v>
      </c>
      <c r="CC48" s="16">
        <v>5</v>
      </c>
      <c r="CD48" s="16">
        <v>2</v>
      </c>
      <c r="CE48" s="16">
        <v>5</v>
      </c>
      <c r="CF48" s="16">
        <v>5</v>
      </c>
      <c r="CG48" s="16">
        <v>5</v>
      </c>
      <c r="CH48" s="16">
        <v>4</v>
      </c>
      <c r="CI48" s="16">
        <v>4</v>
      </c>
      <c r="CJ48" s="16">
        <v>2</v>
      </c>
      <c r="CK48" s="16">
        <v>2</v>
      </c>
      <c r="CL48" s="16">
        <v>4</v>
      </c>
      <c r="CM48" s="16">
        <v>2</v>
      </c>
      <c r="CN48" s="16">
        <v>2</v>
      </c>
      <c r="CO48" s="16">
        <v>4</v>
      </c>
      <c r="CP48" s="16">
        <v>3</v>
      </c>
      <c r="CQ48" s="16">
        <v>4</v>
      </c>
      <c r="CR48" s="16">
        <v>5</v>
      </c>
      <c r="CS48" s="16">
        <v>3</v>
      </c>
      <c r="CT48" s="16">
        <v>2</v>
      </c>
      <c r="CU48" s="16">
        <v>2</v>
      </c>
      <c r="CV48" s="16">
        <v>5</v>
      </c>
      <c r="CW48" s="16">
        <v>4</v>
      </c>
      <c r="CX48" s="16">
        <v>5</v>
      </c>
      <c r="CY48" s="16">
        <v>4</v>
      </c>
      <c r="CZ48" s="16">
        <v>3</v>
      </c>
      <c r="DA48" s="16">
        <v>4</v>
      </c>
      <c r="DB48" s="16">
        <v>5</v>
      </c>
      <c r="DC48" s="16">
        <v>2</v>
      </c>
      <c r="DD48" s="16">
        <v>5</v>
      </c>
      <c r="DE48" s="16">
        <v>5</v>
      </c>
      <c r="DF48" s="16">
        <v>4</v>
      </c>
      <c r="DG48" s="16">
        <v>3</v>
      </c>
      <c r="DH48" s="16">
        <v>5</v>
      </c>
      <c r="DI48" s="16">
        <v>2</v>
      </c>
      <c r="DJ48" s="16">
        <v>4</v>
      </c>
      <c r="DK48" s="16">
        <v>5</v>
      </c>
      <c r="DL48" s="16">
        <v>5</v>
      </c>
      <c r="DM48" s="16">
        <v>3</v>
      </c>
      <c r="DN48" s="16">
        <v>2</v>
      </c>
      <c r="DO48" s="16">
        <v>4</v>
      </c>
      <c r="DP48" s="16">
        <v>5</v>
      </c>
      <c r="DQ48" s="16">
        <v>2</v>
      </c>
      <c r="DR48" s="16">
        <v>2</v>
      </c>
      <c r="DS48" s="16">
        <v>3</v>
      </c>
      <c r="DT48" s="16">
        <v>2</v>
      </c>
      <c r="DU48" s="16">
        <v>3</v>
      </c>
      <c r="DV48" s="16">
        <v>5</v>
      </c>
      <c r="DW48" s="16">
        <v>4</v>
      </c>
      <c r="DX48" s="16">
        <v>2</v>
      </c>
      <c r="DY48" s="16">
        <v>5</v>
      </c>
      <c r="DZ48" s="16">
        <v>4</v>
      </c>
      <c r="EA48" s="16">
        <v>5</v>
      </c>
      <c r="EB48" s="16">
        <v>2</v>
      </c>
      <c r="EC48" s="16">
        <v>4</v>
      </c>
      <c r="ED48" s="16">
        <v>5</v>
      </c>
      <c r="EE48" s="16">
        <v>2</v>
      </c>
      <c r="EF48" s="16">
        <v>5</v>
      </c>
      <c r="EG48" s="16">
        <v>2</v>
      </c>
      <c r="EH48" s="16">
        <v>3</v>
      </c>
      <c r="EI48" s="16">
        <v>4</v>
      </c>
      <c r="EJ48" s="16">
        <v>2</v>
      </c>
      <c r="EK48" s="16">
        <v>3</v>
      </c>
      <c r="EL48" s="16">
        <v>2</v>
      </c>
      <c r="EM48" s="16">
        <v>5</v>
      </c>
      <c r="EN48" s="16">
        <v>4</v>
      </c>
      <c r="EO48" s="16">
        <v>3</v>
      </c>
      <c r="EP48" s="16">
        <v>5</v>
      </c>
      <c r="EQ48" s="16">
        <v>4</v>
      </c>
      <c r="ER48" s="16">
        <v>4</v>
      </c>
      <c r="ES48" s="16">
        <v>4</v>
      </c>
      <c r="ET48" s="16">
        <v>3</v>
      </c>
      <c r="EU48" s="16">
        <v>2</v>
      </c>
      <c r="EV48" s="16">
        <v>5</v>
      </c>
      <c r="EW48" s="16">
        <v>5</v>
      </c>
      <c r="EX48" s="16">
        <v>3</v>
      </c>
      <c r="EY48" s="16">
        <v>5</v>
      </c>
      <c r="EZ48" s="16">
        <v>3</v>
      </c>
      <c r="FA48" s="16">
        <v>3</v>
      </c>
      <c r="FB48" s="16">
        <v>3</v>
      </c>
      <c r="FC48" s="16">
        <v>5</v>
      </c>
      <c r="FD48" s="16">
        <v>2</v>
      </c>
      <c r="FE48" s="16">
        <v>5</v>
      </c>
      <c r="FF48" s="16">
        <v>3</v>
      </c>
      <c r="FG48" s="16">
        <v>5</v>
      </c>
      <c r="FH48" s="16">
        <v>5</v>
      </c>
      <c r="FI48" s="16">
        <v>2</v>
      </c>
      <c r="FJ48" s="16">
        <v>3</v>
      </c>
      <c r="FK48" s="16">
        <v>2</v>
      </c>
      <c r="FL48" s="16">
        <v>2</v>
      </c>
      <c r="FM48" s="16">
        <v>5</v>
      </c>
      <c r="FN48" s="16">
        <v>4</v>
      </c>
      <c r="FO48" s="16">
        <v>5</v>
      </c>
      <c r="FP48" s="16">
        <v>5</v>
      </c>
      <c r="FQ48" s="16">
        <v>2</v>
      </c>
      <c r="FR48" s="16">
        <v>3</v>
      </c>
      <c r="FS48" s="16">
        <v>4</v>
      </c>
      <c r="FT48" s="16">
        <v>4</v>
      </c>
      <c r="FU48" s="16">
        <v>3</v>
      </c>
      <c r="FV48" s="16">
        <v>4</v>
      </c>
      <c r="FW48" s="16">
        <v>3</v>
      </c>
      <c r="FX48" s="16">
        <v>4</v>
      </c>
      <c r="FY48" s="16">
        <v>4</v>
      </c>
      <c r="FZ48" s="16">
        <v>4</v>
      </c>
      <c r="GA48" s="16">
        <v>3</v>
      </c>
      <c r="GB48" s="16">
        <v>4</v>
      </c>
      <c r="GC48" s="16">
        <v>5</v>
      </c>
      <c r="GD48" s="16">
        <v>2</v>
      </c>
      <c r="GE48" s="16">
        <v>2</v>
      </c>
      <c r="GF48" s="16">
        <v>5</v>
      </c>
      <c r="GG48" s="16">
        <v>2</v>
      </c>
      <c r="GH48" s="16">
        <v>3</v>
      </c>
      <c r="GI48" s="16">
        <v>3</v>
      </c>
      <c r="GJ48" s="16">
        <v>3</v>
      </c>
      <c r="GK48" s="16">
        <v>3</v>
      </c>
      <c r="GL48" s="16">
        <v>4</v>
      </c>
      <c r="GM48" s="16">
        <v>4</v>
      </c>
      <c r="GN48" s="16">
        <v>2</v>
      </c>
      <c r="GO48" s="16">
        <v>3</v>
      </c>
      <c r="GP48" s="16">
        <v>5</v>
      </c>
      <c r="GQ48" s="16">
        <v>4</v>
      </c>
      <c r="GR48" s="16">
        <v>4</v>
      </c>
      <c r="GS48" s="16">
        <v>5</v>
      </c>
      <c r="GT48" s="16">
        <v>3</v>
      </c>
      <c r="GU48" s="16">
        <v>4</v>
      </c>
      <c r="GV48" s="16">
        <v>4</v>
      </c>
      <c r="GW48" s="16">
        <v>4</v>
      </c>
      <c r="GX48" s="16">
        <v>5</v>
      </c>
      <c r="GY48" s="16">
        <v>4</v>
      </c>
      <c r="GZ48" s="16">
        <v>3</v>
      </c>
      <c r="HA48" s="16">
        <v>2</v>
      </c>
      <c r="HB48" s="16">
        <v>3</v>
      </c>
      <c r="HC48" s="16">
        <v>5</v>
      </c>
      <c r="HD48" s="16">
        <v>2</v>
      </c>
      <c r="HE48" s="16">
        <v>3</v>
      </c>
      <c r="HF48" s="16">
        <v>2</v>
      </c>
      <c r="HG48" s="16">
        <v>2</v>
      </c>
      <c r="HH48" s="16">
        <v>5</v>
      </c>
      <c r="HI48" s="16">
        <v>2</v>
      </c>
      <c r="HJ48" s="16">
        <v>5</v>
      </c>
      <c r="HK48" s="16">
        <v>2</v>
      </c>
      <c r="HL48" s="16">
        <v>2</v>
      </c>
      <c r="HM48" s="16">
        <v>4</v>
      </c>
      <c r="HN48" s="16">
        <v>4</v>
      </c>
      <c r="HO48" s="16">
        <v>4</v>
      </c>
      <c r="HP48" s="16">
        <v>3</v>
      </c>
      <c r="HQ48" s="16">
        <v>2</v>
      </c>
      <c r="HR48" s="16">
        <v>2</v>
      </c>
      <c r="HS48" s="16">
        <v>4</v>
      </c>
      <c r="HT48" s="16">
        <v>4</v>
      </c>
      <c r="HU48" s="16">
        <v>4</v>
      </c>
      <c r="HV48" s="16">
        <v>5</v>
      </c>
      <c r="HW48" s="16">
        <v>2</v>
      </c>
      <c r="HX48" s="16">
        <v>2</v>
      </c>
      <c r="HY48" s="16">
        <v>5</v>
      </c>
      <c r="HZ48" s="16">
        <v>3</v>
      </c>
      <c r="IA48" s="16">
        <v>3</v>
      </c>
      <c r="IB48" s="16">
        <v>2</v>
      </c>
      <c r="IC48" s="16">
        <v>3</v>
      </c>
      <c r="ID48" s="16">
        <v>5</v>
      </c>
      <c r="IE48" s="16">
        <v>3</v>
      </c>
      <c r="IF48" s="16">
        <v>3</v>
      </c>
      <c r="IG48" s="16">
        <v>3</v>
      </c>
      <c r="IH48" s="16">
        <v>5</v>
      </c>
      <c r="II48" s="16">
        <v>5</v>
      </c>
      <c r="IJ48" s="16">
        <v>4</v>
      </c>
      <c r="IK48" s="16">
        <v>5</v>
      </c>
      <c r="IL48" s="16">
        <v>2</v>
      </c>
      <c r="IM48" s="16">
        <v>5</v>
      </c>
      <c r="IN48" s="16">
        <v>4</v>
      </c>
      <c r="IO48" s="16">
        <v>3</v>
      </c>
      <c r="IP48" s="16">
        <v>3</v>
      </c>
      <c r="IQ48" s="16">
        <v>5</v>
      </c>
      <c r="IR48" s="16">
        <v>2</v>
      </c>
      <c r="IS48" s="16">
        <v>2</v>
      </c>
      <c r="IT48" s="16">
        <v>4</v>
      </c>
      <c r="IU48" s="16">
        <v>4</v>
      </c>
      <c r="IV48" s="16">
        <v>3</v>
      </c>
      <c r="IW48" s="16">
        <v>4</v>
      </c>
      <c r="IX48" s="16">
        <v>5</v>
      </c>
      <c r="IY48" s="16">
        <v>2</v>
      </c>
      <c r="IZ48" s="16">
        <v>2</v>
      </c>
      <c r="JA48" s="16">
        <v>5</v>
      </c>
      <c r="JB48" s="16">
        <v>2</v>
      </c>
      <c r="JC48" s="16">
        <v>2</v>
      </c>
      <c r="JD48" s="16">
        <v>2</v>
      </c>
      <c r="JE48" s="16">
        <v>3</v>
      </c>
      <c r="JF48" s="16">
        <v>2</v>
      </c>
      <c r="JG48" s="16">
        <v>2</v>
      </c>
      <c r="JH48" s="16">
        <v>3</v>
      </c>
      <c r="JI48" s="16">
        <v>2</v>
      </c>
      <c r="JJ48" s="16">
        <v>3</v>
      </c>
      <c r="JK48" s="16">
        <v>3</v>
      </c>
      <c r="JL48" s="16">
        <v>3</v>
      </c>
      <c r="JM48" s="16">
        <v>5</v>
      </c>
      <c r="JN48" s="16">
        <v>2</v>
      </c>
      <c r="JO48" s="16">
        <v>5</v>
      </c>
      <c r="JP48" s="16">
        <v>2</v>
      </c>
      <c r="JQ48" s="16">
        <v>4</v>
      </c>
      <c r="JR48" s="16">
        <v>2</v>
      </c>
      <c r="JS48" s="16">
        <v>5</v>
      </c>
      <c r="JT48" s="16">
        <v>3</v>
      </c>
      <c r="JU48" s="16">
        <v>5</v>
      </c>
      <c r="JV48" s="16">
        <v>5</v>
      </c>
      <c r="JW48" s="16">
        <v>2</v>
      </c>
      <c r="JX48" s="16">
        <v>2</v>
      </c>
      <c r="JY48" s="16">
        <v>4</v>
      </c>
      <c r="JZ48" s="16">
        <v>5</v>
      </c>
      <c r="KA48" s="16">
        <v>2</v>
      </c>
      <c r="KB48" s="16">
        <v>2</v>
      </c>
      <c r="KC48" s="16">
        <v>3</v>
      </c>
      <c r="KD48" s="16">
        <v>3</v>
      </c>
      <c r="KE48" s="16">
        <v>2</v>
      </c>
      <c r="KF48" s="16">
        <v>5</v>
      </c>
      <c r="KG48" s="16">
        <v>5</v>
      </c>
      <c r="KH48" s="16">
        <v>2</v>
      </c>
      <c r="KI48" s="16">
        <v>3</v>
      </c>
      <c r="KJ48" s="16">
        <v>5</v>
      </c>
      <c r="KK48" s="16">
        <v>3</v>
      </c>
      <c r="KL48" s="16">
        <v>3</v>
      </c>
      <c r="KM48" s="16">
        <v>4</v>
      </c>
      <c r="KN48" s="16">
        <v>2</v>
      </c>
      <c r="KO48" s="16">
        <v>2</v>
      </c>
      <c r="KP48" s="16">
        <v>5</v>
      </c>
      <c r="KQ48" s="16">
        <v>5</v>
      </c>
      <c r="KR48" s="16">
        <v>5</v>
      </c>
      <c r="KS48" s="16">
        <v>2</v>
      </c>
      <c r="KT48" s="16">
        <v>2</v>
      </c>
      <c r="KU48" s="16">
        <v>3</v>
      </c>
      <c r="KV48" s="16">
        <v>5</v>
      </c>
      <c r="KW48" s="16">
        <v>2</v>
      </c>
      <c r="KX48" s="16">
        <v>2</v>
      </c>
      <c r="KY48" s="16">
        <v>3</v>
      </c>
      <c r="KZ48" s="16">
        <v>5</v>
      </c>
      <c r="LA48" s="16">
        <v>3</v>
      </c>
      <c r="LB48" s="16">
        <v>5</v>
      </c>
      <c r="LC48" s="16">
        <v>3</v>
      </c>
      <c r="LD48" s="16">
        <v>3</v>
      </c>
      <c r="LE48" s="16">
        <v>2</v>
      </c>
      <c r="LF48" s="16">
        <v>5</v>
      </c>
      <c r="LG48" s="16">
        <v>4</v>
      </c>
      <c r="LH48" s="16">
        <v>3</v>
      </c>
      <c r="LI48" s="16">
        <v>3</v>
      </c>
      <c r="LJ48" s="16">
        <v>5</v>
      </c>
      <c r="LK48" s="16">
        <v>5</v>
      </c>
      <c r="LL48" s="16">
        <v>5</v>
      </c>
      <c r="LM48" s="16">
        <v>5</v>
      </c>
      <c r="LN48" s="16">
        <v>3</v>
      </c>
      <c r="LO48" s="16">
        <v>4</v>
      </c>
      <c r="LP48" s="16">
        <v>4</v>
      </c>
      <c r="LQ48" s="16">
        <v>4</v>
      </c>
      <c r="LR48" s="16">
        <v>4</v>
      </c>
      <c r="LS48" s="16">
        <v>4</v>
      </c>
      <c r="LT48" s="16">
        <v>4</v>
      </c>
      <c r="LU48" s="16">
        <v>4</v>
      </c>
      <c r="LV48" s="16">
        <v>4</v>
      </c>
      <c r="LW48" s="16">
        <v>4</v>
      </c>
      <c r="LX48" s="16">
        <v>2</v>
      </c>
      <c r="LY48" s="16">
        <v>4</v>
      </c>
      <c r="LZ48" s="16">
        <v>3</v>
      </c>
      <c r="MA48" s="16">
        <v>3</v>
      </c>
      <c r="MB48" s="16">
        <v>2</v>
      </c>
      <c r="MC48" s="16">
        <v>2</v>
      </c>
      <c r="MD48" s="16">
        <v>4</v>
      </c>
      <c r="ME48" s="16">
        <v>4</v>
      </c>
      <c r="MF48" s="16">
        <v>4</v>
      </c>
      <c r="MG48" s="16">
        <v>5</v>
      </c>
      <c r="MH48" s="16">
        <v>2</v>
      </c>
      <c r="MI48" s="16">
        <v>5</v>
      </c>
      <c r="MJ48" s="16">
        <v>4</v>
      </c>
      <c r="MK48" s="16">
        <v>3</v>
      </c>
      <c r="ML48" s="16">
        <v>2</v>
      </c>
      <c r="MM48" s="16">
        <v>5</v>
      </c>
      <c r="MN48" s="16">
        <v>5</v>
      </c>
      <c r="MO48" s="16">
        <v>4</v>
      </c>
      <c r="MP48" s="16">
        <v>2</v>
      </c>
      <c r="MQ48" s="16">
        <v>2</v>
      </c>
      <c r="MR48" s="16">
        <v>5</v>
      </c>
      <c r="MS48" s="16">
        <v>5</v>
      </c>
      <c r="MT48" s="16">
        <v>2</v>
      </c>
      <c r="MU48" s="16">
        <v>5</v>
      </c>
      <c r="MV48" s="16">
        <v>4</v>
      </c>
      <c r="MW48" s="16">
        <v>5</v>
      </c>
      <c r="MX48" s="16">
        <v>5</v>
      </c>
      <c r="MY48" s="16">
        <v>3</v>
      </c>
      <c r="MZ48" s="16">
        <v>2</v>
      </c>
      <c r="NA48" s="16">
        <v>2</v>
      </c>
      <c r="NB48" s="16">
        <v>3</v>
      </c>
      <c r="NC48" s="16">
        <v>2</v>
      </c>
      <c r="ND48" s="16">
        <v>5</v>
      </c>
      <c r="NE48" s="16">
        <v>5</v>
      </c>
      <c r="NF48" s="16">
        <v>4</v>
      </c>
      <c r="NG48" s="16">
        <v>3</v>
      </c>
      <c r="NH48" s="16">
        <v>3</v>
      </c>
      <c r="NI48" s="16">
        <v>4</v>
      </c>
      <c r="NJ48" s="16">
        <v>2</v>
      </c>
      <c r="NK48" s="16">
        <v>3</v>
      </c>
      <c r="NL48" s="16">
        <v>3</v>
      </c>
      <c r="NM48" s="16">
        <v>3</v>
      </c>
      <c r="NN48" s="16">
        <v>2</v>
      </c>
      <c r="NO48" s="16">
        <v>4</v>
      </c>
      <c r="NP48" s="16">
        <v>4</v>
      </c>
      <c r="NQ48" s="16">
        <v>5</v>
      </c>
      <c r="NR48" s="16">
        <v>4</v>
      </c>
      <c r="NS48" s="16">
        <v>2</v>
      </c>
      <c r="NT48" s="16">
        <v>2</v>
      </c>
      <c r="NU48" s="16">
        <v>4</v>
      </c>
      <c r="NV48" s="16">
        <v>4</v>
      </c>
      <c r="NW48" s="16">
        <v>3</v>
      </c>
      <c r="NX48" s="16">
        <v>4</v>
      </c>
      <c r="NY48" s="16">
        <v>3</v>
      </c>
      <c r="NZ48" s="16">
        <v>5</v>
      </c>
      <c r="OA48" s="16">
        <v>3</v>
      </c>
      <c r="OB48" s="16">
        <v>3</v>
      </c>
      <c r="OC48" s="16">
        <v>3</v>
      </c>
      <c r="OD48" s="16">
        <v>3</v>
      </c>
      <c r="OE48" s="16">
        <v>3</v>
      </c>
      <c r="OF48" s="16">
        <v>2</v>
      </c>
      <c r="OG48" s="16">
        <v>2</v>
      </c>
      <c r="OH48" s="16">
        <v>2</v>
      </c>
      <c r="OI48" s="16">
        <v>5</v>
      </c>
      <c r="OJ48" s="16">
        <v>5</v>
      </c>
      <c r="OK48" s="16">
        <v>3</v>
      </c>
      <c r="OL48" s="16">
        <v>5</v>
      </c>
      <c r="OM48" s="16">
        <v>3</v>
      </c>
      <c r="ON48" s="16">
        <v>4</v>
      </c>
      <c r="OO48" s="16">
        <v>3</v>
      </c>
      <c r="OP48" s="16">
        <v>5</v>
      </c>
      <c r="OQ48" s="16">
        <v>3</v>
      </c>
      <c r="OR48" s="16">
        <v>3</v>
      </c>
      <c r="OS48" s="16">
        <v>2</v>
      </c>
      <c r="OT48" s="16">
        <v>3</v>
      </c>
      <c r="OU48" s="16">
        <v>4</v>
      </c>
      <c r="OV48" s="16">
        <v>3</v>
      </c>
      <c r="OW48" s="16">
        <v>2</v>
      </c>
      <c r="OX48" s="16">
        <v>5</v>
      </c>
      <c r="OY48" s="16">
        <v>2</v>
      </c>
      <c r="OZ48" s="16">
        <v>3</v>
      </c>
      <c r="PA48" s="16">
        <v>5</v>
      </c>
      <c r="PB48" s="16">
        <v>4</v>
      </c>
      <c r="PC48" s="16">
        <v>2</v>
      </c>
      <c r="PD48" s="16">
        <v>2</v>
      </c>
      <c r="PE48" s="16">
        <v>2</v>
      </c>
      <c r="PF48" s="16">
        <v>2</v>
      </c>
      <c r="PG48" s="16">
        <v>2</v>
      </c>
      <c r="PH48" s="16">
        <v>5</v>
      </c>
      <c r="PI48" s="16">
        <v>3</v>
      </c>
      <c r="PJ48" s="16">
        <v>5</v>
      </c>
      <c r="PK48" s="16">
        <v>5</v>
      </c>
      <c r="PL48" s="16">
        <v>5</v>
      </c>
      <c r="PM48" s="16">
        <v>4</v>
      </c>
      <c r="PN48" s="16">
        <v>5</v>
      </c>
      <c r="PO48" s="16">
        <v>3</v>
      </c>
      <c r="PP48" s="16">
        <v>4</v>
      </c>
      <c r="PQ48" s="16">
        <v>3</v>
      </c>
      <c r="PR48" s="16">
        <v>4</v>
      </c>
      <c r="PS48" s="16">
        <v>5</v>
      </c>
      <c r="PT48" s="16">
        <v>4</v>
      </c>
      <c r="PU48" s="16">
        <v>3</v>
      </c>
      <c r="PV48" s="16">
        <v>5</v>
      </c>
      <c r="PW48" s="16">
        <v>2</v>
      </c>
      <c r="PX48" s="16">
        <v>2</v>
      </c>
      <c r="PY48" s="16">
        <v>4</v>
      </c>
      <c r="PZ48" s="16">
        <v>3</v>
      </c>
      <c r="QA48" s="16">
        <v>5</v>
      </c>
      <c r="QB48" s="16">
        <v>5</v>
      </c>
      <c r="QC48" s="16">
        <v>3</v>
      </c>
      <c r="QD48" s="16">
        <v>3</v>
      </c>
      <c r="QE48" s="16">
        <v>3</v>
      </c>
      <c r="QF48" s="16">
        <v>3</v>
      </c>
      <c r="QG48" s="16">
        <v>5</v>
      </c>
      <c r="QH48" s="16">
        <v>5</v>
      </c>
      <c r="QI48" s="16">
        <v>4</v>
      </c>
      <c r="QJ48" s="16">
        <v>5</v>
      </c>
      <c r="QK48" s="16">
        <v>2</v>
      </c>
      <c r="QL48" s="16">
        <v>2</v>
      </c>
      <c r="QM48" s="16">
        <v>2</v>
      </c>
      <c r="QN48" s="16">
        <v>5</v>
      </c>
      <c r="QO48" s="16">
        <v>5</v>
      </c>
      <c r="QP48" s="16">
        <v>2</v>
      </c>
      <c r="QQ48" s="16">
        <v>2</v>
      </c>
      <c r="QR48" s="16">
        <v>5</v>
      </c>
      <c r="QS48" s="16">
        <v>2</v>
      </c>
      <c r="QT48" s="16">
        <v>3</v>
      </c>
      <c r="QU48" s="16">
        <v>5</v>
      </c>
      <c r="QV48" s="16">
        <v>3</v>
      </c>
      <c r="QW48" s="16">
        <v>5</v>
      </c>
      <c r="QX48" s="16">
        <v>4</v>
      </c>
      <c r="QY48" s="16">
        <v>3</v>
      </c>
      <c r="QZ48" s="16">
        <v>3</v>
      </c>
      <c r="RA48" s="16">
        <v>2</v>
      </c>
      <c r="RB48" s="16">
        <v>4</v>
      </c>
      <c r="RC48" s="16">
        <v>4</v>
      </c>
      <c r="RD48" s="16">
        <v>2</v>
      </c>
      <c r="RE48" s="16">
        <v>3</v>
      </c>
      <c r="RF48" s="16">
        <v>4</v>
      </c>
      <c r="RG48" s="16">
        <v>5</v>
      </c>
      <c r="RH48" s="16">
        <v>2</v>
      </c>
      <c r="RI48" s="16">
        <v>2</v>
      </c>
      <c r="RJ48" s="16">
        <v>4</v>
      </c>
      <c r="RK48" s="16">
        <v>4</v>
      </c>
      <c r="RL48" s="16">
        <v>2</v>
      </c>
      <c r="RM48" s="16">
        <v>3</v>
      </c>
      <c r="RN48" s="16">
        <v>3</v>
      </c>
      <c r="RO48" s="16">
        <v>5</v>
      </c>
      <c r="RP48" s="16">
        <v>4</v>
      </c>
      <c r="RQ48" s="16">
        <v>5</v>
      </c>
      <c r="RR48" s="16">
        <v>3</v>
      </c>
      <c r="RS48" s="16">
        <v>3</v>
      </c>
      <c r="RT48" s="16">
        <v>2</v>
      </c>
      <c r="RU48" s="16">
        <v>2</v>
      </c>
      <c r="RV48" s="16">
        <v>2</v>
      </c>
      <c r="RW48" s="16">
        <v>5</v>
      </c>
      <c r="RX48" s="16">
        <v>3</v>
      </c>
      <c r="RY48" s="16">
        <v>4</v>
      </c>
      <c r="RZ48" s="16">
        <v>4</v>
      </c>
      <c r="SA48" s="16">
        <v>2</v>
      </c>
      <c r="SB48" s="16">
        <v>2</v>
      </c>
      <c r="SC48" s="16">
        <v>2</v>
      </c>
      <c r="SD48" s="16">
        <v>5</v>
      </c>
      <c r="SE48" s="16">
        <v>5</v>
      </c>
      <c r="SF48" s="16">
        <v>5</v>
      </c>
      <c r="SG48" s="16">
        <v>5</v>
      </c>
      <c r="SH48" s="16">
        <v>4</v>
      </c>
      <c r="SI48" s="16">
        <v>5</v>
      </c>
      <c r="SJ48" s="16">
        <v>4</v>
      </c>
      <c r="SK48" s="16">
        <v>5</v>
      </c>
      <c r="SL48" s="16">
        <v>5</v>
      </c>
      <c r="SM48" s="16">
        <v>5</v>
      </c>
      <c r="SN48" s="16">
        <v>5</v>
      </c>
      <c r="SO48" s="16">
        <v>3</v>
      </c>
      <c r="SP48" s="16">
        <v>3</v>
      </c>
      <c r="SQ48" s="16">
        <v>4</v>
      </c>
      <c r="SR48" s="16">
        <v>2</v>
      </c>
      <c r="SS48" s="16">
        <v>5</v>
      </c>
      <c r="ST48" s="16">
        <v>4</v>
      </c>
      <c r="SU48" s="16">
        <v>3</v>
      </c>
      <c r="SV48" s="16">
        <v>3</v>
      </c>
      <c r="SW48" s="16">
        <v>4</v>
      </c>
      <c r="SX48" s="16">
        <v>4</v>
      </c>
      <c r="SY48" s="16">
        <v>5</v>
      </c>
      <c r="SZ48" s="16">
        <v>2</v>
      </c>
      <c r="TA48" s="16">
        <v>5</v>
      </c>
      <c r="TB48" s="16">
        <v>4</v>
      </c>
      <c r="TC48" s="16">
        <v>2</v>
      </c>
      <c r="TD48" s="16">
        <v>4</v>
      </c>
      <c r="TE48" s="16">
        <v>2</v>
      </c>
      <c r="TF48" s="16">
        <v>3</v>
      </c>
      <c r="TG48" s="16">
        <v>4</v>
      </c>
      <c r="TH48" s="16">
        <v>2</v>
      </c>
      <c r="TI48" s="16">
        <v>5</v>
      </c>
      <c r="TJ48" s="16">
        <v>4</v>
      </c>
      <c r="TK48" s="16">
        <v>5</v>
      </c>
      <c r="TL48" s="16">
        <v>2</v>
      </c>
      <c r="TM48" s="16">
        <v>5</v>
      </c>
      <c r="TN48" s="16">
        <v>5</v>
      </c>
      <c r="TO48" s="16">
        <v>4</v>
      </c>
      <c r="TP48" s="16">
        <v>2</v>
      </c>
      <c r="TQ48" s="16">
        <v>5</v>
      </c>
      <c r="TR48" s="16">
        <v>3</v>
      </c>
      <c r="TS48" s="16">
        <v>4</v>
      </c>
      <c r="TT48" s="16">
        <v>5</v>
      </c>
      <c r="TU48" s="16">
        <v>3</v>
      </c>
      <c r="TV48" s="16">
        <v>2</v>
      </c>
      <c r="TW48" s="16">
        <v>4</v>
      </c>
      <c r="TX48" s="16">
        <v>2</v>
      </c>
      <c r="TY48" s="16">
        <v>5</v>
      </c>
      <c r="TZ48" s="16">
        <v>2</v>
      </c>
      <c r="UA48" s="16">
        <v>5</v>
      </c>
      <c r="UB48" s="16">
        <v>2</v>
      </c>
      <c r="UC48" s="16">
        <v>4</v>
      </c>
      <c r="UD48" s="16">
        <v>5</v>
      </c>
      <c r="UE48" s="16">
        <v>2</v>
      </c>
      <c r="UF48" s="16">
        <v>3</v>
      </c>
      <c r="UG48" s="16">
        <v>2</v>
      </c>
      <c r="UH48" s="16">
        <v>3</v>
      </c>
      <c r="UI48" s="16">
        <v>3</v>
      </c>
      <c r="UJ48" s="16">
        <v>4</v>
      </c>
      <c r="UK48" s="16">
        <v>2</v>
      </c>
      <c r="UL48" s="16">
        <v>3</v>
      </c>
      <c r="UM48" s="16">
        <v>2</v>
      </c>
      <c r="UN48" s="16">
        <v>5</v>
      </c>
      <c r="UO48" s="16">
        <v>5</v>
      </c>
      <c r="UP48" s="16">
        <v>4</v>
      </c>
      <c r="UQ48" s="16">
        <v>5</v>
      </c>
      <c r="UR48" s="16">
        <v>2</v>
      </c>
      <c r="US48" s="16">
        <v>2</v>
      </c>
      <c r="UT48" s="16">
        <v>5</v>
      </c>
      <c r="UU48" s="16">
        <v>2</v>
      </c>
      <c r="UV48" s="16">
        <v>3</v>
      </c>
      <c r="UW48" s="16">
        <v>5</v>
      </c>
      <c r="UX48" s="16">
        <v>2</v>
      </c>
      <c r="UY48" s="16">
        <v>3</v>
      </c>
      <c r="UZ48" s="16">
        <v>4</v>
      </c>
      <c r="VA48" s="16">
        <v>4</v>
      </c>
      <c r="VB48" s="16">
        <v>4</v>
      </c>
      <c r="VC48" s="16">
        <v>3</v>
      </c>
      <c r="VD48" s="16">
        <v>5</v>
      </c>
      <c r="VE48" s="16">
        <v>3</v>
      </c>
      <c r="VF48" s="16">
        <v>5</v>
      </c>
      <c r="VG48" s="16">
        <v>5</v>
      </c>
      <c r="VH48" s="16">
        <v>5</v>
      </c>
      <c r="VI48" s="16">
        <v>2</v>
      </c>
      <c r="VJ48" s="16">
        <v>3</v>
      </c>
      <c r="VK48" s="16">
        <v>2</v>
      </c>
      <c r="VL48" s="16">
        <v>5</v>
      </c>
      <c r="VM48" s="16">
        <v>4</v>
      </c>
      <c r="VN48" s="16">
        <v>4</v>
      </c>
      <c r="VO48" s="16">
        <v>4</v>
      </c>
      <c r="VP48" s="16">
        <v>2</v>
      </c>
      <c r="VQ48" s="16">
        <v>2</v>
      </c>
      <c r="VR48" s="16">
        <v>2</v>
      </c>
      <c r="VS48" s="16">
        <v>3</v>
      </c>
      <c r="VT48" s="16">
        <v>4</v>
      </c>
      <c r="VU48" s="16">
        <v>2</v>
      </c>
      <c r="VV48" s="16">
        <v>5</v>
      </c>
      <c r="VW48" s="16">
        <v>3</v>
      </c>
      <c r="VX48" s="16">
        <v>2</v>
      </c>
      <c r="VY48" s="16">
        <v>5</v>
      </c>
      <c r="VZ48" s="16">
        <v>3</v>
      </c>
      <c r="WA48" s="16">
        <v>4</v>
      </c>
      <c r="WB48" s="16">
        <v>4</v>
      </c>
      <c r="WC48" s="16">
        <v>5</v>
      </c>
      <c r="WD48" s="16">
        <v>3</v>
      </c>
      <c r="WE48" s="16">
        <v>4</v>
      </c>
      <c r="WF48" s="16">
        <v>4</v>
      </c>
      <c r="WG48" s="16">
        <v>2</v>
      </c>
      <c r="WH48" s="16">
        <v>2</v>
      </c>
      <c r="WI48" s="16">
        <v>4</v>
      </c>
      <c r="WJ48" s="16">
        <v>4</v>
      </c>
      <c r="WK48" s="16">
        <v>2</v>
      </c>
      <c r="WL48" s="16">
        <v>2</v>
      </c>
      <c r="WM48" s="16">
        <v>4</v>
      </c>
      <c r="WN48" s="16">
        <v>4</v>
      </c>
      <c r="WO48" s="16">
        <v>3</v>
      </c>
      <c r="WP48" s="16">
        <v>2</v>
      </c>
      <c r="WQ48" s="16">
        <v>4</v>
      </c>
      <c r="WR48" s="16">
        <v>5</v>
      </c>
      <c r="WS48" s="16">
        <v>4</v>
      </c>
      <c r="WT48" s="16">
        <v>4</v>
      </c>
      <c r="WU48" s="16">
        <v>3</v>
      </c>
      <c r="WV48" s="16">
        <v>5</v>
      </c>
      <c r="WW48" s="16">
        <v>5</v>
      </c>
      <c r="WX48" s="16">
        <v>3</v>
      </c>
      <c r="WY48" s="16">
        <v>5</v>
      </c>
      <c r="WZ48" s="16">
        <v>3</v>
      </c>
      <c r="XA48" s="16">
        <v>4</v>
      </c>
      <c r="XB48" s="16">
        <v>3</v>
      </c>
      <c r="XC48" s="16">
        <v>4</v>
      </c>
      <c r="XD48" s="16">
        <v>2</v>
      </c>
      <c r="XE48" s="16">
        <v>5</v>
      </c>
      <c r="XF48" s="16">
        <v>4</v>
      </c>
      <c r="XG48" s="16">
        <v>3</v>
      </c>
      <c r="XH48" s="16">
        <v>5</v>
      </c>
      <c r="XI48" s="16">
        <v>4</v>
      </c>
      <c r="XJ48" s="16">
        <v>4</v>
      </c>
      <c r="XK48" s="16">
        <v>5</v>
      </c>
      <c r="XL48" s="16">
        <v>2</v>
      </c>
      <c r="XM48" s="16">
        <v>4</v>
      </c>
      <c r="XN48" s="16">
        <v>3</v>
      </c>
      <c r="XO48" s="16">
        <v>5</v>
      </c>
      <c r="XP48" s="16">
        <v>4</v>
      </c>
      <c r="XQ48" s="16">
        <v>2</v>
      </c>
      <c r="XR48" s="16">
        <v>3</v>
      </c>
      <c r="XS48" s="16">
        <v>2</v>
      </c>
      <c r="XT48" s="16">
        <v>5</v>
      </c>
      <c r="XU48" s="16">
        <v>4</v>
      </c>
      <c r="XV48" s="16">
        <v>4</v>
      </c>
      <c r="XW48" s="16">
        <v>2</v>
      </c>
      <c r="XX48" s="16">
        <v>5</v>
      </c>
      <c r="XY48" s="16">
        <v>5</v>
      </c>
      <c r="XZ48" s="16">
        <v>5</v>
      </c>
      <c r="YA48" s="16">
        <v>5</v>
      </c>
      <c r="YB48" s="16">
        <v>2</v>
      </c>
      <c r="YC48" s="16">
        <v>4</v>
      </c>
      <c r="YD48" s="16">
        <v>5</v>
      </c>
      <c r="YE48" s="16">
        <v>3</v>
      </c>
      <c r="YF48" s="16">
        <v>2</v>
      </c>
      <c r="YG48" s="16">
        <v>2</v>
      </c>
      <c r="YH48" s="16">
        <v>3</v>
      </c>
      <c r="YI48" s="16">
        <v>3</v>
      </c>
      <c r="YJ48" s="16">
        <v>5</v>
      </c>
      <c r="YK48" s="16">
        <v>2</v>
      </c>
      <c r="YL48" s="16">
        <v>2</v>
      </c>
      <c r="YM48" s="16">
        <v>4</v>
      </c>
      <c r="YN48" s="16">
        <v>5</v>
      </c>
      <c r="YO48" s="16">
        <v>2</v>
      </c>
      <c r="YP48" s="16">
        <v>5</v>
      </c>
      <c r="YQ48" s="16">
        <v>4</v>
      </c>
      <c r="YR48" s="16">
        <v>4</v>
      </c>
      <c r="YS48" s="16">
        <v>2</v>
      </c>
      <c r="YT48" s="16">
        <v>5</v>
      </c>
      <c r="YU48" s="16">
        <v>3</v>
      </c>
      <c r="YV48" s="16">
        <v>5</v>
      </c>
      <c r="YW48" s="16">
        <v>3</v>
      </c>
      <c r="YX48" s="16">
        <v>3</v>
      </c>
      <c r="YY48" s="16">
        <v>5</v>
      </c>
      <c r="YZ48" s="16">
        <v>2</v>
      </c>
      <c r="ZA48" s="16">
        <v>2</v>
      </c>
      <c r="ZB48" s="16">
        <v>4</v>
      </c>
      <c r="ZC48" s="16">
        <v>4</v>
      </c>
      <c r="ZD48" s="16">
        <v>5</v>
      </c>
      <c r="ZE48" s="16">
        <v>5</v>
      </c>
      <c r="ZF48" s="16">
        <v>3</v>
      </c>
      <c r="ZG48" s="16">
        <v>3</v>
      </c>
      <c r="ZH48" s="16">
        <v>2</v>
      </c>
      <c r="ZI48" s="16">
        <v>4</v>
      </c>
      <c r="ZJ48" s="16">
        <v>4</v>
      </c>
      <c r="ZK48" s="16">
        <v>3</v>
      </c>
      <c r="ZL48" s="16">
        <v>5</v>
      </c>
      <c r="ZM48" s="16">
        <v>3</v>
      </c>
      <c r="ZN48" s="16">
        <v>5</v>
      </c>
      <c r="ZO48" s="16">
        <v>4</v>
      </c>
      <c r="ZP48" s="16">
        <v>3</v>
      </c>
      <c r="ZQ48" s="16">
        <v>2</v>
      </c>
      <c r="ZR48" s="16">
        <v>3</v>
      </c>
      <c r="ZS48" s="16">
        <v>5</v>
      </c>
      <c r="ZT48" s="16">
        <v>5</v>
      </c>
      <c r="ZU48" s="16">
        <v>4</v>
      </c>
      <c r="ZV48" s="16">
        <v>5</v>
      </c>
      <c r="ZW48" s="16">
        <v>5</v>
      </c>
      <c r="ZX48" s="16">
        <v>5</v>
      </c>
      <c r="ZY48" s="16">
        <v>5</v>
      </c>
      <c r="ZZ48" s="16">
        <v>5</v>
      </c>
      <c r="AAA48" s="16">
        <v>4</v>
      </c>
      <c r="AAB48" s="16">
        <v>2</v>
      </c>
      <c r="AAC48" s="16">
        <v>4</v>
      </c>
      <c r="AAD48" s="16">
        <v>5</v>
      </c>
      <c r="AAE48" s="16">
        <v>4</v>
      </c>
      <c r="AAF48" s="16">
        <v>5</v>
      </c>
      <c r="AAG48" s="16">
        <v>5</v>
      </c>
      <c r="AAH48" s="16">
        <v>4</v>
      </c>
      <c r="AAI48" s="16">
        <v>2</v>
      </c>
      <c r="AAJ48" s="16">
        <v>2</v>
      </c>
      <c r="AAK48" s="16">
        <v>5</v>
      </c>
      <c r="AAL48" s="16">
        <v>4</v>
      </c>
      <c r="AAM48" s="16">
        <v>4</v>
      </c>
      <c r="AAN48" s="16">
        <v>3</v>
      </c>
      <c r="AAO48" s="16">
        <v>3</v>
      </c>
      <c r="AAP48" s="16">
        <v>4</v>
      </c>
      <c r="AAQ48" s="16">
        <v>5</v>
      </c>
      <c r="AAR48" s="16">
        <v>3</v>
      </c>
      <c r="AAS48" s="16">
        <v>2</v>
      </c>
      <c r="AAT48" s="16">
        <v>3</v>
      </c>
      <c r="AAU48" s="16">
        <v>3</v>
      </c>
      <c r="AAV48" s="16">
        <v>5</v>
      </c>
      <c r="AAW48" s="16">
        <v>5</v>
      </c>
      <c r="AAX48" s="16">
        <v>3</v>
      </c>
      <c r="AAY48" s="16">
        <v>2</v>
      </c>
      <c r="AAZ48" s="16">
        <v>5</v>
      </c>
      <c r="ABA48" s="16">
        <v>2</v>
      </c>
      <c r="ABB48" s="16">
        <v>2</v>
      </c>
      <c r="ABC48" s="16">
        <v>4</v>
      </c>
      <c r="ABD48" s="16">
        <v>4</v>
      </c>
      <c r="ABE48" s="16">
        <v>3</v>
      </c>
      <c r="ABF48" s="16">
        <v>2</v>
      </c>
      <c r="ABG48" s="16">
        <v>4</v>
      </c>
      <c r="ABH48" s="16">
        <v>5</v>
      </c>
      <c r="ABI48" s="16">
        <v>5</v>
      </c>
      <c r="ABJ48" s="16">
        <v>3</v>
      </c>
      <c r="ABK48" s="16">
        <v>2</v>
      </c>
      <c r="ABL48" s="16">
        <v>5</v>
      </c>
      <c r="ABM48" s="16">
        <v>5</v>
      </c>
      <c r="ABN48" s="16">
        <v>4</v>
      </c>
      <c r="ABO48" s="16">
        <v>3</v>
      </c>
      <c r="ABP48" s="16">
        <v>4</v>
      </c>
      <c r="ABQ48" s="16">
        <v>5</v>
      </c>
      <c r="ABR48" s="16">
        <v>4</v>
      </c>
      <c r="ABS48" s="16">
        <v>4</v>
      </c>
      <c r="ABT48" s="16">
        <v>3</v>
      </c>
      <c r="ABU48" s="16">
        <v>5</v>
      </c>
      <c r="ABV48" s="16">
        <v>3</v>
      </c>
      <c r="ABW48" s="16">
        <v>2</v>
      </c>
      <c r="ABX48" s="16">
        <v>2</v>
      </c>
      <c r="ABY48" s="16">
        <v>4</v>
      </c>
      <c r="ABZ48" s="16">
        <v>3</v>
      </c>
      <c r="ACA48" s="16">
        <v>3</v>
      </c>
      <c r="ACB48" s="16">
        <v>5</v>
      </c>
      <c r="ACC48" s="16">
        <v>5</v>
      </c>
      <c r="ACD48" s="16">
        <v>5</v>
      </c>
      <c r="ACE48" s="16">
        <v>2</v>
      </c>
      <c r="ACF48" s="16">
        <v>5</v>
      </c>
      <c r="ACG48" s="16">
        <v>4</v>
      </c>
      <c r="ACH48" s="16">
        <v>3</v>
      </c>
      <c r="ACI48" s="16">
        <v>5</v>
      </c>
      <c r="ACJ48" s="16">
        <v>3</v>
      </c>
      <c r="ACK48" s="16">
        <v>3</v>
      </c>
      <c r="ACL48" s="16">
        <v>2</v>
      </c>
      <c r="ACM48" s="16">
        <v>2</v>
      </c>
      <c r="ACN48" s="16">
        <v>4</v>
      </c>
      <c r="ACO48" s="16">
        <v>4</v>
      </c>
      <c r="ACP48" s="16">
        <v>5</v>
      </c>
      <c r="ACQ48" s="16">
        <v>2</v>
      </c>
      <c r="ACR48" s="16">
        <v>5</v>
      </c>
      <c r="ACS48" s="16">
        <v>5</v>
      </c>
      <c r="ACT48" s="16">
        <v>4</v>
      </c>
      <c r="ACU48" s="16">
        <v>5</v>
      </c>
      <c r="ACV48" s="16">
        <v>5</v>
      </c>
      <c r="ACW48" s="16">
        <v>3</v>
      </c>
      <c r="ACX48" s="16">
        <v>3</v>
      </c>
      <c r="ACY48" s="16">
        <v>2</v>
      </c>
      <c r="ACZ48" s="16">
        <v>4</v>
      </c>
      <c r="ADA48" s="16">
        <v>5</v>
      </c>
      <c r="ADB48" s="16">
        <v>4</v>
      </c>
      <c r="ADC48" s="16">
        <v>4</v>
      </c>
      <c r="ADD48" s="16">
        <v>4</v>
      </c>
      <c r="ADE48" s="16">
        <v>4</v>
      </c>
      <c r="ADF48" s="16">
        <v>4</v>
      </c>
      <c r="ADG48" s="16">
        <v>5</v>
      </c>
      <c r="ADH48" s="16">
        <v>4</v>
      </c>
      <c r="ADI48" s="16">
        <v>5</v>
      </c>
      <c r="ADJ48" s="16">
        <v>4</v>
      </c>
      <c r="ADK48" s="16">
        <v>3</v>
      </c>
      <c r="ADL48" s="16">
        <v>3</v>
      </c>
      <c r="ADM48" s="16">
        <v>3</v>
      </c>
      <c r="ADN48" s="16">
        <v>3</v>
      </c>
      <c r="ADO48" s="16">
        <v>3</v>
      </c>
      <c r="ADP48" s="16">
        <v>4</v>
      </c>
      <c r="ADQ48" s="16">
        <v>4</v>
      </c>
      <c r="ADR48" s="16">
        <v>5</v>
      </c>
      <c r="ADS48" s="16">
        <v>5</v>
      </c>
      <c r="ADT48" s="16">
        <v>5</v>
      </c>
      <c r="ADU48" s="16">
        <v>3</v>
      </c>
      <c r="ADV48" s="16">
        <v>5</v>
      </c>
      <c r="ADW48" s="16">
        <v>2</v>
      </c>
      <c r="ADX48" s="16">
        <v>5</v>
      </c>
      <c r="ADY48" s="16">
        <v>2</v>
      </c>
      <c r="ADZ48" s="16">
        <v>4</v>
      </c>
      <c r="AEA48" s="16">
        <v>4</v>
      </c>
      <c r="AEB48" s="16">
        <v>3</v>
      </c>
      <c r="AEC48" s="16">
        <v>5</v>
      </c>
      <c r="AED48" s="16">
        <v>4</v>
      </c>
      <c r="AEE48" s="16">
        <v>3</v>
      </c>
      <c r="AEF48" s="16">
        <v>3</v>
      </c>
      <c r="AEG48" s="16">
        <v>4</v>
      </c>
      <c r="AEH48" s="16">
        <v>2</v>
      </c>
      <c r="AEI48" s="16">
        <v>4</v>
      </c>
      <c r="AEJ48" s="16">
        <v>2</v>
      </c>
      <c r="AEK48" s="16">
        <v>3</v>
      </c>
      <c r="AEL48" s="16">
        <v>4</v>
      </c>
      <c r="AEM48" s="16">
        <v>3</v>
      </c>
      <c r="AEN48" s="16">
        <v>2</v>
      </c>
      <c r="AEO48" s="16">
        <v>2</v>
      </c>
      <c r="AEP48" s="16">
        <v>5</v>
      </c>
      <c r="AEQ48" s="16">
        <v>5</v>
      </c>
      <c r="AER48" s="16">
        <v>3</v>
      </c>
      <c r="AES48" s="16">
        <v>3</v>
      </c>
      <c r="AET48" s="16">
        <v>5</v>
      </c>
      <c r="AEU48" s="16">
        <v>2</v>
      </c>
      <c r="AEV48" s="16">
        <v>5</v>
      </c>
      <c r="AEW48" s="16">
        <v>2</v>
      </c>
      <c r="AEX48" s="16">
        <v>5</v>
      </c>
      <c r="AEY48" s="16">
        <v>5</v>
      </c>
      <c r="AEZ48" s="16">
        <v>4</v>
      </c>
      <c r="AFA48" s="16">
        <v>3</v>
      </c>
      <c r="AFB48" s="16">
        <v>3</v>
      </c>
      <c r="AFC48" s="16">
        <v>4</v>
      </c>
      <c r="AFD48" s="16">
        <v>5</v>
      </c>
      <c r="AFE48" s="16">
        <v>5</v>
      </c>
      <c r="AFF48" s="16">
        <v>3</v>
      </c>
      <c r="AFG48" s="16">
        <v>2</v>
      </c>
      <c r="AFH48" s="16">
        <v>5</v>
      </c>
      <c r="AFI48" s="16">
        <v>2</v>
      </c>
      <c r="AFJ48" s="16">
        <v>3</v>
      </c>
      <c r="AFK48" s="16">
        <v>3</v>
      </c>
      <c r="AFL48" s="16">
        <v>5</v>
      </c>
      <c r="AFM48" s="16">
        <v>3</v>
      </c>
      <c r="AFN48" s="16">
        <v>5</v>
      </c>
      <c r="AFO48" s="16">
        <v>3</v>
      </c>
      <c r="AFP48" s="16">
        <v>4</v>
      </c>
      <c r="AFQ48" s="16">
        <v>5</v>
      </c>
      <c r="AFR48" s="16">
        <v>5</v>
      </c>
      <c r="AFS48" s="16">
        <v>4</v>
      </c>
      <c r="AFT48" s="16">
        <v>4</v>
      </c>
      <c r="AFU48" s="16">
        <v>3</v>
      </c>
      <c r="AFV48" s="16">
        <v>4</v>
      </c>
      <c r="AFW48" s="16">
        <v>4</v>
      </c>
      <c r="AFX48" s="16">
        <v>5</v>
      </c>
      <c r="AFY48" s="16">
        <v>3</v>
      </c>
      <c r="AFZ48" s="16">
        <v>4</v>
      </c>
      <c r="AGA48" s="16">
        <v>4</v>
      </c>
      <c r="AGB48" s="16">
        <v>5</v>
      </c>
      <c r="AGC48" s="16">
        <v>3</v>
      </c>
      <c r="AGD48" s="16">
        <v>5</v>
      </c>
      <c r="AGE48" s="16">
        <v>2</v>
      </c>
      <c r="AGF48" s="16">
        <v>3</v>
      </c>
      <c r="AGG48" s="16">
        <v>2</v>
      </c>
      <c r="AGH48" s="16">
        <v>4</v>
      </c>
      <c r="AGI48" s="16">
        <v>2</v>
      </c>
      <c r="AGJ48" s="16">
        <v>3</v>
      </c>
      <c r="AGK48" s="16">
        <v>5</v>
      </c>
      <c r="AGL48" s="16">
        <v>5</v>
      </c>
      <c r="AGM48" s="16">
        <v>2</v>
      </c>
      <c r="AGN48" s="16">
        <v>2</v>
      </c>
      <c r="AGO48" s="16">
        <v>2</v>
      </c>
      <c r="AGP48" s="16">
        <v>2</v>
      </c>
      <c r="AGQ48" s="16">
        <v>5</v>
      </c>
      <c r="AGR48" s="16">
        <v>3</v>
      </c>
      <c r="AGS48" s="16">
        <v>5</v>
      </c>
      <c r="AGT48" s="16">
        <v>2</v>
      </c>
      <c r="AGU48" s="16">
        <v>2</v>
      </c>
      <c r="AGV48" s="16">
        <v>5</v>
      </c>
      <c r="AGW48" s="16">
        <v>3</v>
      </c>
      <c r="AGX48" s="16">
        <v>2</v>
      </c>
      <c r="AGY48" s="16">
        <v>4</v>
      </c>
      <c r="AGZ48" s="16">
        <v>4</v>
      </c>
      <c r="AHA48" s="16">
        <v>5</v>
      </c>
      <c r="AHB48" s="16">
        <v>5</v>
      </c>
      <c r="AHC48" s="16">
        <v>3</v>
      </c>
      <c r="AHD48" s="16">
        <v>2</v>
      </c>
      <c r="AHE48" s="16">
        <v>4</v>
      </c>
      <c r="AHF48" s="16">
        <v>4</v>
      </c>
      <c r="AHG48" s="16">
        <v>5</v>
      </c>
      <c r="AHH48" s="16">
        <v>3</v>
      </c>
      <c r="AHI48" s="16">
        <v>5</v>
      </c>
      <c r="AHJ48" s="16">
        <v>2</v>
      </c>
      <c r="AHK48" s="16">
        <v>5</v>
      </c>
      <c r="AHL48" s="16">
        <v>4</v>
      </c>
      <c r="AHM48" s="16">
        <v>3</v>
      </c>
      <c r="AHN48" s="16">
        <v>3</v>
      </c>
      <c r="AHO48" s="16">
        <v>5</v>
      </c>
      <c r="AHP48" s="16">
        <v>5</v>
      </c>
      <c r="AHQ48" s="16">
        <v>5</v>
      </c>
      <c r="AHR48" s="16">
        <v>3</v>
      </c>
      <c r="AHS48" s="16">
        <v>5</v>
      </c>
      <c r="AHT48" s="16">
        <v>2</v>
      </c>
      <c r="AHU48" s="16">
        <v>3</v>
      </c>
      <c r="AHV48" s="16">
        <v>5</v>
      </c>
      <c r="AHW48" s="16">
        <v>3</v>
      </c>
      <c r="AHX48" s="16">
        <v>2</v>
      </c>
      <c r="AHY48" s="16">
        <v>5</v>
      </c>
      <c r="AHZ48" s="16">
        <v>4</v>
      </c>
      <c r="AIA48" s="16">
        <v>3</v>
      </c>
      <c r="AIB48" s="16">
        <v>4</v>
      </c>
      <c r="AIC48" s="16">
        <v>2</v>
      </c>
      <c r="AID48" s="16">
        <v>3</v>
      </c>
      <c r="AIE48" s="16">
        <v>3</v>
      </c>
      <c r="AIF48" s="16">
        <v>5</v>
      </c>
      <c r="AIG48" s="16">
        <v>4</v>
      </c>
      <c r="AIH48" s="16">
        <v>3</v>
      </c>
      <c r="AII48" s="16">
        <v>5</v>
      </c>
      <c r="AIJ48" s="16">
        <v>5</v>
      </c>
      <c r="AIK48" s="16">
        <v>2</v>
      </c>
      <c r="AIL48" s="16">
        <v>5</v>
      </c>
      <c r="AIM48" s="16">
        <v>3</v>
      </c>
      <c r="AIN48" s="16">
        <v>3</v>
      </c>
      <c r="AIO48" s="16">
        <v>4</v>
      </c>
      <c r="AIP48" s="16">
        <v>2</v>
      </c>
      <c r="AIQ48" s="16">
        <v>3</v>
      </c>
      <c r="AIR48" s="16">
        <v>3</v>
      </c>
      <c r="AIS48" s="16">
        <v>5</v>
      </c>
      <c r="AIT48" s="16">
        <v>2</v>
      </c>
      <c r="AIU48" s="16">
        <v>5</v>
      </c>
      <c r="AIV48" s="16">
        <v>4</v>
      </c>
      <c r="AIW48" s="16">
        <v>5</v>
      </c>
      <c r="AIX48" s="16">
        <v>4</v>
      </c>
      <c r="AIY48" s="16">
        <v>2</v>
      </c>
      <c r="AIZ48" s="16">
        <v>3</v>
      </c>
      <c r="AJA48" s="16">
        <v>3</v>
      </c>
      <c r="AJB48" s="16">
        <v>5</v>
      </c>
      <c r="AJC48" s="16">
        <v>2</v>
      </c>
      <c r="AJD48" s="16">
        <v>5</v>
      </c>
      <c r="AJE48" s="16">
        <v>2</v>
      </c>
      <c r="AJF48" s="16">
        <v>3</v>
      </c>
      <c r="AJG48" s="16">
        <v>4</v>
      </c>
      <c r="AJH48" s="16">
        <v>4</v>
      </c>
      <c r="AJI48" s="16">
        <v>5</v>
      </c>
      <c r="AJJ48" s="16">
        <v>5</v>
      </c>
      <c r="AJK48" s="16">
        <v>2</v>
      </c>
      <c r="AJL48" s="16">
        <v>4</v>
      </c>
      <c r="AJM48" s="16">
        <v>2</v>
      </c>
      <c r="AJN48" s="16">
        <v>3</v>
      </c>
      <c r="AJO48" s="16">
        <v>5</v>
      </c>
      <c r="AJP48" s="16">
        <v>2</v>
      </c>
      <c r="AJQ48" s="16">
        <v>4</v>
      </c>
      <c r="AJR48" s="16">
        <v>5</v>
      </c>
      <c r="AJS48" s="16">
        <v>5</v>
      </c>
      <c r="AJT48" s="16">
        <v>4</v>
      </c>
      <c r="AJU48" s="16">
        <v>5</v>
      </c>
      <c r="AJV48" s="16">
        <v>4</v>
      </c>
      <c r="AJW48" s="16">
        <v>4</v>
      </c>
      <c r="AJX48" s="16">
        <v>3</v>
      </c>
      <c r="AJY48" s="16">
        <v>3</v>
      </c>
      <c r="AJZ48" s="16">
        <v>5</v>
      </c>
      <c r="AKA48" s="16">
        <v>4</v>
      </c>
      <c r="AKB48" s="16">
        <v>3</v>
      </c>
      <c r="AKC48" s="16">
        <v>2</v>
      </c>
      <c r="AKD48" s="16">
        <v>5</v>
      </c>
      <c r="AKE48" s="16">
        <v>4</v>
      </c>
      <c r="AKF48" s="16">
        <v>4</v>
      </c>
      <c r="AKG48" s="16">
        <v>2</v>
      </c>
      <c r="AKH48" s="16">
        <v>3</v>
      </c>
      <c r="AKI48" s="16">
        <v>4</v>
      </c>
      <c r="AKJ48" s="16">
        <v>2</v>
      </c>
      <c r="AKK48" s="16">
        <v>3</v>
      </c>
      <c r="AKL48" s="16">
        <v>5</v>
      </c>
      <c r="AKM48" s="16">
        <v>5</v>
      </c>
      <c r="AKN48" s="16">
        <v>2</v>
      </c>
      <c r="AKO48" s="16">
        <v>3</v>
      </c>
      <c r="AKP48" s="16">
        <v>5</v>
      </c>
      <c r="AKQ48" s="16">
        <v>3</v>
      </c>
      <c r="AKR48" s="16">
        <v>4</v>
      </c>
      <c r="AKS48" s="16">
        <v>4</v>
      </c>
      <c r="AKT48" s="16">
        <v>3</v>
      </c>
      <c r="AKU48" s="16">
        <v>4</v>
      </c>
      <c r="AKV48" s="16">
        <v>2</v>
      </c>
      <c r="AKW48" s="16">
        <v>2</v>
      </c>
      <c r="AKX48" s="16">
        <v>5</v>
      </c>
      <c r="AKY48" s="16">
        <v>5</v>
      </c>
      <c r="AKZ48" s="16">
        <v>5</v>
      </c>
      <c r="ALA48" s="16">
        <v>3</v>
      </c>
      <c r="ALB48" s="16">
        <v>2</v>
      </c>
      <c r="ALC48" s="16">
        <v>2</v>
      </c>
      <c r="ALD48" s="16">
        <v>3</v>
      </c>
      <c r="ALE48" s="16">
        <v>2</v>
      </c>
      <c r="ALF48" s="16">
        <v>4</v>
      </c>
      <c r="ALG48" s="16">
        <v>5</v>
      </c>
      <c r="ALH48" s="16">
        <v>5</v>
      </c>
      <c r="ALI48" s="16">
        <v>4</v>
      </c>
      <c r="ALJ48" s="16">
        <v>5</v>
      </c>
      <c r="ALK48" s="16">
        <v>3</v>
      </c>
      <c r="ALL48" s="16">
        <v>4</v>
      </c>
      <c r="ALM48" s="16">
        <v>5</v>
      </c>
      <c r="ALN48" s="16">
        <v>4</v>
      </c>
      <c r="ALO48" s="16">
        <v>4</v>
      </c>
      <c r="ALP48" s="16">
        <v>4</v>
      </c>
      <c r="ALQ48" s="16">
        <v>3</v>
      </c>
      <c r="ALR48" s="16">
        <v>2</v>
      </c>
      <c r="ALS48" s="16">
        <v>4</v>
      </c>
      <c r="ALT48" s="16">
        <v>4</v>
      </c>
      <c r="ALU48" s="16">
        <v>4</v>
      </c>
      <c r="ALV48" s="16">
        <v>5</v>
      </c>
      <c r="ALW48" s="16">
        <v>4</v>
      </c>
      <c r="ALX48" s="16">
        <v>5</v>
      </c>
      <c r="ALY48" s="16">
        <v>2</v>
      </c>
      <c r="ALZ48" s="16">
        <v>5</v>
      </c>
      <c r="AMA48" s="16">
        <v>5</v>
      </c>
      <c r="AMB48" s="16">
        <v>5</v>
      </c>
      <c r="AMC48" s="16">
        <v>3</v>
      </c>
      <c r="AMD48" s="16">
        <v>5</v>
      </c>
      <c r="AME48" s="16">
        <v>5</v>
      </c>
      <c r="AMF48" s="16">
        <v>5</v>
      </c>
      <c r="AMG48" s="16">
        <v>5</v>
      </c>
      <c r="AMH48" s="16">
        <v>2</v>
      </c>
      <c r="AMI48" s="16">
        <v>2</v>
      </c>
      <c r="AMJ48" s="16">
        <v>4</v>
      </c>
      <c r="AMK48" s="16">
        <v>3</v>
      </c>
      <c r="AML48" s="16">
        <v>3</v>
      </c>
      <c r="AMM48" s="16">
        <v>2</v>
      </c>
      <c r="AMN48" s="16">
        <v>4</v>
      </c>
      <c r="AMO48" s="16">
        <v>3</v>
      </c>
      <c r="AMP48" s="16">
        <v>5</v>
      </c>
      <c r="AMQ48" s="16">
        <v>5</v>
      </c>
      <c r="AMR48" s="16">
        <v>5</v>
      </c>
      <c r="AMS48" s="16">
        <v>3</v>
      </c>
      <c r="AMT48" s="16">
        <v>4</v>
      </c>
      <c r="AMU48" s="16">
        <v>3</v>
      </c>
      <c r="AMV48" s="16">
        <v>5</v>
      </c>
      <c r="AMW48" s="16">
        <v>2</v>
      </c>
      <c r="AMX48" s="16">
        <v>4</v>
      </c>
      <c r="AMY48" s="16">
        <v>4</v>
      </c>
      <c r="AMZ48" s="16">
        <v>2</v>
      </c>
      <c r="ANA48" s="16">
        <v>2</v>
      </c>
      <c r="ANB48" s="16">
        <v>5</v>
      </c>
      <c r="ANC48" s="16">
        <v>4</v>
      </c>
      <c r="AND48" s="16">
        <v>4</v>
      </c>
      <c r="ANE48" s="16">
        <v>4</v>
      </c>
      <c r="ANF48" s="16">
        <v>4</v>
      </c>
      <c r="ANG48" s="16">
        <v>2</v>
      </c>
      <c r="ANH48" s="16">
        <v>5</v>
      </c>
      <c r="ANI48" s="16">
        <v>5</v>
      </c>
      <c r="ANJ48" s="16">
        <v>3</v>
      </c>
      <c r="ANK48" s="16">
        <v>3</v>
      </c>
      <c r="ANL48" s="16">
        <v>3</v>
      </c>
      <c r="ANM48" s="16">
        <v>3</v>
      </c>
      <c r="ANN48" s="16">
        <v>3</v>
      </c>
      <c r="ANO48" s="16">
        <v>5</v>
      </c>
      <c r="ANP48" s="16">
        <v>2</v>
      </c>
      <c r="ANQ48" s="16">
        <v>5</v>
      </c>
      <c r="ANR48" s="16">
        <v>4</v>
      </c>
      <c r="ANS48" s="16">
        <v>5</v>
      </c>
      <c r="ANT48" s="16">
        <v>2</v>
      </c>
      <c r="ANU48" s="16">
        <v>2</v>
      </c>
      <c r="ANV48" s="16">
        <v>2</v>
      </c>
      <c r="ANW48" s="16">
        <v>2</v>
      </c>
      <c r="ANX48" s="16">
        <v>5</v>
      </c>
      <c r="ANY48" s="16">
        <v>5</v>
      </c>
      <c r="ANZ48" s="16">
        <v>3</v>
      </c>
      <c r="AOA48" s="16">
        <v>2</v>
      </c>
      <c r="AOB48" s="16">
        <v>3</v>
      </c>
      <c r="AOC48" s="16">
        <v>3</v>
      </c>
      <c r="AOD48" s="16">
        <v>2</v>
      </c>
      <c r="AOE48" s="16">
        <v>5</v>
      </c>
      <c r="AOF48" s="16">
        <v>2</v>
      </c>
      <c r="AOG48" s="16">
        <v>3</v>
      </c>
      <c r="AOH48" s="16">
        <v>3</v>
      </c>
      <c r="AOI48" s="16">
        <v>2</v>
      </c>
      <c r="AOJ48" s="16">
        <v>3</v>
      </c>
      <c r="AOK48" s="16">
        <v>4</v>
      </c>
      <c r="AOL48" s="16">
        <v>2</v>
      </c>
      <c r="AOM48" s="16">
        <v>5</v>
      </c>
      <c r="AON48" s="16">
        <v>5</v>
      </c>
      <c r="AOO48" s="16">
        <v>5</v>
      </c>
      <c r="AOP48" s="16">
        <v>4</v>
      </c>
      <c r="AOQ48" s="16">
        <v>2</v>
      </c>
      <c r="AOR48" s="16">
        <v>2</v>
      </c>
      <c r="AOS48" s="16">
        <v>2</v>
      </c>
      <c r="AOT48" s="16">
        <v>3</v>
      </c>
      <c r="AOU48" s="16">
        <v>5</v>
      </c>
      <c r="AOV48" s="16">
        <v>5</v>
      </c>
      <c r="AOW48" s="16">
        <v>4</v>
      </c>
      <c r="AOX48" s="16">
        <v>4</v>
      </c>
      <c r="AOY48" s="16">
        <v>4</v>
      </c>
      <c r="AOZ48" s="16">
        <v>2</v>
      </c>
      <c r="APA48" s="16">
        <v>3</v>
      </c>
      <c r="APB48" s="16">
        <v>3</v>
      </c>
      <c r="APC48" s="16">
        <v>5</v>
      </c>
      <c r="APD48" s="16">
        <v>3</v>
      </c>
      <c r="APE48" s="16">
        <v>2</v>
      </c>
      <c r="APF48" s="16">
        <v>4</v>
      </c>
      <c r="APG48" s="16">
        <v>3</v>
      </c>
      <c r="APH48" s="16">
        <v>3</v>
      </c>
      <c r="API48" s="16">
        <v>4</v>
      </c>
      <c r="APJ48" s="16">
        <v>4</v>
      </c>
      <c r="APK48" s="16">
        <v>3</v>
      </c>
      <c r="APL48" s="16">
        <v>5</v>
      </c>
      <c r="APM48" s="16">
        <v>4</v>
      </c>
      <c r="APN48" s="16">
        <v>2</v>
      </c>
      <c r="APO48" s="16">
        <v>4</v>
      </c>
      <c r="APP48" s="16">
        <v>4</v>
      </c>
      <c r="APQ48" s="16">
        <v>4</v>
      </c>
      <c r="APR48" s="16">
        <v>4</v>
      </c>
      <c r="APS48" s="16">
        <v>4</v>
      </c>
      <c r="APT48" s="16">
        <v>2</v>
      </c>
      <c r="APU48" s="16">
        <v>5</v>
      </c>
      <c r="APV48" s="16">
        <v>2</v>
      </c>
      <c r="APW48" s="16">
        <v>4</v>
      </c>
      <c r="APX48" s="16">
        <v>5</v>
      </c>
      <c r="APY48" s="16">
        <v>5</v>
      </c>
      <c r="APZ48" s="16">
        <v>4</v>
      </c>
      <c r="AQA48" s="16">
        <v>2</v>
      </c>
      <c r="AQB48" s="16">
        <v>5</v>
      </c>
      <c r="AQC48" s="16">
        <v>2</v>
      </c>
      <c r="AQD48" s="16">
        <v>3</v>
      </c>
      <c r="AQE48" s="16">
        <v>2</v>
      </c>
      <c r="AQF48" s="16">
        <v>2</v>
      </c>
      <c r="AQG48" s="16">
        <v>2</v>
      </c>
      <c r="AQH48" s="16">
        <v>3</v>
      </c>
      <c r="AQI48" s="16">
        <v>5</v>
      </c>
      <c r="AQJ48" s="16">
        <v>3</v>
      </c>
      <c r="AQK48" s="16">
        <v>4</v>
      </c>
      <c r="AQL48" s="16">
        <v>2</v>
      </c>
      <c r="AQM48" s="16">
        <v>3</v>
      </c>
      <c r="AQN48" s="16">
        <v>2</v>
      </c>
      <c r="AQO48" s="16">
        <v>5</v>
      </c>
      <c r="AQP48" s="16">
        <v>2</v>
      </c>
      <c r="AQQ48" s="16">
        <v>3</v>
      </c>
      <c r="AQR48" s="16">
        <v>4</v>
      </c>
      <c r="AQS48" s="16">
        <v>2</v>
      </c>
      <c r="AQT48" s="16">
        <v>4</v>
      </c>
      <c r="AQU48" s="16">
        <v>4</v>
      </c>
      <c r="AQV48" s="16">
        <v>2</v>
      </c>
      <c r="AQW48" s="16">
        <v>5</v>
      </c>
      <c r="AQX48" s="16">
        <v>4</v>
      </c>
      <c r="AQY48" s="16">
        <v>4</v>
      </c>
      <c r="AQZ48" s="16">
        <v>4</v>
      </c>
      <c r="ARA48" s="16">
        <v>2</v>
      </c>
      <c r="ARB48" s="16">
        <v>4</v>
      </c>
      <c r="ARC48" s="16">
        <v>5</v>
      </c>
      <c r="ARD48" s="16">
        <v>3</v>
      </c>
      <c r="ARE48" s="16">
        <v>3</v>
      </c>
      <c r="ARF48" s="16">
        <v>5</v>
      </c>
      <c r="ARG48" s="16">
        <v>3</v>
      </c>
      <c r="ARH48" s="16">
        <v>5</v>
      </c>
      <c r="ARI48" s="16">
        <v>2</v>
      </c>
      <c r="ARJ48" s="16">
        <v>5</v>
      </c>
      <c r="ARK48" s="16">
        <v>2</v>
      </c>
      <c r="ARL48" s="16">
        <v>4</v>
      </c>
      <c r="ARM48" s="16">
        <v>2</v>
      </c>
      <c r="ARN48" s="16">
        <v>3</v>
      </c>
      <c r="ARO48" s="16">
        <v>2</v>
      </c>
      <c r="ARP48" s="16">
        <v>4</v>
      </c>
      <c r="ARQ48" s="16">
        <v>3</v>
      </c>
      <c r="ARR48" s="16">
        <v>3</v>
      </c>
      <c r="ARS48" s="16">
        <v>2</v>
      </c>
      <c r="ART48" s="16">
        <v>3</v>
      </c>
      <c r="ARU48" s="16">
        <v>2</v>
      </c>
      <c r="ARV48" s="16">
        <v>4</v>
      </c>
      <c r="ARW48" s="16">
        <v>2</v>
      </c>
      <c r="ARX48" s="16">
        <v>5</v>
      </c>
      <c r="ARY48" s="16">
        <v>4</v>
      </c>
      <c r="ARZ48" s="16">
        <v>2</v>
      </c>
      <c r="ASA48" s="16">
        <v>3</v>
      </c>
      <c r="ASB48" s="16">
        <v>5</v>
      </c>
      <c r="ASC48" s="16">
        <v>3</v>
      </c>
      <c r="ASD48" s="16">
        <v>2</v>
      </c>
      <c r="ASE48" s="16">
        <v>5</v>
      </c>
      <c r="ASF48" s="16">
        <v>3</v>
      </c>
      <c r="ASG48" s="16">
        <v>5</v>
      </c>
      <c r="ASH48" s="16">
        <v>2</v>
      </c>
      <c r="ASI48" s="16">
        <v>4</v>
      </c>
      <c r="ASJ48" s="16">
        <v>5</v>
      </c>
      <c r="ASK48" s="16">
        <v>3</v>
      </c>
      <c r="ASL48" s="16">
        <v>5</v>
      </c>
      <c r="ASM48" s="16">
        <v>5</v>
      </c>
      <c r="ASN48" s="16">
        <v>3</v>
      </c>
      <c r="ASO48" s="16">
        <v>4</v>
      </c>
      <c r="ASP48" s="16">
        <v>2</v>
      </c>
      <c r="ASQ48" s="16">
        <v>4</v>
      </c>
      <c r="ASR48" s="16">
        <v>5</v>
      </c>
      <c r="ASS48" s="16">
        <v>4</v>
      </c>
      <c r="AST48" s="16">
        <v>2</v>
      </c>
      <c r="ASU48" s="16">
        <v>5</v>
      </c>
      <c r="ASV48" s="16">
        <v>2</v>
      </c>
      <c r="ASW48" s="16">
        <v>3</v>
      </c>
      <c r="ASX48" s="16">
        <v>5</v>
      </c>
      <c r="ASY48" s="16">
        <v>3</v>
      </c>
      <c r="ASZ48" s="16">
        <v>4</v>
      </c>
      <c r="ATA48" s="16">
        <v>5</v>
      </c>
      <c r="ATB48" s="16">
        <v>4</v>
      </c>
      <c r="ATC48" s="16">
        <v>2</v>
      </c>
      <c r="ATD48" s="16">
        <v>4</v>
      </c>
      <c r="ATE48" s="16">
        <v>4</v>
      </c>
      <c r="ATF48" s="16">
        <v>5</v>
      </c>
      <c r="ATG48" s="16">
        <v>2</v>
      </c>
      <c r="ATH48" s="16">
        <v>4</v>
      </c>
      <c r="ATI48" s="16">
        <v>5</v>
      </c>
      <c r="ATJ48" s="16">
        <v>5</v>
      </c>
      <c r="ATK48" s="16">
        <v>3</v>
      </c>
      <c r="ATL48" s="16">
        <v>5</v>
      </c>
      <c r="ATM48" s="16">
        <v>5</v>
      </c>
      <c r="ATN48" s="16">
        <v>5</v>
      </c>
      <c r="ATO48" s="16">
        <v>2</v>
      </c>
      <c r="ATP48" s="16">
        <v>3</v>
      </c>
      <c r="ATQ48" s="16">
        <v>4</v>
      </c>
      <c r="ATR48" s="16">
        <v>5</v>
      </c>
      <c r="ATS48" s="16">
        <v>4</v>
      </c>
      <c r="ATT48" s="16">
        <v>5</v>
      </c>
      <c r="ATU48" s="16">
        <v>2</v>
      </c>
      <c r="ATV48" s="16">
        <v>2</v>
      </c>
      <c r="ATW48" s="16">
        <v>3</v>
      </c>
      <c r="ATX48" s="16">
        <v>5</v>
      </c>
      <c r="ATY48" s="16">
        <v>2</v>
      </c>
      <c r="ATZ48" s="16">
        <v>5</v>
      </c>
      <c r="AUA48" s="16">
        <v>4</v>
      </c>
      <c r="AUB48" s="16">
        <v>3</v>
      </c>
      <c r="AUC48" s="16">
        <v>2</v>
      </c>
      <c r="AUD48" s="16">
        <v>2</v>
      </c>
      <c r="AUE48" s="16">
        <v>5</v>
      </c>
      <c r="AUF48" s="16">
        <v>2</v>
      </c>
      <c r="AUG48" s="16">
        <v>4</v>
      </c>
      <c r="AUH48" s="16">
        <v>2</v>
      </c>
      <c r="AUI48" s="16">
        <v>5</v>
      </c>
      <c r="AUJ48" s="16">
        <v>3</v>
      </c>
      <c r="AUK48" s="16">
        <v>4</v>
      </c>
      <c r="AUL48" s="16">
        <v>5</v>
      </c>
      <c r="AUM48" s="16">
        <v>4</v>
      </c>
      <c r="AUN48" s="16">
        <v>4</v>
      </c>
      <c r="AUO48" s="16">
        <v>2</v>
      </c>
      <c r="AUP48" s="16">
        <v>5</v>
      </c>
      <c r="AUQ48" s="16">
        <v>5</v>
      </c>
      <c r="AUR48" s="16">
        <v>3</v>
      </c>
      <c r="AUS48" s="16">
        <v>2</v>
      </c>
      <c r="AUT48" s="16">
        <v>2</v>
      </c>
      <c r="AUU48" s="16">
        <v>5</v>
      </c>
      <c r="AUV48" s="16">
        <v>2</v>
      </c>
      <c r="AUW48" s="16">
        <v>4</v>
      </c>
      <c r="AUX48" s="16">
        <v>3</v>
      </c>
      <c r="AUY48" s="16">
        <v>4</v>
      </c>
      <c r="AUZ48" s="16">
        <v>3</v>
      </c>
      <c r="AVA48" s="16">
        <v>2</v>
      </c>
      <c r="AVB48" s="16">
        <v>3</v>
      </c>
      <c r="AVC48" s="16">
        <v>5</v>
      </c>
      <c r="AVD48" s="16">
        <v>4</v>
      </c>
      <c r="AVE48" s="16">
        <v>3</v>
      </c>
      <c r="AVF48" s="16">
        <v>5</v>
      </c>
      <c r="AVG48" s="16">
        <v>5</v>
      </c>
      <c r="AVH48" s="16">
        <v>2</v>
      </c>
      <c r="AVI48" s="16">
        <v>4</v>
      </c>
      <c r="AVJ48" s="16">
        <v>3</v>
      </c>
      <c r="AVK48" s="16">
        <v>4</v>
      </c>
      <c r="AVL48" s="16">
        <v>5</v>
      </c>
      <c r="AVM48" s="16">
        <v>2</v>
      </c>
      <c r="AVN48" s="16">
        <v>3</v>
      </c>
      <c r="AVO48" s="16">
        <v>3</v>
      </c>
      <c r="AVP48" s="16">
        <v>3</v>
      </c>
      <c r="AVQ48" s="16">
        <v>2</v>
      </c>
      <c r="AVR48" s="16">
        <v>5</v>
      </c>
      <c r="AVS48" s="16">
        <v>4</v>
      </c>
      <c r="AVT48" s="16">
        <v>4</v>
      </c>
      <c r="AVU48" s="16">
        <v>5</v>
      </c>
      <c r="AVV48" s="16">
        <v>2</v>
      </c>
      <c r="AVW48" s="16">
        <v>4</v>
      </c>
      <c r="AVX48" s="16">
        <v>5</v>
      </c>
      <c r="AVY48" s="16">
        <v>2</v>
      </c>
      <c r="AVZ48" s="16">
        <v>4</v>
      </c>
      <c r="AWA48" s="16">
        <v>2</v>
      </c>
      <c r="AWB48" s="16">
        <v>3</v>
      </c>
      <c r="AWC48" s="16">
        <v>3</v>
      </c>
      <c r="AWD48" s="16">
        <v>2</v>
      </c>
      <c r="AWE48" s="16">
        <v>4</v>
      </c>
      <c r="AWF48" s="16">
        <v>5</v>
      </c>
      <c r="AWG48" s="16">
        <v>2</v>
      </c>
      <c r="AWH48" s="16">
        <v>5</v>
      </c>
      <c r="AWI48" s="16">
        <v>5</v>
      </c>
      <c r="AWJ48" s="16">
        <v>4</v>
      </c>
      <c r="AWK48" s="16">
        <v>4</v>
      </c>
      <c r="AWL48" s="16">
        <v>2</v>
      </c>
      <c r="AWM48" s="16">
        <v>5</v>
      </c>
      <c r="AWN48" s="16">
        <v>2</v>
      </c>
      <c r="AWO48" s="16">
        <v>4</v>
      </c>
    </row>
    <row r="49" spans="2:70" s="32" customFormat="1" ht="15" customHeight="1">
      <c r="B49" s="45" t="s">
        <v>94</v>
      </c>
      <c r="C49" s="46"/>
      <c r="D49" s="46"/>
      <c r="E49" s="46"/>
      <c r="F49" s="46"/>
      <c r="G49" s="46"/>
      <c r="H49" s="46"/>
      <c r="I49" s="46"/>
      <c r="J49" s="46"/>
      <c r="K49" s="46"/>
      <c r="L49" s="46"/>
    </row>
    <row r="50" spans="2:70" s="32" customFormat="1" ht="15" customHeight="1">
      <c r="B50" s="45" t="s">
        <v>95</v>
      </c>
      <c r="C50" s="46"/>
      <c r="D50" s="46"/>
      <c r="E50" s="46"/>
      <c r="F50" s="46"/>
      <c r="G50" s="46"/>
      <c r="H50" s="46"/>
      <c r="I50" s="46"/>
      <c r="J50" s="46"/>
      <c r="K50" s="46"/>
      <c r="L50" s="46"/>
    </row>
    <row r="51" spans="2:70" s="32" customFormat="1" ht="15" customHeight="1" thickBot="1">
      <c r="B51" s="46"/>
      <c r="C51" s="46"/>
      <c r="D51" s="46"/>
      <c r="E51" s="46"/>
      <c r="F51" s="46"/>
      <c r="G51" s="46"/>
      <c r="H51" s="46"/>
      <c r="I51" s="46"/>
      <c r="J51" s="46"/>
      <c r="K51" s="46"/>
      <c r="L51" s="46"/>
    </row>
    <row r="52" spans="2:70" s="50" customFormat="1" ht="30" customHeight="1" thickBot="1">
      <c r="B52" s="47" t="s">
        <v>8</v>
      </c>
      <c r="C52" s="48" t="s">
        <v>24</v>
      </c>
      <c r="D52" s="47" t="s">
        <v>10</v>
      </c>
      <c r="E52" s="47" t="s">
        <v>11</v>
      </c>
      <c r="F52" s="49"/>
      <c r="G52" s="110" t="s">
        <v>25</v>
      </c>
      <c r="H52" s="111"/>
      <c r="I52" s="111"/>
      <c r="J52" s="111"/>
      <c r="K52" s="111"/>
      <c r="L52" s="112"/>
      <c r="M52" s="112"/>
      <c r="N52" s="112"/>
      <c r="O52" s="112"/>
      <c r="P52" s="112"/>
      <c r="Q52" s="112"/>
      <c r="R52" s="112"/>
      <c r="AE52" s="50" cm="1">
        <f t="array" ref="AE52:AE191">_xlfn.VSTACK(Q76:Q95,Q112:Q131,Q148:Q167,T185:T204,T222:T241,T260:T279,Q302:Q321)</f>
        <v>29</v>
      </c>
      <c r="AH52" s="50">
        <f>MAX(_xlfn.ANCHORARRAY(AE52))</f>
        <v>43</v>
      </c>
      <c r="AN52" s="50" cm="1">
        <f t="array" ref="AN52:AV191">_xlfn.VSTACK(G76:O95,G112:O131,G148:O167,G185:O204,G260:O279,G222:O241,G302:O321)</f>
        <v>3</v>
      </c>
      <c r="AO52" s="50">
        <v>5</v>
      </c>
      <c r="AP52" s="50">
        <v>3</v>
      </c>
      <c r="AQ52" s="50">
        <v>2</v>
      </c>
      <c r="AR52" s="50">
        <v>3</v>
      </c>
      <c r="AS52" s="50">
        <v>2</v>
      </c>
      <c r="AT52" s="50">
        <v>4</v>
      </c>
      <c r="AU52" s="50">
        <v>5</v>
      </c>
      <c r="AV52" s="50">
        <v>2</v>
      </c>
      <c r="AY52" s="50" cm="1">
        <f t="array" ref="AY52:AY191">_xlfn.BYROW(_xlfn.ANCHORARRAY(AN52),_xlfn.LAMBDA(_xlpm.r,COUNTIF(_xlpm.r,2)))</f>
        <v>3</v>
      </c>
      <c r="BA52" s="50">
        <f>MAX(_xlfn.ANCHORARRAY(AY52))</f>
        <v>6</v>
      </c>
      <c r="BF52" s="50" cm="1">
        <f t="array" ref="BF52:BF191">_xlfn.VSTACK(_xlfn.ANCHORARRAY(E76),_xlfn.ANCHORARRAY(E112),_xlfn.ANCHORARRAY(E148),E185:E204,E222:E241,E260:E279,E302:E321)</f>
        <v>29</v>
      </c>
      <c r="BJ52" s="50" cm="1">
        <f t="array" ref="BJ52:BK82">_xlfn.GROUPBY(_xlfn.ANCHORARRAY(BF52),_xlfn.ANCHORARRAY(BF52),_xleta.COUNT,0,0,-2)</f>
        <v>9</v>
      </c>
      <c r="BK52" s="50">
        <v>17</v>
      </c>
      <c r="BO52" s="50" cm="1">
        <f t="array" ref="BO52:BO191">_xlfn.SEQUENCE(140)</f>
        <v>1</v>
      </c>
      <c r="BR52" s="50" cm="1">
        <f t="array" ref="BR52">SUM(IF(_xlfn.MAP(_xlfn.ANCHORARRAY(BO52), _xlfn.LAMBDA(_xlpm.r, ISEVEN(_xlpm.r))),0,_xlfn.ANCHORARRAY(BF52)))</f>
        <v>1746</v>
      </c>
    </row>
    <row r="53" spans="2:70" ht="30" customHeight="1">
      <c r="B53" s="51" t="s">
        <v>26</v>
      </c>
      <c r="C53" s="113" t="s">
        <v>96</v>
      </c>
      <c r="D53" s="52">
        <v>50</v>
      </c>
      <c r="E53" s="53">
        <v>355</v>
      </c>
      <c r="F53" s="131">
        <f>IF(ISBLANK(E53),0,IF(E53=Answers!E53,1,-1))</f>
        <v>1</v>
      </c>
      <c r="G53" s="152" t="s">
        <v>145</v>
      </c>
      <c r="H53" s="152"/>
      <c r="I53" s="152"/>
      <c r="J53" s="152"/>
      <c r="K53" s="152"/>
      <c r="L53" s="152"/>
      <c r="M53" s="152"/>
      <c r="N53" s="152"/>
      <c r="O53" s="152"/>
      <c r="P53" s="152"/>
      <c r="Q53" s="152"/>
      <c r="R53" s="152"/>
      <c r="AE53" s="33">
        <v>31</v>
      </c>
      <c r="AN53" s="33">
        <v>3</v>
      </c>
      <c r="AO53" s="33">
        <v>2</v>
      </c>
      <c r="AP53" s="33">
        <v>4</v>
      </c>
      <c r="AQ53" s="33">
        <v>3</v>
      </c>
      <c r="AR53" s="33">
        <v>5</v>
      </c>
      <c r="AS53" s="33">
        <v>4</v>
      </c>
      <c r="AT53" s="33">
        <v>3</v>
      </c>
      <c r="AU53" s="33">
        <v>5</v>
      </c>
      <c r="AV53" s="33">
        <v>2</v>
      </c>
      <c r="AY53" s="33">
        <v>2</v>
      </c>
      <c r="BF53" s="33">
        <v>31</v>
      </c>
      <c r="BJ53" s="33">
        <v>10</v>
      </c>
      <c r="BK53" s="33">
        <v>17</v>
      </c>
      <c r="BO53" s="33">
        <v>2</v>
      </c>
    </row>
    <row r="54" spans="2:70" ht="30" customHeight="1">
      <c r="B54" s="51" t="s">
        <v>27</v>
      </c>
      <c r="C54" s="113" t="s">
        <v>96</v>
      </c>
      <c r="D54" s="52">
        <v>50</v>
      </c>
      <c r="E54" s="55">
        <v>53</v>
      </c>
      <c r="F54" s="131">
        <f>IF(ISBLANK(E54),0,IF(E54=Answers!E54,1,-1))</f>
        <v>1</v>
      </c>
      <c r="G54" s="153" t="s">
        <v>92</v>
      </c>
      <c r="H54" s="153"/>
      <c r="I54" s="153"/>
      <c r="J54" s="153"/>
      <c r="K54" s="153"/>
      <c r="L54" s="153"/>
      <c r="M54" s="153"/>
      <c r="N54" s="153"/>
      <c r="O54" s="153"/>
      <c r="P54" s="153"/>
      <c r="Q54" s="153"/>
      <c r="R54" s="153"/>
      <c r="AE54" s="33">
        <v>35</v>
      </c>
      <c r="AH54" s="33">
        <f>MATCH(AH52,_xlfn.ANCHORARRAY(AE52),0)</f>
        <v>53</v>
      </c>
      <c r="AN54" s="33">
        <v>3</v>
      </c>
      <c r="AO54" s="33">
        <v>5</v>
      </c>
      <c r="AP54" s="33">
        <v>3</v>
      </c>
      <c r="AQ54" s="33">
        <v>4</v>
      </c>
      <c r="AR54" s="33">
        <v>5</v>
      </c>
      <c r="AS54" s="33">
        <v>5</v>
      </c>
      <c r="AT54" s="33">
        <v>4</v>
      </c>
      <c r="AU54" s="33">
        <v>3</v>
      </c>
      <c r="AV54" s="33">
        <v>3</v>
      </c>
      <c r="AY54" s="33">
        <v>0</v>
      </c>
      <c r="BF54" s="33">
        <v>35</v>
      </c>
      <c r="BJ54" s="33">
        <v>5</v>
      </c>
      <c r="BK54" s="33">
        <v>15</v>
      </c>
      <c r="BO54" s="33">
        <v>3</v>
      </c>
    </row>
    <row r="55" spans="2:70" ht="30" customHeight="1">
      <c r="B55" s="51" t="s">
        <v>28</v>
      </c>
      <c r="C55" s="113" t="s">
        <v>96</v>
      </c>
      <c r="D55" s="52">
        <v>50</v>
      </c>
      <c r="E55" s="55">
        <v>6</v>
      </c>
      <c r="F55" s="131">
        <f>IF(ISBLANK(E55),0,IF(E55=Answers!E55,1,-1))</f>
        <v>1</v>
      </c>
      <c r="G55" s="153" t="s">
        <v>146</v>
      </c>
      <c r="H55" s="153"/>
      <c r="I55" s="153"/>
      <c r="J55" s="153"/>
      <c r="K55" s="153"/>
      <c r="L55" s="153"/>
      <c r="M55" s="153"/>
      <c r="N55" s="153"/>
      <c r="O55" s="153"/>
      <c r="P55" s="153"/>
      <c r="Q55" s="153"/>
      <c r="R55" s="153"/>
      <c r="AE55" s="33">
        <v>35</v>
      </c>
      <c r="AN55" s="33">
        <v>4</v>
      </c>
      <c r="AO55" s="33">
        <v>3</v>
      </c>
      <c r="AP55" s="33">
        <v>5</v>
      </c>
      <c r="AQ55" s="33">
        <v>5</v>
      </c>
      <c r="AR55" s="33">
        <v>2</v>
      </c>
      <c r="AS55" s="33">
        <v>4</v>
      </c>
      <c r="AT55" s="33">
        <v>5</v>
      </c>
      <c r="AU55" s="33">
        <v>4</v>
      </c>
      <c r="AV55" s="33">
        <v>3</v>
      </c>
      <c r="AY55" s="33">
        <v>1</v>
      </c>
      <c r="BF55" s="33">
        <v>35</v>
      </c>
      <c r="BJ55" s="33">
        <v>95</v>
      </c>
      <c r="BK55" s="33">
        <v>11</v>
      </c>
      <c r="BO55" s="33">
        <v>4</v>
      </c>
    </row>
    <row r="56" spans="2:70" ht="30" customHeight="1">
      <c r="B56" s="51" t="s">
        <v>29</v>
      </c>
      <c r="C56" s="113" t="s">
        <v>96</v>
      </c>
      <c r="D56" s="52">
        <v>50</v>
      </c>
      <c r="E56" s="55">
        <v>10</v>
      </c>
      <c r="F56" s="131">
        <f>IF(ISBLANK(E56),0,IF(E56=Answers!E56,1,-1))</f>
        <v>1</v>
      </c>
      <c r="G56" s="153" t="s">
        <v>91</v>
      </c>
      <c r="H56" s="153"/>
      <c r="I56" s="153"/>
      <c r="J56" s="153"/>
      <c r="K56" s="153"/>
      <c r="L56" s="153"/>
      <c r="M56" s="153"/>
      <c r="N56" s="153"/>
      <c r="O56" s="153"/>
      <c r="P56" s="153"/>
      <c r="Q56" s="153"/>
      <c r="R56" s="153"/>
      <c r="AE56" s="33">
        <v>28</v>
      </c>
      <c r="AN56" s="33">
        <v>2</v>
      </c>
      <c r="AO56" s="33">
        <v>3</v>
      </c>
      <c r="AP56" s="33">
        <v>3</v>
      </c>
      <c r="AQ56" s="33">
        <v>5</v>
      </c>
      <c r="AR56" s="33">
        <v>4</v>
      </c>
      <c r="AS56" s="33">
        <v>4</v>
      </c>
      <c r="AT56" s="33">
        <v>2</v>
      </c>
      <c r="AU56" s="33">
        <v>2</v>
      </c>
      <c r="AV56" s="33">
        <v>3</v>
      </c>
      <c r="AY56" s="33">
        <v>3</v>
      </c>
      <c r="BF56" s="33">
        <v>28</v>
      </c>
      <c r="BJ56" s="33">
        <v>3</v>
      </c>
      <c r="BK56" s="33">
        <v>10</v>
      </c>
      <c r="BO56" s="33">
        <v>5</v>
      </c>
    </row>
    <row r="57" spans="2:70" ht="30" customHeight="1">
      <c r="B57" s="51" t="s">
        <v>30</v>
      </c>
      <c r="C57" s="113" t="s">
        <v>96</v>
      </c>
      <c r="D57" s="52">
        <v>50</v>
      </c>
      <c r="E57" s="56">
        <f>BR52</f>
        <v>1746</v>
      </c>
      <c r="F57" s="131">
        <f>IF(ISBLANK(E57),0,IF(E57=Answers!E57,1,-1))</f>
        <v>1</v>
      </c>
      <c r="G57" s="153" t="s">
        <v>93</v>
      </c>
      <c r="H57" s="153"/>
      <c r="I57" s="153"/>
      <c r="J57" s="153"/>
      <c r="K57" s="153"/>
      <c r="L57" s="153"/>
      <c r="M57" s="153"/>
      <c r="N57" s="153"/>
      <c r="O57" s="153"/>
      <c r="P57" s="153"/>
      <c r="Q57" s="153"/>
      <c r="R57" s="153"/>
      <c r="AE57" s="33">
        <v>31</v>
      </c>
      <c r="AN57" s="33">
        <v>4</v>
      </c>
      <c r="AO57" s="33">
        <v>4</v>
      </c>
      <c r="AP57" s="33">
        <v>3</v>
      </c>
      <c r="AQ57" s="33">
        <v>2</v>
      </c>
      <c r="AR57" s="33">
        <v>2</v>
      </c>
      <c r="AS57" s="33">
        <v>4</v>
      </c>
      <c r="AT57" s="33">
        <v>5</v>
      </c>
      <c r="AU57" s="33">
        <v>2</v>
      </c>
      <c r="AV57" s="33">
        <v>5</v>
      </c>
      <c r="AY57" s="33">
        <v>3</v>
      </c>
      <c r="BF57" s="33">
        <v>31</v>
      </c>
      <c r="BJ57" s="33">
        <v>6</v>
      </c>
      <c r="BK57" s="33">
        <v>8</v>
      </c>
      <c r="BO57" s="33">
        <v>6</v>
      </c>
    </row>
    <row r="58" spans="2:70" s="32" customFormat="1" ht="15" customHeight="1">
      <c r="AE58" s="32">
        <v>30</v>
      </c>
      <c r="AN58" s="32">
        <v>5</v>
      </c>
      <c r="AO58" s="32">
        <v>5</v>
      </c>
      <c r="AP58" s="32">
        <v>4</v>
      </c>
      <c r="AQ58" s="32">
        <v>4</v>
      </c>
      <c r="AR58" s="32">
        <v>2</v>
      </c>
      <c r="AS58" s="32">
        <v>2</v>
      </c>
      <c r="AT58" s="32">
        <v>4</v>
      </c>
      <c r="AU58" s="32">
        <v>2</v>
      </c>
      <c r="AV58" s="32">
        <v>2</v>
      </c>
      <c r="AY58" s="32">
        <v>4</v>
      </c>
      <c r="BF58" s="32">
        <v>30</v>
      </c>
      <c r="BJ58" s="32">
        <v>15</v>
      </c>
      <c r="BK58" s="32">
        <v>5</v>
      </c>
      <c r="BO58" s="32">
        <v>7</v>
      </c>
    </row>
    <row r="59" spans="2:70" s="16" customFormat="1" ht="30" customHeight="1">
      <c r="B59" s="43" t="s">
        <v>31</v>
      </c>
      <c r="C59" s="44"/>
      <c r="D59" s="44"/>
      <c r="E59" s="44"/>
      <c r="F59" s="44"/>
      <c r="G59" s="44"/>
      <c r="H59" s="44"/>
      <c r="I59" s="44"/>
      <c r="J59" s="44"/>
      <c r="K59" s="44"/>
      <c r="L59" s="44"/>
      <c r="M59" s="44"/>
      <c r="N59" s="44"/>
      <c r="O59" s="44"/>
      <c r="P59" s="44"/>
      <c r="Q59" s="44"/>
      <c r="R59" s="44"/>
      <c r="AE59" s="16">
        <v>32</v>
      </c>
      <c r="AN59" s="16">
        <v>4</v>
      </c>
      <c r="AO59" s="16">
        <v>3</v>
      </c>
      <c r="AP59" s="16">
        <v>4</v>
      </c>
      <c r="AQ59" s="16">
        <v>5</v>
      </c>
      <c r="AR59" s="16">
        <v>3</v>
      </c>
      <c r="AS59" s="16">
        <v>2</v>
      </c>
      <c r="AT59" s="16">
        <v>2</v>
      </c>
      <c r="AU59" s="16">
        <v>5</v>
      </c>
      <c r="AV59" s="16">
        <v>4</v>
      </c>
      <c r="AY59" s="16">
        <v>2</v>
      </c>
      <c r="BF59" s="16">
        <v>32</v>
      </c>
      <c r="BJ59" s="16">
        <v>4</v>
      </c>
      <c r="BK59" s="16">
        <v>4</v>
      </c>
      <c r="BO59" s="16">
        <v>8</v>
      </c>
    </row>
    <row r="60" spans="2:70" s="32" customFormat="1" ht="15" customHeight="1" thickBot="1">
      <c r="AE60" s="32">
        <v>37</v>
      </c>
      <c r="AN60" s="32">
        <v>5</v>
      </c>
      <c r="AO60" s="32">
        <v>4</v>
      </c>
      <c r="AP60" s="32">
        <v>3</v>
      </c>
      <c r="AQ60" s="32">
        <v>4</v>
      </c>
      <c r="AR60" s="32">
        <v>5</v>
      </c>
      <c r="AS60" s="32">
        <v>2</v>
      </c>
      <c r="AT60" s="32">
        <v>5</v>
      </c>
      <c r="AU60" s="32">
        <v>5</v>
      </c>
      <c r="AV60" s="32">
        <v>4</v>
      </c>
      <c r="AY60" s="32">
        <v>1</v>
      </c>
      <c r="BF60" s="32">
        <v>37</v>
      </c>
      <c r="BJ60" s="32">
        <v>28</v>
      </c>
      <c r="BK60" s="32">
        <v>4</v>
      </c>
      <c r="BO60" s="32">
        <v>9</v>
      </c>
    </row>
    <row r="61" spans="2:70" s="32" customFormat="1" ht="22.5" customHeight="1" thickBot="1">
      <c r="B61" s="57" t="s">
        <v>32</v>
      </c>
      <c r="C61" s="58" t="s">
        <v>33</v>
      </c>
      <c r="D61" s="59"/>
      <c r="AE61" s="32">
        <v>33</v>
      </c>
      <c r="AN61" s="32">
        <v>3</v>
      </c>
      <c r="AO61" s="32">
        <v>5</v>
      </c>
      <c r="AP61" s="32">
        <v>2</v>
      </c>
      <c r="AQ61" s="32">
        <v>4</v>
      </c>
      <c r="AR61" s="32">
        <v>5</v>
      </c>
      <c r="AS61" s="32">
        <v>5</v>
      </c>
      <c r="AT61" s="32">
        <v>3</v>
      </c>
      <c r="AU61" s="32">
        <v>2</v>
      </c>
      <c r="AV61" s="32">
        <v>4</v>
      </c>
      <c r="AY61" s="32">
        <v>2</v>
      </c>
      <c r="BF61" s="32">
        <v>33</v>
      </c>
      <c r="BJ61" s="32">
        <v>29</v>
      </c>
      <c r="BK61" s="32">
        <v>4</v>
      </c>
      <c r="BO61" s="32">
        <v>10</v>
      </c>
    </row>
    <row r="62" spans="2:70" s="32" customFormat="1" ht="15" customHeight="1">
      <c r="AE62" s="32">
        <v>28</v>
      </c>
      <c r="AN62" s="32">
        <v>5</v>
      </c>
      <c r="AO62" s="32">
        <v>2</v>
      </c>
      <c r="AP62" s="32">
        <v>2</v>
      </c>
      <c r="AQ62" s="32">
        <v>3</v>
      </c>
      <c r="AR62" s="32">
        <v>2</v>
      </c>
      <c r="AS62" s="32">
        <v>3</v>
      </c>
      <c r="AT62" s="32">
        <v>5</v>
      </c>
      <c r="AU62" s="32">
        <v>4</v>
      </c>
      <c r="AV62" s="32">
        <v>2</v>
      </c>
      <c r="AY62" s="32">
        <v>4</v>
      </c>
      <c r="BF62" s="32">
        <v>28</v>
      </c>
      <c r="BJ62" s="32">
        <v>31</v>
      </c>
      <c r="BK62" s="32">
        <v>4</v>
      </c>
      <c r="BO62" s="32">
        <v>11</v>
      </c>
    </row>
    <row r="63" spans="2:70" ht="15" customHeight="1">
      <c r="B63" s="60" t="s">
        <v>55</v>
      </c>
      <c r="C63" s="61"/>
      <c r="D63" s="33"/>
      <c r="E63" s="33"/>
      <c r="F63" s="33"/>
      <c r="G63" s="33"/>
      <c r="H63" s="33"/>
      <c r="I63" s="33"/>
      <c r="J63" s="33"/>
      <c r="AE63" s="33">
        <v>34</v>
      </c>
      <c r="AN63" s="33">
        <v>5</v>
      </c>
      <c r="AO63" s="33">
        <v>4</v>
      </c>
      <c r="AP63" s="33">
        <v>5</v>
      </c>
      <c r="AQ63" s="33">
        <v>2</v>
      </c>
      <c r="AR63" s="33">
        <v>4</v>
      </c>
      <c r="AS63" s="33">
        <v>5</v>
      </c>
      <c r="AT63" s="33">
        <v>2</v>
      </c>
      <c r="AU63" s="33">
        <v>5</v>
      </c>
      <c r="AV63" s="33">
        <v>2</v>
      </c>
      <c r="AY63" s="33">
        <v>3</v>
      </c>
      <c r="BF63" s="33">
        <v>34</v>
      </c>
      <c r="BJ63" s="33">
        <v>34</v>
      </c>
      <c r="BK63" s="33">
        <v>4</v>
      </c>
      <c r="BO63" s="33">
        <v>12</v>
      </c>
    </row>
    <row r="64" spans="2:70" ht="15" customHeight="1">
      <c r="B64" s="60"/>
      <c r="C64" s="61"/>
      <c r="D64" s="33"/>
      <c r="E64" s="33"/>
      <c r="F64" s="33"/>
      <c r="G64" s="33"/>
      <c r="H64" s="33"/>
      <c r="I64" s="33"/>
      <c r="J64" s="33"/>
      <c r="AE64" s="33">
        <v>31</v>
      </c>
      <c r="AN64" s="33">
        <v>3</v>
      </c>
      <c r="AO64" s="33">
        <v>4</v>
      </c>
      <c r="AP64" s="33">
        <v>2</v>
      </c>
      <c r="AQ64" s="33">
        <v>3</v>
      </c>
      <c r="AR64" s="33">
        <v>2</v>
      </c>
      <c r="AS64" s="33">
        <v>5</v>
      </c>
      <c r="AT64" s="33">
        <v>4</v>
      </c>
      <c r="AU64" s="33">
        <v>3</v>
      </c>
      <c r="AV64" s="33">
        <v>5</v>
      </c>
      <c r="AY64" s="33">
        <v>2</v>
      </c>
      <c r="BF64" s="33">
        <v>31</v>
      </c>
      <c r="BJ64" s="33">
        <v>92</v>
      </c>
      <c r="BK64" s="33">
        <v>4</v>
      </c>
      <c r="BO64" s="33">
        <v>13</v>
      </c>
    </row>
    <row r="65" spans="2:67" ht="15" customHeight="1">
      <c r="B65" s="60" t="s">
        <v>97</v>
      </c>
      <c r="C65" s="61"/>
      <c r="D65" s="33"/>
      <c r="E65" s="33"/>
      <c r="F65" s="33"/>
      <c r="G65" s="33"/>
      <c r="H65" s="33"/>
      <c r="I65" s="33"/>
      <c r="J65" s="33"/>
      <c r="AE65" s="33">
        <v>35</v>
      </c>
      <c r="AN65" s="33">
        <v>4</v>
      </c>
      <c r="AO65" s="33">
        <v>4</v>
      </c>
      <c r="AP65" s="33">
        <v>4</v>
      </c>
      <c r="AQ65" s="33">
        <v>3</v>
      </c>
      <c r="AR65" s="33">
        <v>2</v>
      </c>
      <c r="AS65" s="33">
        <v>5</v>
      </c>
      <c r="AT65" s="33">
        <v>5</v>
      </c>
      <c r="AU65" s="33">
        <v>3</v>
      </c>
      <c r="AV65" s="33">
        <v>5</v>
      </c>
      <c r="AY65" s="33">
        <v>1</v>
      </c>
      <c r="BF65" s="33">
        <v>35</v>
      </c>
      <c r="BJ65" s="33">
        <v>25</v>
      </c>
      <c r="BK65" s="33">
        <v>3</v>
      </c>
      <c r="BO65" s="33">
        <v>14</v>
      </c>
    </row>
    <row r="66" spans="2:67" s="32" customFormat="1" ht="15" customHeight="1">
      <c r="B66" s="16"/>
      <c r="C66" s="61"/>
      <c r="AE66" s="32">
        <v>34</v>
      </c>
      <c r="AN66" s="32">
        <v>3</v>
      </c>
      <c r="AO66" s="32">
        <v>3</v>
      </c>
      <c r="AP66" s="32">
        <v>3</v>
      </c>
      <c r="AQ66" s="32">
        <v>5</v>
      </c>
      <c r="AR66" s="32">
        <v>2</v>
      </c>
      <c r="AS66" s="32">
        <v>5</v>
      </c>
      <c r="AT66" s="32">
        <v>3</v>
      </c>
      <c r="AU66" s="32">
        <v>5</v>
      </c>
      <c r="AV66" s="32">
        <v>5</v>
      </c>
      <c r="AY66" s="32">
        <v>1</v>
      </c>
      <c r="BF66" s="32">
        <v>34</v>
      </c>
      <c r="BJ66" s="32">
        <v>30</v>
      </c>
      <c r="BK66" s="32">
        <v>3</v>
      </c>
      <c r="BO66" s="32">
        <v>15</v>
      </c>
    </row>
    <row r="67" spans="2:67" s="32" customFormat="1" ht="15" customHeight="1">
      <c r="B67" s="63" t="s">
        <v>34</v>
      </c>
      <c r="C67" s="61"/>
      <c r="AE67" s="32">
        <v>30</v>
      </c>
      <c r="AN67" s="32">
        <v>2</v>
      </c>
      <c r="AO67" s="32">
        <v>3</v>
      </c>
      <c r="AP67" s="32">
        <v>2</v>
      </c>
      <c r="AQ67" s="32">
        <v>2</v>
      </c>
      <c r="AR67" s="32">
        <v>5</v>
      </c>
      <c r="AS67" s="32">
        <v>4</v>
      </c>
      <c r="AT67" s="32">
        <v>5</v>
      </c>
      <c r="AU67" s="32">
        <v>5</v>
      </c>
      <c r="AV67" s="32">
        <v>2</v>
      </c>
      <c r="AY67" s="32">
        <v>4</v>
      </c>
      <c r="BF67" s="32">
        <v>30</v>
      </c>
      <c r="BJ67" s="32">
        <v>35</v>
      </c>
      <c r="BK67" s="32">
        <v>3</v>
      </c>
      <c r="BO67" s="32">
        <v>16</v>
      </c>
    </row>
    <row r="68" spans="2:67" s="32" customFormat="1" ht="15" customHeight="1">
      <c r="B68" s="61" t="s">
        <v>98</v>
      </c>
      <c r="D68" s="33"/>
      <c r="E68" s="33"/>
      <c r="F68" s="33"/>
      <c r="G68" s="33"/>
      <c r="K68" s="33"/>
      <c r="L68" s="33"/>
      <c r="M68" s="33"/>
      <c r="N68" s="33"/>
      <c r="O68" s="33"/>
      <c r="P68" s="33"/>
      <c r="Q68" s="33"/>
      <c r="R68" s="33"/>
      <c r="S68" s="33"/>
      <c r="T68" s="33"/>
      <c r="U68" s="33"/>
      <c r="V68" s="33"/>
      <c r="W68" s="33"/>
      <c r="X68" s="33"/>
      <c r="Y68" s="33"/>
      <c r="Z68" s="33"/>
      <c r="AA68" s="33"/>
      <c r="AB68" s="33"/>
      <c r="AC68" s="33"/>
      <c r="AD68" s="33"/>
      <c r="AE68" s="33">
        <v>33</v>
      </c>
      <c r="AF68" s="33"/>
      <c r="AG68" s="33"/>
      <c r="AH68" s="33"/>
      <c r="AI68" s="33"/>
      <c r="AJ68" s="33"/>
      <c r="AK68" s="33"/>
      <c r="AL68" s="33"/>
      <c r="AM68" s="33"/>
      <c r="AN68" s="33">
        <v>3</v>
      </c>
      <c r="AO68" s="33">
        <v>4</v>
      </c>
      <c r="AP68" s="32">
        <v>4</v>
      </c>
      <c r="AQ68" s="32">
        <v>3</v>
      </c>
      <c r="AR68" s="32">
        <v>4</v>
      </c>
      <c r="AS68" s="32">
        <v>3</v>
      </c>
      <c r="AT68" s="32">
        <v>4</v>
      </c>
      <c r="AU68" s="32">
        <v>4</v>
      </c>
      <c r="AV68" s="32">
        <v>4</v>
      </c>
      <c r="AY68" s="32">
        <v>0</v>
      </c>
      <c r="BF68" s="32">
        <v>33</v>
      </c>
      <c r="BJ68" s="32">
        <v>82</v>
      </c>
      <c r="BK68" s="32">
        <v>3</v>
      </c>
      <c r="BO68" s="32">
        <v>17</v>
      </c>
    </row>
    <row r="69" spans="2:67" s="32" customFormat="1" ht="15" customHeight="1">
      <c r="B69" s="61" t="s">
        <v>100</v>
      </c>
      <c r="D69" s="33"/>
      <c r="E69" s="33"/>
      <c r="F69" s="33"/>
      <c r="G69" s="33"/>
      <c r="K69" s="33"/>
      <c r="L69" s="33"/>
      <c r="M69" s="33"/>
      <c r="N69" s="33"/>
      <c r="O69" s="33"/>
      <c r="P69" s="33"/>
      <c r="Q69" s="33"/>
      <c r="R69" s="33"/>
      <c r="S69" s="33"/>
      <c r="T69" s="33"/>
      <c r="U69" s="33"/>
      <c r="V69" s="33"/>
      <c r="W69" s="33"/>
      <c r="X69" s="33"/>
      <c r="Y69" s="33"/>
      <c r="Z69" s="33"/>
      <c r="AA69" s="33"/>
      <c r="AB69" s="33"/>
      <c r="AC69" s="33"/>
      <c r="AD69" s="33"/>
      <c r="AE69" s="33">
        <v>29</v>
      </c>
      <c r="AF69" s="33"/>
      <c r="AG69" s="33"/>
      <c r="AH69" s="33"/>
      <c r="AI69" s="33"/>
      <c r="AJ69" s="33"/>
      <c r="AK69" s="33"/>
      <c r="AL69" s="33"/>
      <c r="AM69" s="33"/>
      <c r="AN69" s="33">
        <v>3</v>
      </c>
      <c r="AO69" s="33">
        <v>4</v>
      </c>
      <c r="AP69" s="32">
        <v>5</v>
      </c>
      <c r="AQ69" s="32">
        <v>2</v>
      </c>
      <c r="AR69" s="32">
        <v>2</v>
      </c>
      <c r="AS69" s="32">
        <v>5</v>
      </c>
      <c r="AT69" s="32">
        <v>2</v>
      </c>
      <c r="AU69" s="32">
        <v>3</v>
      </c>
      <c r="AV69" s="32">
        <v>3</v>
      </c>
      <c r="AY69" s="32">
        <v>3</v>
      </c>
      <c r="BF69" s="32">
        <v>29</v>
      </c>
      <c r="BJ69" s="32">
        <v>11</v>
      </c>
      <c r="BK69" s="32">
        <v>2</v>
      </c>
      <c r="BO69" s="32">
        <v>18</v>
      </c>
    </row>
    <row r="70" spans="2:67" s="32" customFormat="1" ht="15" customHeight="1" thickBot="1">
      <c r="B70" s="61" t="s">
        <v>99</v>
      </c>
      <c r="D70" s="33"/>
      <c r="E70" s="33"/>
      <c r="F70" s="33"/>
      <c r="G70" s="33"/>
      <c r="K70" s="33"/>
      <c r="L70" s="33"/>
      <c r="M70" s="33"/>
      <c r="N70" s="33"/>
      <c r="O70" s="33"/>
      <c r="P70" s="33"/>
      <c r="Q70" s="33"/>
      <c r="R70" s="33"/>
      <c r="S70" s="33"/>
      <c r="T70" s="33"/>
      <c r="U70" s="33"/>
      <c r="V70" s="33"/>
      <c r="W70" s="33"/>
      <c r="X70" s="33"/>
      <c r="Y70" s="33"/>
      <c r="Z70" s="33"/>
      <c r="AA70" s="33"/>
      <c r="AB70" s="33"/>
      <c r="AC70" s="33"/>
      <c r="AD70" s="33"/>
      <c r="AE70" s="33">
        <v>32</v>
      </c>
      <c r="AF70" s="33"/>
      <c r="AG70" s="33"/>
      <c r="AH70" s="33"/>
      <c r="AI70" s="33"/>
      <c r="AJ70" s="33"/>
      <c r="AK70" s="33"/>
      <c r="AL70" s="33"/>
      <c r="AM70" s="33"/>
      <c r="AN70" s="33">
        <v>3</v>
      </c>
      <c r="AO70" s="33">
        <v>3</v>
      </c>
      <c r="AP70" s="32">
        <v>4</v>
      </c>
      <c r="AQ70" s="32">
        <v>4</v>
      </c>
      <c r="AR70" s="32">
        <v>2</v>
      </c>
      <c r="AS70" s="32">
        <v>3</v>
      </c>
      <c r="AT70" s="32">
        <v>5</v>
      </c>
      <c r="AU70" s="32">
        <v>4</v>
      </c>
      <c r="AV70" s="32">
        <v>4</v>
      </c>
      <c r="AY70" s="32">
        <v>1</v>
      </c>
      <c r="BF70" s="32">
        <v>32</v>
      </c>
      <c r="BJ70" s="32">
        <v>12</v>
      </c>
      <c r="BK70" s="32">
        <v>2</v>
      </c>
      <c r="BO70" s="32">
        <v>19</v>
      </c>
    </row>
    <row r="71" spans="2:67" s="50" customFormat="1" ht="22.5" customHeight="1" thickBot="1">
      <c r="B71" s="16"/>
      <c r="C71" s="16"/>
      <c r="D71" s="16"/>
      <c r="E71" s="16"/>
      <c r="F71" s="16"/>
      <c r="G71" s="110" t="s">
        <v>90</v>
      </c>
      <c r="H71" s="111"/>
      <c r="I71" s="111"/>
      <c r="J71" s="111"/>
      <c r="K71" s="111"/>
      <c r="L71" s="111"/>
      <c r="M71" s="111"/>
      <c r="N71" s="111"/>
      <c r="O71" s="112"/>
      <c r="AE71" s="50">
        <v>34</v>
      </c>
      <c r="AN71" s="50">
        <v>5</v>
      </c>
      <c r="AO71" s="50">
        <v>3</v>
      </c>
      <c r="AP71" s="50">
        <v>4</v>
      </c>
      <c r="AQ71" s="50">
        <v>4</v>
      </c>
      <c r="AR71" s="50">
        <v>4</v>
      </c>
      <c r="AS71" s="50">
        <v>5</v>
      </c>
      <c r="AT71" s="50">
        <v>4</v>
      </c>
      <c r="AU71" s="50">
        <v>3</v>
      </c>
      <c r="AV71" s="50">
        <v>2</v>
      </c>
      <c r="AY71" s="50">
        <v>1</v>
      </c>
      <c r="BF71" s="50">
        <v>34</v>
      </c>
      <c r="BJ71" s="50">
        <v>13</v>
      </c>
      <c r="BK71" s="50">
        <v>2</v>
      </c>
      <c r="BO71" s="50">
        <v>20</v>
      </c>
    </row>
    <row r="72" spans="2:67" s="50" customFormat="1" ht="22.5" customHeight="1" thickBot="1">
      <c r="B72" s="47" t="s">
        <v>8</v>
      </c>
      <c r="C72" s="48" t="s">
        <v>9</v>
      </c>
      <c r="D72" s="47" t="s">
        <v>10</v>
      </c>
      <c r="E72" s="64" t="s">
        <v>11</v>
      </c>
      <c r="F72" s="16"/>
      <c r="G72" s="109" t="s">
        <v>12</v>
      </c>
      <c r="H72" s="109" t="s">
        <v>13</v>
      </c>
      <c r="I72" s="109" t="s">
        <v>14</v>
      </c>
      <c r="J72" s="109" t="s">
        <v>15</v>
      </c>
      <c r="K72" s="109" t="s">
        <v>16</v>
      </c>
      <c r="L72" s="109" t="s">
        <v>17</v>
      </c>
      <c r="M72" s="109" t="s">
        <v>18</v>
      </c>
      <c r="N72" s="109" t="s">
        <v>19</v>
      </c>
      <c r="O72" s="109" t="s">
        <v>20</v>
      </c>
      <c r="AE72" s="50">
        <v>29</v>
      </c>
      <c r="AN72" s="50">
        <v>3</v>
      </c>
      <c r="AO72" s="50">
        <v>5</v>
      </c>
      <c r="AP72" s="50">
        <v>2</v>
      </c>
      <c r="AQ72" s="50">
        <v>3</v>
      </c>
      <c r="AR72" s="50">
        <v>2</v>
      </c>
      <c r="AS72" s="50">
        <v>2</v>
      </c>
      <c r="AT72" s="50">
        <v>5</v>
      </c>
      <c r="AU72" s="50">
        <v>2</v>
      </c>
      <c r="AV72" s="50">
        <v>5</v>
      </c>
      <c r="AY72" s="50">
        <v>4</v>
      </c>
      <c r="BF72" s="50">
        <v>5</v>
      </c>
      <c r="BJ72" s="50">
        <v>20</v>
      </c>
      <c r="BK72" s="50">
        <v>2</v>
      </c>
      <c r="BO72" s="50">
        <v>21</v>
      </c>
    </row>
    <row r="73" spans="2:67" s="32" customFormat="1" ht="15" customHeight="1">
      <c r="J73" s="33"/>
      <c r="K73" s="33"/>
      <c r="L73" s="33"/>
      <c r="M73" s="33"/>
      <c r="N73" s="33"/>
      <c r="O73" s="33"/>
      <c r="P73" s="33"/>
      <c r="Q73" s="33"/>
      <c r="R73" s="33"/>
      <c r="S73" s="33"/>
      <c r="T73" s="33"/>
      <c r="U73" s="33"/>
      <c r="V73" s="33"/>
      <c r="W73" s="33"/>
      <c r="X73" s="33"/>
      <c r="Y73" s="33"/>
      <c r="Z73" s="33"/>
      <c r="AA73" s="33"/>
      <c r="AB73" s="33"/>
      <c r="AC73" s="33"/>
      <c r="AD73" s="33"/>
      <c r="AE73" s="33">
        <v>27</v>
      </c>
      <c r="AF73" s="33"/>
      <c r="AG73" s="33"/>
      <c r="AN73" s="32">
        <v>2</v>
      </c>
      <c r="AO73" s="32">
        <v>2</v>
      </c>
      <c r="AP73" s="32">
        <v>4</v>
      </c>
      <c r="AQ73" s="32">
        <v>4</v>
      </c>
      <c r="AR73" s="32">
        <v>4</v>
      </c>
      <c r="AS73" s="32">
        <v>3</v>
      </c>
      <c r="AT73" s="32">
        <v>2</v>
      </c>
      <c r="AU73" s="32">
        <v>2</v>
      </c>
      <c r="AV73" s="32">
        <v>4</v>
      </c>
      <c r="AY73" s="32">
        <v>4</v>
      </c>
      <c r="BF73" s="32">
        <v>4</v>
      </c>
      <c r="BJ73" s="32">
        <v>26</v>
      </c>
      <c r="BK73" s="32">
        <v>2</v>
      </c>
      <c r="BO73" s="32">
        <v>22</v>
      </c>
    </row>
    <row r="74" spans="2:67" s="32" customFormat="1" ht="24.95" customHeight="1">
      <c r="B74" s="65" t="s">
        <v>35</v>
      </c>
      <c r="C74" s="51">
        <v>1</v>
      </c>
      <c r="D74" s="52">
        <v>0</v>
      </c>
      <c r="E74" s="55">
        <v>29</v>
      </c>
      <c r="F74" s="131">
        <f>IF(ISBLANK(E74),0,IF(E74=Answers!E74,1,-1))</f>
        <v>1</v>
      </c>
      <c r="G74" s="66">
        <v>3</v>
      </c>
      <c r="H74" s="66">
        <v>5</v>
      </c>
      <c r="I74" s="66">
        <v>3</v>
      </c>
      <c r="J74" s="66">
        <v>4</v>
      </c>
      <c r="K74" s="66">
        <v>3</v>
      </c>
      <c r="L74" s="66">
        <v>3</v>
      </c>
      <c r="M74" s="66">
        <v>2</v>
      </c>
      <c r="N74" s="66">
        <v>3</v>
      </c>
      <c r="O74" s="66">
        <v>3</v>
      </c>
      <c r="P74" s="33"/>
      <c r="Q74" s="33"/>
      <c r="R74" s="33"/>
      <c r="S74" s="33"/>
      <c r="T74" s="33"/>
      <c r="U74" s="33"/>
      <c r="V74" s="33"/>
      <c r="W74" s="33"/>
      <c r="X74" s="33"/>
      <c r="Y74" s="33"/>
      <c r="Z74" s="33"/>
      <c r="AA74" s="33"/>
      <c r="AB74" s="33"/>
      <c r="AC74" s="33"/>
      <c r="AD74" s="33"/>
      <c r="AE74" s="33">
        <v>30</v>
      </c>
      <c r="AF74" s="33"/>
      <c r="AG74" s="33"/>
      <c r="AN74" s="32">
        <v>4</v>
      </c>
      <c r="AO74" s="32">
        <v>4</v>
      </c>
      <c r="AP74" s="32">
        <v>5</v>
      </c>
      <c r="AQ74" s="32">
        <v>2</v>
      </c>
      <c r="AR74" s="32">
        <v>2</v>
      </c>
      <c r="AS74" s="32">
        <v>5</v>
      </c>
      <c r="AT74" s="32">
        <v>3</v>
      </c>
      <c r="AU74" s="32">
        <v>3</v>
      </c>
      <c r="AV74" s="32">
        <v>2</v>
      </c>
      <c r="AY74" s="32">
        <v>3</v>
      </c>
      <c r="BF74" s="32">
        <v>5</v>
      </c>
      <c r="BJ74" s="32">
        <v>32</v>
      </c>
      <c r="BK74" s="32">
        <v>2</v>
      </c>
      <c r="BO74" s="32">
        <v>23</v>
      </c>
    </row>
    <row r="75" spans="2:67" s="32" customFormat="1" ht="15" customHeight="1">
      <c r="P75" s="33"/>
      <c r="Q75" s="33"/>
      <c r="R75" s="33"/>
      <c r="S75" s="33"/>
      <c r="T75" s="33"/>
      <c r="U75" s="33"/>
      <c r="V75" s="33"/>
      <c r="W75" s="33"/>
      <c r="X75" s="33"/>
      <c r="Y75" s="33"/>
      <c r="Z75" s="33"/>
      <c r="AA75" s="33"/>
      <c r="AB75" s="33"/>
      <c r="AC75" s="33"/>
      <c r="AD75" s="33"/>
      <c r="AE75" s="33">
        <v>36</v>
      </c>
      <c r="AF75" s="33"/>
      <c r="AG75" s="33"/>
      <c r="AN75" s="32">
        <v>3</v>
      </c>
      <c r="AO75" s="32">
        <v>5</v>
      </c>
      <c r="AP75" s="32">
        <v>3</v>
      </c>
      <c r="AQ75" s="32">
        <v>3</v>
      </c>
      <c r="AR75" s="32">
        <v>3</v>
      </c>
      <c r="AS75" s="32">
        <v>5</v>
      </c>
      <c r="AT75" s="32">
        <v>5</v>
      </c>
      <c r="AU75" s="32">
        <v>4</v>
      </c>
      <c r="AV75" s="32">
        <v>5</v>
      </c>
      <c r="AY75" s="32">
        <v>0</v>
      </c>
      <c r="BF75" s="32">
        <v>5</v>
      </c>
      <c r="BJ75" s="32">
        <v>33</v>
      </c>
      <c r="BK75" s="32">
        <v>2</v>
      </c>
      <c r="BO75" s="32">
        <v>24</v>
      </c>
    </row>
    <row r="76" spans="2:67" s="32" customFormat="1" ht="24.95" customHeight="1">
      <c r="B76" s="51">
        <v>1</v>
      </c>
      <c r="C76" s="51">
        <v>1</v>
      </c>
      <c r="D76" s="67">
        <v>4</v>
      </c>
      <c r="E76" s="55" cm="1">
        <f t="array" ref="E76:E95">_xlfn.BYROW(G76:O95,_xleta.SUM)</f>
        <v>29</v>
      </c>
      <c r="F76" s="131">
        <f>IF(ISBLANK(E76),0,IF(E76=Answers!E76,1,-1))</f>
        <v>1</v>
      </c>
      <c r="G76" s="68">
        <v>3</v>
      </c>
      <c r="H76" s="68">
        <v>5</v>
      </c>
      <c r="I76" s="68">
        <v>3</v>
      </c>
      <c r="J76" s="68">
        <v>2</v>
      </c>
      <c r="K76" s="68">
        <v>3</v>
      </c>
      <c r="L76" s="68">
        <v>2</v>
      </c>
      <c r="M76" s="68">
        <v>4</v>
      </c>
      <c r="N76" s="68">
        <v>5</v>
      </c>
      <c r="O76" s="68">
        <v>2</v>
      </c>
      <c r="P76" s="33"/>
      <c r="Q76" s="33">
        <f>SUM(G76:O76)</f>
        <v>29</v>
      </c>
      <c r="R76" s="33"/>
      <c r="S76" s="33"/>
      <c r="T76" s="33"/>
      <c r="U76" s="33"/>
      <c r="V76" s="33"/>
      <c r="W76" s="33"/>
      <c r="X76" s="33"/>
      <c r="Y76" s="33"/>
      <c r="Z76" s="33"/>
      <c r="AA76" s="33"/>
      <c r="AB76" s="33"/>
      <c r="AC76" s="33"/>
      <c r="AD76" s="33"/>
      <c r="AE76" s="33">
        <v>30</v>
      </c>
      <c r="AF76" s="33"/>
      <c r="AG76" s="33"/>
      <c r="AN76" s="32">
        <v>2</v>
      </c>
      <c r="AO76" s="32">
        <v>5</v>
      </c>
      <c r="AP76" s="32">
        <v>4</v>
      </c>
      <c r="AQ76" s="32">
        <v>3</v>
      </c>
      <c r="AR76" s="32">
        <v>3</v>
      </c>
      <c r="AS76" s="32">
        <v>5</v>
      </c>
      <c r="AT76" s="32">
        <v>2</v>
      </c>
      <c r="AU76" s="32">
        <v>2</v>
      </c>
      <c r="AV76" s="32">
        <v>4</v>
      </c>
      <c r="AY76" s="32">
        <v>3</v>
      </c>
      <c r="BF76" s="32">
        <v>5</v>
      </c>
      <c r="BJ76" s="32">
        <v>2</v>
      </c>
      <c r="BK76" s="32">
        <v>1</v>
      </c>
      <c r="BO76" s="32">
        <v>25</v>
      </c>
    </row>
    <row r="77" spans="2:67" s="32" customFormat="1" ht="24.95" customHeight="1">
      <c r="B77" s="51">
        <v>2</v>
      </c>
      <c r="C77" s="51">
        <v>1</v>
      </c>
      <c r="D77" s="67">
        <v>4</v>
      </c>
      <c r="E77" s="55">
        <v>31</v>
      </c>
      <c r="F77" s="131">
        <f>IF(ISBLANK(E77),0,IF(E77=Answers!E77,1,-1))</f>
        <v>1</v>
      </c>
      <c r="G77" s="66">
        <v>3</v>
      </c>
      <c r="H77" s="66">
        <v>2</v>
      </c>
      <c r="I77" s="66">
        <v>4</v>
      </c>
      <c r="J77" s="66">
        <v>3</v>
      </c>
      <c r="K77" s="66">
        <v>5</v>
      </c>
      <c r="L77" s="66">
        <v>4</v>
      </c>
      <c r="M77" s="66">
        <v>3</v>
      </c>
      <c r="N77" s="66">
        <v>5</v>
      </c>
      <c r="O77" s="66">
        <v>2</v>
      </c>
      <c r="P77" s="33"/>
      <c r="Q77" s="33">
        <f t="shared" ref="Q77:Q95" si="0">SUM(G77:O77)</f>
        <v>31</v>
      </c>
      <c r="R77" s="33"/>
      <c r="S77" s="33"/>
      <c r="T77" s="33"/>
      <c r="U77" s="33"/>
      <c r="V77" s="33"/>
      <c r="W77" s="33"/>
      <c r="X77" s="33"/>
      <c r="Y77" s="33"/>
      <c r="Z77" s="33"/>
      <c r="AA77" s="33"/>
      <c r="AB77" s="33"/>
      <c r="AC77" s="33"/>
      <c r="AD77" s="33"/>
      <c r="AE77" s="33">
        <v>29</v>
      </c>
      <c r="AF77" s="33"/>
      <c r="AG77" s="33"/>
      <c r="AN77" s="32">
        <v>4</v>
      </c>
      <c r="AO77" s="32">
        <v>3</v>
      </c>
      <c r="AP77" s="32">
        <v>4</v>
      </c>
      <c r="AQ77" s="32">
        <v>5</v>
      </c>
      <c r="AR77" s="32">
        <v>2</v>
      </c>
      <c r="AS77" s="32">
        <v>2</v>
      </c>
      <c r="AT77" s="32">
        <v>5</v>
      </c>
      <c r="AU77" s="32">
        <v>2</v>
      </c>
      <c r="AV77" s="32">
        <v>2</v>
      </c>
      <c r="AY77" s="32">
        <v>4</v>
      </c>
      <c r="BF77" s="32">
        <v>5</v>
      </c>
      <c r="BJ77" s="32">
        <v>8</v>
      </c>
      <c r="BK77" s="32">
        <v>1</v>
      </c>
      <c r="BO77" s="32">
        <v>26</v>
      </c>
    </row>
    <row r="78" spans="2:67" s="32" customFormat="1" ht="24.95" customHeight="1">
      <c r="B78" s="51">
        <v>3</v>
      </c>
      <c r="C78" s="51">
        <v>1</v>
      </c>
      <c r="D78" s="67">
        <v>4</v>
      </c>
      <c r="E78" s="55">
        <v>35</v>
      </c>
      <c r="F78" s="131">
        <f>IF(ISBLANK(E78),0,IF(E78=Answers!E78,1,-1))</f>
        <v>1</v>
      </c>
      <c r="G78" s="66">
        <v>3</v>
      </c>
      <c r="H78" s="66">
        <v>5</v>
      </c>
      <c r="I78" s="66">
        <v>3</v>
      </c>
      <c r="J78" s="66">
        <v>4</v>
      </c>
      <c r="K78" s="66">
        <v>5</v>
      </c>
      <c r="L78" s="66">
        <v>5</v>
      </c>
      <c r="M78" s="66">
        <v>4</v>
      </c>
      <c r="N78" s="66">
        <v>3</v>
      </c>
      <c r="O78" s="66">
        <v>3</v>
      </c>
      <c r="P78" s="33"/>
      <c r="Q78" s="33">
        <f t="shared" si="0"/>
        <v>35</v>
      </c>
      <c r="R78" s="33"/>
      <c r="S78" s="33"/>
      <c r="T78" s="33"/>
      <c r="U78" s="33"/>
      <c r="V78" s="33"/>
      <c r="W78" s="33"/>
      <c r="X78" s="33"/>
      <c r="Y78" s="33"/>
      <c r="Z78" s="33"/>
      <c r="AA78" s="33"/>
      <c r="AB78" s="33"/>
      <c r="AC78" s="33"/>
      <c r="AD78" s="33"/>
      <c r="AE78" s="33">
        <v>23</v>
      </c>
      <c r="AF78" s="33"/>
      <c r="AG78" s="33"/>
      <c r="AN78" s="32">
        <v>2</v>
      </c>
      <c r="AO78" s="32">
        <v>3</v>
      </c>
      <c r="AP78" s="32">
        <v>2</v>
      </c>
      <c r="AQ78" s="32">
        <v>2</v>
      </c>
      <c r="AR78" s="32">
        <v>3</v>
      </c>
      <c r="AS78" s="32">
        <v>2</v>
      </c>
      <c r="AT78" s="32">
        <v>3</v>
      </c>
      <c r="AU78" s="32">
        <v>3</v>
      </c>
      <c r="AV78" s="32">
        <v>3</v>
      </c>
      <c r="AY78" s="32">
        <v>4</v>
      </c>
      <c r="BF78" s="32">
        <v>3</v>
      </c>
      <c r="BJ78" s="32">
        <v>18</v>
      </c>
      <c r="BK78" s="32">
        <v>1</v>
      </c>
      <c r="BO78" s="32">
        <v>27</v>
      </c>
    </row>
    <row r="79" spans="2:67" s="32" customFormat="1" ht="24.95" customHeight="1">
      <c r="B79" s="51">
        <v>4</v>
      </c>
      <c r="C79" s="51">
        <v>1</v>
      </c>
      <c r="D79" s="67">
        <v>4</v>
      </c>
      <c r="E79" s="55">
        <v>35</v>
      </c>
      <c r="F79" s="131">
        <f>IF(ISBLANK(E79),0,IF(E79=Answers!E79,1,-1))</f>
        <v>1</v>
      </c>
      <c r="G79" s="66">
        <v>4</v>
      </c>
      <c r="H79" s="66">
        <v>3</v>
      </c>
      <c r="I79" s="66">
        <v>5</v>
      </c>
      <c r="J79" s="66">
        <v>5</v>
      </c>
      <c r="K79" s="66">
        <v>2</v>
      </c>
      <c r="L79" s="66">
        <v>4</v>
      </c>
      <c r="M79" s="66">
        <v>5</v>
      </c>
      <c r="N79" s="66">
        <v>4</v>
      </c>
      <c r="O79" s="66">
        <v>3</v>
      </c>
      <c r="P79" s="33"/>
      <c r="Q79" s="33">
        <f t="shared" si="0"/>
        <v>35</v>
      </c>
      <c r="R79" s="33"/>
      <c r="S79" s="33"/>
      <c r="T79" s="33"/>
      <c r="U79" s="33"/>
      <c r="V79" s="33"/>
      <c r="W79" s="33"/>
      <c r="X79" s="33"/>
      <c r="Y79" s="33"/>
      <c r="Z79" s="33"/>
      <c r="AA79" s="33"/>
      <c r="AB79" s="33"/>
      <c r="AC79" s="33"/>
      <c r="AD79" s="33"/>
      <c r="AE79" s="33">
        <v>33</v>
      </c>
      <c r="AF79" s="33"/>
      <c r="AG79" s="33"/>
      <c r="AN79" s="32">
        <v>5</v>
      </c>
      <c r="AO79" s="32">
        <v>2</v>
      </c>
      <c r="AP79" s="32">
        <v>5</v>
      </c>
      <c r="AQ79" s="32">
        <v>2</v>
      </c>
      <c r="AR79" s="32">
        <v>4</v>
      </c>
      <c r="AS79" s="32">
        <v>2</v>
      </c>
      <c r="AT79" s="32">
        <v>5</v>
      </c>
      <c r="AU79" s="32">
        <v>3</v>
      </c>
      <c r="AV79" s="32">
        <v>5</v>
      </c>
      <c r="AY79" s="32">
        <v>3</v>
      </c>
      <c r="BF79" s="32">
        <v>5</v>
      </c>
      <c r="BJ79" s="32">
        <v>19</v>
      </c>
      <c r="BK79" s="32">
        <v>1</v>
      </c>
      <c r="BO79" s="32">
        <v>28</v>
      </c>
    </row>
    <row r="80" spans="2:67" s="32" customFormat="1" ht="24.95" customHeight="1">
      <c r="B80" s="51">
        <v>5</v>
      </c>
      <c r="C80" s="51">
        <v>1</v>
      </c>
      <c r="D80" s="67">
        <v>4</v>
      </c>
      <c r="E80" s="55">
        <v>28</v>
      </c>
      <c r="F80" s="131">
        <f>IF(ISBLANK(E80),0,IF(E80=Answers!E80,1,-1))</f>
        <v>1</v>
      </c>
      <c r="G80" s="66">
        <v>2</v>
      </c>
      <c r="H80" s="66">
        <v>3</v>
      </c>
      <c r="I80" s="66">
        <v>3</v>
      </c>
      <c r="J80" s="66">
        <v>5</v>
      </c>
      <c r="K80" s="66">
        <v>4</v>
      </c>
      <c r="L80" s="66">
        <v>4</v>
      </c>
      <c r="M80" s="66">
        <v>2</v>
      </c>
      <c r="N80" s="66">
        <v>2</v>
      </c>
      <c r="O80" s="66">
        <v>3</v>
      </c>
      <c r="P80" s="33"/>
      <c r="Q80" s="33">
        <f t="shared" si="0"/>
        <v>28</v>
      </c>
      <c r="R80" s="33"/>
      <c r="S80" s="33"/>
      <c r="T80" s="33"/>
      <c r="U80" s="33"/>
      <c r="V80" s="33"/>
      <c r="W80" s="33"/>
      <c r="X80" s="33"/>
      <c r="Y80" s="33"/>
      <c r="Z80" s="33"/>
      <c r="AA80" s="33"/>
      <c r="AB80" s="33"/>
      <c r="AC80" s="33"/>
      <c r="AD80" s="33"/>
      <c r="AE80" s="33">
        <v>28</v>
      </c>
      <c r="AF80" s="33"/>
      <c r="AG80" s="33"/>
      <c r="AN80" s="32">
        <v>5</v>
      </c>
      <c r="AO80" s="32">
        <v>2</v>
      </c>
      <c r="AP80" s="32">
        <v>2</v>
      </c>
      <c r="AQ80" s="32">
        <v>4</v>
      </c>
      <c r="AR80" s="32">
        <v>5</v>
      </c>
      <c r="AS80" s="32">
        <v>2</v>
      </c>
      <c r="AT80" s="32">
        <v>2</v>
      </c>
      <c r="AU80" s="32">
        <v>3</v>
      </c>
      <c r="AV80" s="32">
        <v>3</v>
      </c>
      <c r="AY80" s="32">
        <v>4</v>
      </c>
      <c r="BF80" s="32">
        <v>5</v>
      </c>
      <c r="BJ80" s="32">
        <v>37</v>
      </c>
      <c r="BK80" s="32">
        <v>1</v>
      </c>
      <c r="BO80" s="32">
        <v>29</v>
      </c>
    </row>
    <row r="81" spans="2:67" s="32" customFormat="1" ht="24.95" customHeight="1">
      <c r="B81" s="51">
        <v>6</v>
      </c>
      <c r="C81" s="51">
        <v>1</v>
      </c>
      <c r="D81" s="67">
        <v>4</v>
      </c>
      <c r="E81" s="55">
        <v>31</v>
      </c>
      <c r="F81" s="131">
        <f>IF(ISBLANK(E81),0,IF(E81=Answers!E81,1,-1))</f>
        <v>1</v>
      </c>
      <c r="G81" s="66">
        <v>4</v>
      </c>
      <c r="H81" s="66">
        <v>4</v>
      </c>
      <c r="I81" s="66">
        <v>3</v>
      </c>
      <c r="J81" s="66">
        <v>2</v>
      </c>
      <c r="K81" s="66">
        <v>2</v>
      </c>
      <c r="L81" s="66">
        <v>4</v>
      </c>
      <c r="M81" s="66">
        <v>5</v>
      </c>
      <c r="N81" s="66">
        <v>2</v>
      </c>
      <c r="O81" s="66">
        <v>5</v>
      </c>
      <c r="P81" s="33"/>
      <c r="Q81" s="33">
        <f t="shared" si="0"/>
        <v>31</v>
      </c>
      <c r="R81" s="33"/>
      <c r="S81" s="33"/>
      <c r="T81" s="33"/>
      <c r="U81" s="33"/>
      <c r="V81" s="33"/>
      <c r="W81" s="33"/>
      <c r="X81" s="33"/>
      <c r="Y81" s="33"/>
      <c r="Z81" s="33"/>
      <c r="AA81" s="33"/>
      <c r="AB81" s="33"/>
      <c r="AC81" s="33"/>
      <c r="AD81" s="33"/>
      <c r="AE81" s="33">
        <v>32</v>
      </c>
      <c r="AF81" s="33"/>
      <c r="AG81" s="33"/>
      <c r="AN81" s="32">
        <v>2</v>
      </c>
      <c r="AO81" s="32">
        <v>5</v>
      </c>
      <c r="AP81" s="32">
        <v>5</v>
      </c>
      <c r="AQ81" s="32">
        <v>2</v>
      </c>
      <c r="AR81" s="32">
        <v>3</v>
      </c>
      <c r="AS81" s="32">
        <v>5</v>
      </c>
      <c r="AT81" s="32">
        <v>3</v>
      </c>
      <c r="AU81" s="32">
        <v>3</v>
      </c>
      <c r="AV81" s="32">
        <v>4</v>
      </c>
      <c r="AY81" s="32">
        <v>2</v>
      </c>
      <c r="BF81" s="32">
        <v>5</v>
      </c>
      <c r="BJ81" s="32">
        <v>60</v>
      </c>
      <c r="BK81" s="32">
        <v>1</v>
      </c>
      <c r="BO81" s="32">
        <v>30</v>
      </c>
    </row>
    <row r="82" spans="2:67" s="32" customFormat="1" ht="24.95" customHeight="1">
      <c r="B82" s="51">
        <v>7</v>
      </c>
      <c r="C82" s="51">
        <v>1</v>
      </c>
      <c r="D82" s="67">
        <v>4</v>
      </c>
      <c r="E82" s="55">
        <v>30</v>
      </c>
      <c r="F82" s="131">
        <f>IF(ISBLANK(E82),0,IF(E82=Answers!E82,1,-1))</f>
        <v>1</v>
      </c>
      <c r="G82" s="66">
        <v>5</v>
      </c>
      <c r="H82" s="66">
        <v>5</v>
      </c>
      <c r="I82" s="66">
        <v>4</v>
      </c>
      <c r="J82" s="66">
        <v>4</v>
      </c>
      <c r="K82" s="66">
        <v>2</v>
      </c>
      <c r="L82" s="66">
        <v>2</v>
      </c>
      <c r="M82" s="66">
        <v>4</v>
      </c>
      <c r="N82" s="66">
        <v>2</v>
      </c>
      <c r="O82" s="66">
        <v>2</v>
      </c>
      <c r="P82" s="33"/>
      <c r="Q82" s="33">
        <f t="shared" si="0"/>
        <v>30</v>
      </c>
      <c r="R82" s="33"/>
      <c r="S82" s="33"/>
      <c r="T82" s="33"/>
      <c r="U82" s="33"/>
      <c r="V82" s="33"/>
      <c r="W82" s="33"/>
      <c r="X82" s="33"/>
      <c r="Y82" s="33"/>
      <c r="Z82" s="33"/>
      <c r="AA82" s="33"/>
      <c r="AB82" s="33"/>
      <c r="AC82" s="33"/>
      <c r="AD82" s="33"/>
      <c r="AE82" s="33">
        <v>31</v>
      </c>
      <c r="AF82" s="33"/>
      <c r="AG82" s="33"/>
      <c r="AN82" s="32">
        <v>2</v>
      </c>
      <c r="AO82" s="32">
        <v>2</v>
      </c>
      <c r="AP82" s="32">
        <v>5</v>
      </c>
      <c r="AQ82" s="32">
        <v>5</v>
      </c>
      <c r="AR82" s="32">
        <v>5</v>
      </c>
      <c r="AS82" s="32">
        <v>2</v>
      </c>
      <c r="AT82" s="32">
        <v>2</v>
      </c>
      <c r="AU82" s="32">
        <v>3</v>
      </c>
      <c r="AV82" s="32">
        <v>5</v>
      </c>
      <c r="AY82" s="32">
        <v>4</v>
      </c>
      <c r="BF82" s="32">
        <v>5</v>
      </c>
      <c r="BJ82" s="32">
        <v>89</v>
      </c>
      <c r="BK82" s="32">
        <v>1</v>
      </c>
      <c r="BO82" s="32">
        <v>31</v>
      </c>
    </row>
    <row r="83" spans="2:67" s="32" customFormat="1" ht="24.95" customHeight="1">
      <c r="B83" s="51">
        <v>8</v>
      </c>
      <c r="C83" s="51">
        <v>1</v>
      </c>
      <c r="D83" s="67">
        <v>4</v>
      </c>
      <c r="E83" s="55">
        <v>32</v>
      </c>
      <c r="F83" s="131">
        <f>IF(ISBLANK(E83),0,IF(E83=Answers!E83,1,-1))</f>
        <v>1</v>
      </c>
      <c r="G83" s="66">
        <v>4</v>
      </c>
      <c r="H83" s="66">
        <v>3</v>
      </c>
      <c r="I83" s="66">
        <v>4</v>
      </c>
      <c r="J83" s="66">
        <v>5</v>
      </c>
      <c r="K83" s="66">
        <v>3</v>
      </c>
      <c r="L83" s="66">
        <v>2</v>
      </c>
      <c r="M83" s="66">
        <v>2</v>
      </c>
      <c r="N83" s="66">
        <v>5</v>
      </c>
      <c r="O83" s="66">
        <v>4</v>
      </c>
      <c r="P83" s="33"/>
      <c r="Q83" s="33">
        <f t="shared" si="0"/>
        <v>32</v>
      </c>
      <c r="R83" s="33"/>
      <c r="S83" s="33"/>
      <c r="T83" s="33"/>
      <c r="U83" s="33"/>
      <c r="V83" s="33"/>
      <c r="W83" s="33"/>
      <c r="X83" s="33"/>
      <c r="Y83" s="33"/>
      <c r="Z83" s="33"/>
      <c r="AA83" s="33"/>
      <c r="AB83" s="33"/>
      <c r="AC83" s="33"/>
      <c r="AD83" s="33"/>
      <c r="AE83" s="33">
        <v>28</v>
      </c>
      <c r="AF83" s="33"/>
      <c r="AG83" s="33"/>
      <c r="AN83" s="32">
        <v>2</v>
      </c>
      <c r="AO83" s="32">
        <v>2</v>
      </c>
      <c r="AP83" s="32">
        <v>3</v>
      </c>
      <c r="AQ83" s="32">
        <v>5</v>
      </c>
      <c r="AR83" s="32">
        <v>3</v>
      </c>
      <c r="AS83" s="32">
        <v>5</v>
      </c>
      <c r="AT83" s="32">
        <v>3</v>
      </c>
      <c r="AU83" s="32">
        <v>3</v>
      </c>
      <c r="AV83" s="32">
        <v>2</v>
      </c>
      <c r="AY83" s="32">
        <v>3</v>
      </c>
      <c r="BF83" s="32">
        <v>5</v>
      </c>
      <c r="BO83" s="32">
        <v>32</v>
      </c>
    </row>
    <row r="84" spans="2:67" s="32" customFormat="1" ht="24.95" customHeight="1">
      <c r="B84" s="51">
        <v>9</v>
      </c>
      <c r="C84" s="51">
        <v>1</v>
      </c>
      <c r="D84" s="67">
        <v>4</v>
      </c>
      <c r="E84" s="55">
        <v>37</v>
      </c>
      <c r="F84" s="131">
        <f>IF(ISBLANK(E84),0,IF(E84=Answers!E84,1,-1))</f>
        <v>1</v>
      </c>
      <c r="G84" s="66">
        <v>5</v>
      </c>
      <c r="H84" s="66">
        <v>4</v>
      </c>
      <c r="I84" s="66">
        <v>3</v>
      </c>
      <c r="J84" s="66">
        <v>4</v>
      </c>
      <c r="K84" s="66">
        <v>5</v>
      </c>
      <c r="L84" s="66">
        <v>2</v>
      </c>
      <c r="M84" s="66">
        <v>5</v>
      </c>
      <c r="N84" s="66">
        <v>5</v>
      </c>
      <c r="O84" s="66">
        <v>4</v>
      </c>
      <c r="P84" s="33"/>
      <c r="Q84" s="33">
        <f t="shared" si="0"/>
        <v>37</v>
      </c>
      <c r="R84" s="33"/>
      <c r="S84" s="33"/>
      <c r="T84" s="33"/>
      <c r="U84" s="33"/>
      <c r="V84" s="33"/>
      <c r="W84" s="33"/>
      <c r="X84" s="33"/>
      <c r="Y84" s="33"/>
      <c r="Z84" s="33"/>
      <c r="AA84" s="33"/>
      <c r="AB84" s="33"/>
      <c r="AC84" s="33"/>
      <c r="AD84" s="33"/>
      <c r="AE84" s="33">
        <v>38</v>
      </c>
      <c r="AF84" s="33"/>
      <c r="AG84" s="33"/>
      <c r="AN84" s="32">
        <v>5</v>
      </c>
      <c r="AO84" s="32">
        <v>4</v>
      </c>
      <c r="AP84" s="32">
        <v>3</v>
      </c>
      <c r="AQ84" s="32">
        <v>3</v>
      </c>
      <c r="AR84" s="32">
        <v>5</v>
      </c>
      <c r="AS84" s="32">
        <v>5</v>
      </c>
      <c r="AT84" s="32">
        <v>5</v>
      </c>
      <c r="AU84" s="32">
        <v>5</v>
      </c>
      <c r="AV84" s="32">
        <v>3</v>
      </c>
      <c r="AY84" s="32">
        <v>0</v>
      </c>
      <c r="BF84" s="32">
        <v>5</v>
      </c>
      <c r="BO84" s="32">
        <v>33</v>
      </c>
    </row>
    <row r="85" spans="2:67" s="32" customFormat="1" ht="24.95" customHeight="1">
      <c r="B85" s="51">
        <v>10</v>
      </c>
      <c r="C85" s="51">
        <v>1</v>
      </c>
      <c r="D85" s="67">
        <v>4</v>
      </c>
      <c r="E85" s="55">
        <v>33</v>
      </c>
      <c r="F85" s="131">
        <f>IF(ISBLANK(E85),0,IF(E85=Answers!E85,1,-1))</f>
        <v>1</v>
      </c>
      <c r="G85" s="66">
        <v>3</v>
      </c>
      <c r="H85" s="66">
        <v>5</v>
      </c>
      <c r="I85" s="66">
        <v>2</v>
      </c>
      <c r="J85" s="66">
        <v>4</v>
      </c>
      <c r="K85" s="66">
        <v>5</v>
      </c>
      <c r="L85" s="66">
        <v>5</v>
      </c>
      <c r="M85" s="66">
        <v>3</v>
      </c>
      <c r="N85" s="66">
        <v>2</v>
      </c>
      <c r="O85" s="66">
        <v>4</v>
      </c>
      <c r="P85" s="33"/>
      <c r="Q85" s="33">
        <f t="shared" si="0"/>
        <v>33</v>
      </c>
      <c r="R85" s="33"/>
      <c r="S85" s="33"/>
      <c r="T85" s="33"/>
      <c r="U85" s="33"/>
      <c r="V85" s="33"/>
      <c r="W85" s="33"/>
      <c r="X85" s="33"/>
      <c r="Y85" s="33"/>
      <c r="Z85" s="33"/>
      <c r="AA85" s="33"/>
      <c r="AB85" s="33"/>
      <c r="AC85" s="33"/>
      <c r="AD85" s="33"/>
      <c r="AE85" s="33">
        <v>36</v>
      </c>
      <c r="AF85" s="33"/>
      <c r="AG85" s="33"/>
      <c r="AN85" s="32">
        <v>4</v>
      </c>
      <c r="AO85" s="32">
        <v>4</v>
      </c>
      <c r="AP85" s="32">
        <v>4</v>
      </c>
      <c r="AQ85" s="32">
        <v>4</v>
      </c>
      <c r="AR85" s="32">
        <v>4</v>
      </c>
      <c r="AS85" s="32">
        <v>4</v>
      </c>
      <c r="AT85" s="32">
        <v>4</v>
      </c>
      <c r="AU85" s="32">
        <v>4</v>
      </c>
      <c r="AV85" s="32">
        <v>4</v>
      </c>
      <c r="AY85" s="32">
        <v>0</v>
      </c>
      <c r="BF85" s="32">
        <v>4</v>
      </c>
      <c r="BO85" s="32">
        <v>34</v>
      </c>
    </row>
    <row r="86" spans="2:67" s="32" customFormat="1" ht="24.95" customHeight="1">
      <c r="B86" s="51">
        <v>11</v>
      </c>
      <c r="C86" s="51">
        <v>1</v>
      </c>
      <c r="D86" s="67">
        <v>4</v>
      </c>
      <c r="E86" s="55">
        <v>28</v>
      </c>
      <c r="F86" s="131">
        <f>IF(ISBLANK(E86),0,IF(E86=Answers!E86,1,-1))</f>
        <v>1</v>
      </c>
      <c r="G86" s="66">
        <v>5</v>
      </c>
      <c r="H86" s="66">
        <v>2</v>
      </c>
      <c r="I86" s="66">
        <v>2</v>
      </c>
      <c r="J86" s="66">
        <v>3</v>
      </c>
      <c r="K86" s="66">
        <v>2</v>
      </c>
      <c r="L86" s="66">
        <v>3</v>
      </c>
      <c r="M86" s="66">
        <v>5</v>
      </c>
      <c r="N86" s="66">
        <v>4</v>
      </c>
      <c r="O86" s="66">
        <v>2</v>
      </c>
      <c r="P86" s="33"/>
      <c r="Q86" s="33">
        <f t="shared" si="0"/>
        <v>28</v>
      </c>
      <c r="R86" s="33"/>
      <c r="S86" s="33"/>
      <c r="T86" s="33"/>
      <c r="U86" s="33"/>
      <c r="V86" s="33"/>
      <c r="W86" s="33"/>
      <c r="X86" s="33"/>
      <c r="Y86" s="33"/>
      <c r="Z86" s="33"/>
      <c r="AA86" s="33"/>
      <c r="AB86" s="33"/>
      <c r="AC86" s="33"/>
      <c r="AD86" s="33"/>
      <c r="AE86" s="33">
        <v>28</v>
      </c>
      <c r="AF86" s="33"/>
      <c r="AG86" s="33"/>
      <c r="AN86" s="32">
        <v>2</v>
      </c>
      <c r="AO86" s="32">
        <v>4</v>
      </c>
      <c r="AP86" s="32">
        <v>3</v>
      </c>
      <c r="AQ86" s="32">
        <v>3</v>
      </c>
      <c r="AR86" s="32">
        <v>2</v>
      </c>
      <c r="AS86" s="32">
        <v>2</v>
      </c>
      <c r="AT86" s="32">
        <v>4</v>
      </c>
      <c r="AU86" s="32">
        <v>4</v>
      </c>
      <c r="AV86" s="32">
        <v>4</v>
      </c>
      <c r="AY86" s="32">
        <v>3</v>
      </c>
      <c r="BF86" s="32">
        <v>4</v>
      </c>
      <c r="BO86" s="32">
        <v>35</v>
      </c>
    </row>
    <row r="87" spans="2:67" s="32" customFormat="1" ht="24.95" customHeight="1">
      <c r="B87" s="51">
        <v>12</v>
      </c>
      <c r="C87" s="51">
        <v>1</v>
      </c>
      <c r="D87" s="67">
        <v>4</v>
      </c>
      <c r="E87" s="55">
        <v>34</v>
      </c>
      <c r="F87" s="131">
        <f>IF(ISBLANK(E87),0,IF(E87=Answers!E87,1,-1))</f>
        <v>1</v>
      </c>
      <c r="G87" s="66">
        <v>5</v>
      </c>
      <c r="H87" s="66">
        <v>4</v>
      </c>
      <c r="I87" s="66">
        <v>5</v>
      </c>
      <c r="J87" s="66">
        <v>2</v>
      </c>
      <c r="K87" s="66">
        <v>4</v>
      </c>
      <c r="L87" s="66">
        <v>5</v>
      </c>
      <c r="M87" s="66">
        <v>2</v>
      </c>
      <c r="N87" s="66">
        <v>5</v>
      </c>
      <c r="O87" s="66">
        <v>2</v>
      </c>
      <c r="P87" s="33"/>
      <c r="Q87" s="33">
        <f t="shared" si="0"/>
        <v>34</v>
      </c>
      <c r="R87" s="33"/>
      <c r="S87" s="33"/>
      <c r="T87" s="33"/>
      <c r="U87" s="33"/>
      <c r="V87" s="33"/>
      <c r="W87" s="33"/>
      <c r="X87" s="33"/>
      <c r="Y87" s="33"/>
      <c r="Z87" s="33"/>
      <c r="AA87" s="33"/>
      <c r="AB87" s="33"/>
      <c r="AC87" s="33"/>
      <c r="AD87" s="33"/>
      <c r="AE87" s="33">
        <v>35</v>
      </c>
      <c r="AF87" s="33"/>
      <c r="AG87" s="33"/>
      <c r="AN87" s="32">
        <v>5</v>
      </c>
      <c r="AO87" s="32">
        <v>2</v>
      </c>
      <c r="AP87" s="32">
        <v>5</v>
      </c>
      <c r="AQ87" s="32">
        <v>4</v>
      </c>
      <c r="AR87" s="32">
        <v>3</v>
      </c>
      <c r="AS87" s="32">
        <v>2</v>
      </c>
      <c r="AT87" s="32">
        <v>5</v>
      </c>
      <c r="AU87" s="32">
        <v>5</v>
      </c>
      <c r="AV87" s="32">
        <v>4</v>
      </c>
      <c r="AY87" s="32">
        <v>2</v>
      </c>
      <c r="BF87" s="32">
        <v>5</v>
      </c>
      <c r="BO87" s="32">
        <v>36</v>
      </c>
    </row>
    <row r="88" spans="2:67" s="32" customFormat="1" ht="24.95" customHeight="1">
      <c r="B88" s="51">
        <v>13</v>
      </c>
      <c r="C88" s="51">
        <v>1</v>
      </c>
      <c r="D88" s="67">
        <v>4</v>
      </c>
      <c r="E88" s="55">
        <v>31</v>
      </c>
      <c r="F88" s="131">
        <f>IF(ISBLANK(E88),0,IF(E88=Answers!E88,1,-1))</f>
        <v>1</v>
      </c>
      <c r="G88" s="66">
        <v>3</v>
      </c>
      <c r="H88" s="66">
        <v>4</v>
      </c>
      <c r="I88" s="66">
        <v>2</v>
      </c>
      <c r="J88" s="66">
        <v>3</v>
      </c>
      <c r="K88" s="66">
        <v>2</v>
      </c>
      <c r="L88" s="66">
        <v>5</v>
      </c>
      <c r="M88" s="66">
        <v>4</v>
      </c>
      <c r="N88" s="66">
        <v>3</v>
      </c>
      <c r="O88" s="66">
        <v>5</v>
      </c>
      <c r="P88" s="33"/>
      <c r="Q88" s="33">
        <f t="shared" si="0"/>
        <v>31</v>
      </c>
      <c r="R88" s="33"/>
      <c r="S88" s="33"/>
      <c r="T88" s="33"/>
      <c r="U88" s="33"/>
      <c r="V88" s="33"/>
      <c r="W88" s="33"/>
      <c r="X88" s="33"/>
      <c r="Y88" s="33"/>
      <c r="Z88" s="33"/>
      <c r="AA88" s="33"/>
      <c r="AB88" s="33"/>
      <c r="AC88" s="33"/>
      <c r="AD88" s="33"/>
      <c r="AE88" s="33">
        <v>35</v>
      </c>
      <c r="AF88" s="33"/>
      <c r="AG88" s="33"/>
      <c r="AN88" s="32">
        <v>2</v>
      </c>
      <c r="AO88" s="32">
        <v>2</v>
      </c>
      <c r="AP88" s="32">
        <v>5</v>
      </c>
      <c r="AQ88" s="32">
        <v>5</v>
      </c>
      <c r="AR88" s="32">
        <v>2</v>
      </c>
      <c r="AS88" s="32">
        <v>5</v>
      </c>
      <c r="AT88" s="32">
        <v>4</v>
      </c>
      <c r="AU88" s="32">
        <v>5</v>
      </c>
      <c r="AV88" s="32">
        <v>5</v>
      </c>
      <c r="AY88" s="32">
        <v>3</v>
      </c>
      <c r="BF88" s="32">
        <v>5</v>
      </c>
      <c r="BO88" s="32">
        <v>37</v>
      </c>
    </row>
    <row r="89" spans="2:67" s="32" customFormat="1" ht="24.95" customHeight="1">
      <c r="B89" s="51">
        <v>14</v>
      </c>
      <c r="C89" s="51">
        <v>1</v>
      </c>
      <c r="D89" s="67">
        <v>4</v>
      </c>
      <c r="E89" s="55">
        <v>35</v>
      </c>
      <c r="F89" s="131">
        <f>IF(ISBLANK(E89),0,IF(E89=Answers!E89,1,-1))</f>
        <v>1</v>
      </c>
      <c r="G89" s="66">
        <v>4</v>
      </c>
      <c r="H89" s="66">
        <v>4</v>
      </c>
      <c r="I89" s="66">
        <v>4</v>
      </c>
      <c r="J89" s="66">
        <v>3</v>
      </c>
      <c r="K89" s="66">
        <v>2</v>
      </c>
      <c r="L89" s="66">
        <v>5</v>
      </c>
      <c r="M89" s="66">
        <v>5</v>
      </c>
      <c r="N89" s="66">
        <v>3</v>
      </c>
      <c r="O89" s="66">
        <v>5</v>
      </c>
      <c r="P89" s="33"/>
      <c r="Q89" s="33">
        <f t="shared" si="0"/>
        <v>35</v>
      </c>
      <c r="R89" s="33"/>
      <c r="S89" s="33"/>
      <c r="T89" s="33"/>
      <c r="U89" s="33"/>
      <c r="V89" s="33"/>
      <c r="W89" s="33"/>
      <c r="X89" s="33"/>
      <c r="Y89" s="33"/>
      <c r="Z89" s="33"/>
      <c r="AA89" s="33"/>
      <c r="AB89" s="33"/>
      <c r="AC89" s="33"/>
      <c r="AD89" s="33"/>
      <c r="AE89" s="33">
        <v>29</v>
      </c>
      <c r="AF89" s="33"/>
      <c r="AG89" s="33"/>
      <c r="AN89" s="32">
        <v>3</v>
      </c>
      <c r="AO89" s="32">
        <v>2</v>
      </c>
      <c r="AP89" s="32">
        <v>2</v>
      </c>
      <c r="AQ89" s="32">
        <v>3</v>
      </c>
      <c r="AR89" s="32">
        <v>2</v>
      </c>
      <c r="AS89" s="32">
        <v>5</v>
      </c>
      <c r="AT89" s="32">
        <v>5</v>
      </c>
      <c r="AU89" s="32">
        <v>4</v>
      </c>
      <c r="AV89" s="32">
        <v>3</v>
      </c>
      <c r="AY89" s="32">
        <v>3</v>
      </c>
      <c r="BF89" s="32">
        <v>5</v>
      </c>
      <c r="BO89" s="32">
        <v>38</v>
      </c>
    </row>
    <row r="90" spans="2:67" s="32" customFormat="1" ht="24.95" customHeight="1">
      <c r="B90" s="51">
        <v>15</v>
      </c>
      <c r="C90" s="51">
        <v>1</v>
      </c>
      <c r="D90" s="67">
        <v>4</v>
      </c>
      <c r="E90" s="55">
        <v>34</v>
      </c>
      <c r="F90" s="131">
        <f>IF(ISBLANK(E90),0,IF(E90=Answers!E90,1,-1))</f>
        <v>1</v>
      </c>
      <c r="G90" s="66">
        <v>3</v>
      </c>
      <c r="H90" s="66">
        <v>3</v>
      </c>
      <c r="I90" s="66">
        <v>3</v>
      </c>
      <c r="J90" s="66">
        <v>5</v>
      </c>
      <c r="K90" s="66">
        <v>2</v>
      </c>
      <c r="L90" s="66">
        <v>5</v>
      </c>
      <c r="M90" s="66">
        <v>3</v>
      </c>
      <c r="N90" s="66">
        <v>5</v>
      </c>
      <c r="O90" s="66">
        <v>5</v>
      </c>
      <c r="P90" s="33"/>
      <c r="Q90" s="33">
        <f t="shared" si="0"/>
        <v>34</v>
      </c>
      <c r="R90" s="33"/>
      <c r="S90" s="33"/>
      <c r="T90" s="33"/>
      <c r="U90" s="33"/>
      <c r="V90" s="33"/>
      <c r="W90" s="33"/>
      <c r="X90" s="33"/>
      <c r="Y90" s="33"/>
      <c r="Z90" s="33"/>
      <c r="AA90" s="33"/>
      <c r="AB90" s="33"/>
      <c r="AC90" s="33"/>
      <c r="AD90" s="33"/>
      <c r="AE90" s="33">
        <v>28</v>
      </c>
      <c r="AF90" s="33"/>
      <c r="AG90" s="33"/>
      <c r="AN90" s="32">
        <v>3</v>
      </c>
      <c r="AO90" s="32">
        <v>4</v>
      </c>
      <c r="AP90" s="32">
        <v>2</v>
      </c>
      <c r="AQ90" s="32">
        <v>3</v>
      </c>
      <c r="AR90" s="32">
        <v>3</v>
      </c>
      <c r="AS90" s="32">
        <v>3</v>
      </c>
      <c r="AT90" s="32">
        <v>2</v>
      </c>
      <c r="AU90" s="32">
        <v>4</v>
      </c>
      <c r="AV90" s="32">
        <v>4</v>
      </c>
      <c r="AY90" s="32">
        <v>2</v>
      </c>
      <c r="BF90" s="32">
        <v>4</v>
      </c>
      <c r="BO90" s="32">
        <v>39</v>
      </c>
    </row>
    <row r="91" spans="2:67" s="32" customFormat="1" ht="24.95" customHeight="1">
      <c r="B91" s="51">
        <v>16</v>
      </c>
      <c r="C91" s="51">
        <v>1</v>
      </c>
      <c r="D91" s="67">
        <v>4</v>
      </c>
      <c r="E91" s="55">
        <v>30</v>
      </c>
      <c r="F91" s="131">
        <f>IF(ISBLANK(E91),0,IF(E91=Answers!E91,1,-1))</f>
        <v>1</v>
      </c>
      <c r="G91" s="66">
        <v>2</v>
      </c>
      <c r="H91" s="66">
        <v>3</v>
      </c>
      <c r="I91" s="66">
        <v>2</v>
      </c>
      <c r="J91" s="66">
        <v>2</v>
      </c>
      <c r="K91" s="66">
        <v>5</v>
      </c>
      <c r="L91" s="66">
        <v>4</v>
      </c>
      <c r="M91" s="66">
        <v>5</v>
      </c>
      <c r="N91" s="66">
        <v>5</v>
      </c>
      <c r="O91" s="66">
        <v>2</v>
      </c>
      <c r="P91" s="33"/>
      <c r="Q91" s="33">
        <f t="shared" si="0"/>
        <v>30</v>
      </c>
      <c r="R91" s="33"/>
      <c r="S91" s="33"/>
      <c r="T91" s="33"/>
      <c r="U91" s="33"/>
      <c r="V91" s="33"/>
      <c r="W91" s="33"/>
      <c r="X91" s="33"/>
      <c r="Y91" s="33"/>
      <c r="Z91" s="33"/>
      <c r="AA91" s="33"/>
      <c r="AB91" s="33"/>
      <c r="AC91" s="33"/>
      <c r="AD91" s="33"/>
      <c r="AE91" s="33">
        <v>31</v>
      </c>
      <c r="AF91" s="33"/>
      <c r="AG91" s="33"/>
      <c r="AN91" s="32">
        <v>5</v>
      </c>
      <c r="AO91" s="32">
        <v>4</v>
      </c>
      <c r="AP91" s="32">
        <v>2</v>
      </c>
      <c r="AQ91" s="32">
        <v>2</v>
      </c>
      <c r="AR91" s="32">
        <v>4</v>
      </c>
      <c r="AS91" s="32">
        <v>4</v>
      </c>
      <c r="AT91" s="32">
        <v>3</v>
      </c>
      <c r="AU91" s="32">
        <v>4</v>
      </c>
      <c r="AV91" s="32">
        <v>3</v>
      </c>
      <c r="AY91" s="32">
        <v>2</v>
      </c>
      <c r="BF91" s="32">
        <v>5</v>
      </c>
      <c r="BO91" s="32">
        <v>40</v>
      </c>
    </row>
    <row r="92" spans="2:67" s="32" customFormat="1" ht="24.95" customHeight="1">
      <c r="B92" s="51">
        <v>17</v>
      </c>
      <c r="C92" s="51">
        <v>1</v>
      </c>
      <c r="D92" s="67">
        <v>4</v>
      </c>
      <c r="E92" s="55">
        <v>33</v>
      </c>
      <c r="F92" s="131">
        <f>IF(ISBLANK(E92),0,IF(E92=Answers!E92,1,-1))</f>
        <v>1</v>
      </c>
      <c r="G92" s="66">
        <v>3</v>
      </c>
      <c r="H92" s="66">
        <v>4</v>
      </c>
      <c r="I92" s="66">
        <v>4</v>
      </c>
      <c r="J92" s="66">
        <v>3</v>
      </c>
      <c r="K92" s="66">
        <v>4</v>
      </c>
      <c r="L92" s="66">
        <v>3</v>
      </c>
      <c r="M92" s="66">
        <v>4</v>
      </c>
      <c r="N92" s="66">
        <v>4</v>
      </c>
      <c r="O92" s="66">
        <v>4</v>
      </c>
      <c r="P92" s="33"/>
      <c r="Q92" s="33">
        <f t="shared" si="0"/>
        <v>33</v>
      </c>
      <c r="R92" s="33"/>
      <c r="S92" s="33"/>
      <c r="T92" s="33"/>
      <c r="U92" s="33"/>
      <c r="V92" s="33"/>
      <c r="W92" s="33"/>
      <c r="X92" s="33"/>
      <c r="Y92" s="33"/>
      <c r="Z92" s="33"/>
      <c r="AA92" s="33"/>
      <c r="AB92" s="33"/>
      <c r="AC92" s="33"/>
      <c r="AD92" s="33"/>
      <c r="AE92" s="33">
        <v>26</v>
      </c>
      <c r="AF92" s="33"/>
      <c r="AG92" s="33"/>
      <c r="AN92" s="32">
        <v>5</v>
      </c>
      <c r="AO92" s="32">
        <v>3</v>
      </c>
      <c r="AP92" s="32">
        <v>3</v>
      </c>
      <c r="AQ92" s="32">
        <v>3</v>
      </c>
      <c r="AR92" s="32">
        <v>3</v>
      </c>
      <c r="AS92" s="32">
        <v>3</v>
      </c>
      <c r="AT92" s="32">
        <v>2</v>
      </c>
      <c r="AU92" s="32">
        <v>2</v>
      </c>
      <c r="AV92" s="32">
        <v>2</v>
      </c>
      <c r="AY92" s="32">
        <v>3</v>
      </c>
      <c r="BF92" s="32">
        <v>8</v>
      </c>
      <c r="BO92" s="32">
        <v>41</v>
      </c>
    </row>
    <row r="93" spans="2:67" s="32" customFormat="1" ht="24.95" customHeight="1">
      <c r="B93" s="51">
        <v>18</v>
      </c>
      <c r="C93" s="51">
        <v>1</v>
      </c>
      <c r="D93" s="67">
        <v>4</v>
      </c>
      <c r="E93" s="55">
        <v>29</v>
      </c>
      <c r="F93" s="131">
        <f>IF(ISBLANK(E93),0,IF(E93=Answers!E93,1,-1))</f>
        <v>1</v>
      </c>
      <c r="G93" s="66">
        <v>3</v>
      </c>
      <c r="H93" s="66">
        <v>4</v>
      </c>
      <c r="I93" s="66">
        <v>5</v>
      </c>
      <c r="J93" s="66">
        <v>2</v>
      </c>
      <c r="K93" s="66">
        <v>2</v>
      </c>
      <c r="L93" s="66">
        <v>5</v>
      </c>
      <c r="M93" s="66">
        <v>2</v>
      </c>
      <c r="N93" s="66">
        <v>3</v>
      </c>
      <c r="O93" s="66">
        <v>3</v>
      </c>
      <c r="P93" s="33"/>
      <c r="Q93" s="33">
        <f t="shared" si="0"/>
        <v>29</v>
      </c>
      <c r="R93" s="33"/>
      <c r="S93" s="33"/>
      <c r="T93" s="33"/>
      <c r="U93" s="33"/>
      <c r="V93" s="33"/>
      <c r="W93" s="33"/>
      <c r="X93" s="33"/>
      <c r="Y93" s="33"/>
      <c r="Z93" s="33"/>
      <c r="AA93" s="33"/>
      <c r="AB93" s="33"/>
      <c r="AC93" s="33"/>
      <c r="AD93" s="33"/>
      <c r="AE93" s="33">
        <v>36</v>
      </c>
      <c r="AF93" s="33"/>
      <c r="AG93" s="33"/>
      <c r="AH93" s="33"/>
      <c r="AI93" s="33"/>
      <c r="AJ93" s="33"/>
      <c r="AN93" s="32">
        <v>5</v>
      </c>
      <c r="AO93" s="32">
        <v>5</v>
      </c>
      <c r="AP93" s="32">
        <v>3</v>
      </c>
      <c r="AQ93" s="32">
        <v>5</v>
      </c>
      <c r="AR93" s="32">
        <v>3</v>
      </c>
      <c r="AS93" s="32">
        <v>4</v>
      </c>
      <c r="AT93" s="32">
        <v>3</v>
      </c>
      <c r="AU93" s="32">
        <v>5</v>
      </c>
      <c r="AV93" s="32">
        <v>3</v>
      </c>
      <c r="AY93" s="32">
        <v>0</v>
      </c>
      <c r="BF93" s="32">
        <v>10</v>
      </c>
      <c r="BO93" s="32">
        <v>42</v>
      </c>
    </row>
    <row r="94" spans="2:67" s="32" customFormat="1" ht="24.95" customHeight="1">
      <c r="B94" s="51">
        <v>19</v>
      </c>
      <c r="C94" s="51">
        <v>1</v>
      </c>
      <c r="D94" s="67">
        <v>4</v>
      </c>
      <c r="E94" s="55">
        <v>32</v>
      </c>
      <c r="F94" s="131">
        <f>IF(ISBLANK(E94),0,IF(E94=Answers!E94,1,-1))</f>
        <v>1</v>
      </c>
      <c r="G94" s="66">
        <v>3</v>
      </c>
      <c r="H94" s="66">
        <v>3</v>
      </c>
      <c r="I94" s="66">
        <v>4</v>
      </c>
      <c r="J94" s="66">
        <v>4</v>
      </c>
      <c r="K94" s="66">
        <v>2</v>
      </c>
      <c r="L94" s="66">
        <v>3</v>
      </c>
      <c r="M94" s="66">
        <v>5</v>
      </c>
      <c r="N94" s="66">
        <v>4</v>
      </c>
      <c r="O94" s="66">
        <v>4</v>
      </c>
      <c r="P94" s="33"/>
      <c r="Q94" s="33">
        <f t="shared" si="0"/>
        <v>32</v>
      </c>
      <c r="R94" s="33"/>
      <c r="S94" s="33"/>
      <c r="T94" s="33"/>
      <c r="U94" s="33"/>
      <c r="V94" s="33"/>
      <c r="W94" s="33"/>
      <c r="X94" s="33"/>
      <c r="Y94" s="33"/>
      <c r="Z94" s="33"/>
      <c r="AA94" s="33"/>
      <c r="AB94" s="33"/>
      <c r="AC94" s="33"/>
      <c r="AD94" s="33"/>
      <c r="AE94" s="33">
        <v>27</v>
      </c>
      <c r="AF94" s="33"/>
      <c r="AG94" s="33"/>
      <c r="AH94" s="33"/>
      <c r="AI94" s="33"/>
      <c r="AJ94" s="33"/>
      <c r="AN94" s="32">
        <v>3</v>
      </c>
      <c r="AO94" s="32">
        <v>2</v>
      </c>
      <c r="AP94" s="32">
        <v>3</v>
      </c>
      <c r="AQ94" s="32">
        <v>4</v>
      </c>
      <c r="AR94" s="32">
        <v>3</v>
      </c>
      <c r="AS94" s="32">
        <v>2</v>
      </c>
      <c r="AT94" s="32">
        <v>5</v>
      </c>
      <c r="AU94" s="32">
        <v>2</v>
      </c>
      <c r="AV94" s="32">
        <v>3</v>
      </c>
      <c r="AY94" s="32">
        <v>3</v>
      </c>
      <c r="BF94" s="32">
        <v>9</v>
      </c>
      <c r="BO94" s="32">
        <v>43</v>
      </c>
    </row>
    <row r="95" spans="2:67" s="32" customFormat="1" ht="24.95" customHeight="1">
      <c r="B95" s="51">
        <v>20</v>
      </c>
      <c r="C95" s="51">
        <v>1</v>
      </c>
      <c r="D95" s="67">
        <v>4</v>
      </c>
      <c r="E95" s="55">
        <v>34</v>
      </c>
      <c r="F95" s="131">
        <f>IF(ISBLANK(E95),0,IF(E95=Answers!E95,1,-1))</f>
        <v>1</v>
      </c>
      <c r="G95" s="66">
        <v>5</v>
      </c>
      <c r="H95" s="66">
        <v>3</v>
      </c>
      <c r="I95" s="66">
        <v>4</v>
      </c>
      <c r="J95" s="66">
        <v>4</v>
      </c>
      <c r="K95" s="66">
        <v>4</v>
      </c>
      <c r="L95" s="66">
        <v>5</v>
      </c>
      <c r="M95" s="66">
        <v>4</v>
      </c>
      <c r="N95" s="66">
        <v>3</v>
      </c>
      <c r="O95" s="66">
        <v>2</v>
      </c>
      <c r="P95" s="33"/>
      <c r="Q95" s="33">
        <f t="shared" si="0"/>
        <v>34</v>
      </c>
      <c r="R95" s="33"/>
      <c r="S95" s="33"/>
      <c r="T95" s="33"/>
      <c r="U95" s="33"/>
      <c r="V95" s="33"/>
      <c r="W95" s="33"/>
      <c r="X95" s="33"/>
      <c r="Y95" s="33"/>
      <c r="Z95" s="33"/>
      <c r="AA95" s="33"/>
      <c r="AB95" s="33"/>
      <c r="AC95" s="33"/>
      <c r="AD95" s="33"/>
      <c r="AE95" s="33">
        <v>27</v>
      </c>
      <c r="AF95" s="33"/>
      <c r="AG95" s="33"/>
      <c r="AH95" s="33"/>
      <c r="AI95" s="33"/>
      <c r="AJ95" s="33"/>
      <c r="AN95" s="32">
        <v>5</v>
      </c>
      <c r="AO95" s="32">
        <v>4</v>
      </c>
      <c r="AP95" s="32">
        <v>2</v>
      </c>
      <c r="AQ95" s="32">
        <v>2</v>
      </c>
      <c r="AR95" s="32">
        <v>2</v>
      </c>
      <c r="AS95" s="32">
        <v>2</v>
      </c>
      <c r="AT95" s="32">
        <v>2</v>
      </c>
      <c r="AU95" s="32">
        <v>5</v>
      </c>
      <c r="AV95" s="32">
        <v>3</v>
      </c>
      <c r="AY95" s="32">
        <v>5</v>
      </c>
      <c r="BF95" s="32">
        <v>10</v>
      </c>
      <c r="BO95" s="32">
        <v>44</v>
      </c>
    </row>
    <row r="96" spans="2:67" s="32" customFormat="1" ht="15" customHeight="1" thickBot="1">
      <c r="J96" s="33"/>
      <c r="K96" s="33"/>
      <c r="L96" s="33"/>
      <c r="M96" s="33"/>
      <c r="N96" s="33"/>
      <c r="O96" s="33"/>
      <c r="P96" s="33"/>
      <c r="Q96" s="33"/>
      <c r="R96" s="33"/>
      <c r="S96" s="33"/>
      <c r="T96" s="33"/>
      <c r="U96" s="33"/>
      <c r="V96" s="33"/>
      <c r="W96" s="33"/>
      <c r="X96" s="33"/>
      <c r="Y96" s="33"/>
      <c r="Z96" s="33"/>
      <c r="AA96" s="33"/>
      <c r="AB96" s="33"/>
      <c r="AC96" s="33"/>
      <c r="AD96" s="33"/>
      <c r="AE96" s="33">
        <v>38</v>
      </c>
      <c r="AF96" s="33"/>
      <c r="AG96" s="33"/>
      <c r="AH96" s="33"/>
      <c r="AI96" s="33"/>
      <c r="AJ96" s="33"/>
      <c r="AN96" s="32">
        <v>5</v>
      </c>
      <c r="AO96" s="32">
        <v>5</v>
      </c>
      <c r="AP96" s="32">
        <v>5</v>
      </c>
      <c r="AQ96" s="32">
        <v>4</v>
      </c>
      <c r="AR96" s="32">
        <v>5</v>
      </c>
      <c r="AS96" s="32">
        <v>3</v>
      </c>
      <c r="AT96" s="32">
        <v>4</v>
      </c>
      <c r="AU96" s="32">
        <v>3</v>
      </c>
      <c r="AV96" s="32">
        <v>4</v>
      </c>
      <c r="AY96" s="32">
        <v>0</v>
      </c>
      <c r="BF96" s="32">
        <v>10</v>
      </c>
      <c r="BO96" s="32">
        <v>45</v>
      </c>
    </row>
    <row r="97" spans="2:67" s="32" customFormat="1" ht="22.5" customHeight="1" thickBot="1">
      <c r="B97" s="57" t="s">
        <v>36</v>
      </c>
      <c r="C97" s="114" t="s">
        <v>126</v>
      </c>
      <c r="D97" s="59"/>
      <c r="J97" s="33"/>
      <c r="K97" s="33"/>
      <c r="L97" s="33"/>
      <c r="M97" s="33"/>
      <c r="N97" s="33"/>
      <c r="O97" s="33"/>
      <c r="P97" s="33"/>
      <c r="Q97" s="33"/>
      <c r="R97" s="33"/>
      <c r="S97" s="33"/>
      <c r="T97" s="33"/>
      <c r="U97" s="33"/>
      <c r="V97" s="33"/>
      <c r="W97" s="33"/>
      <c r="X97" s="33"/>
      <c r="Y97" s="33"/>
      <c r="Z97" s="33"/>
      <c r="AA97" s="33"/>
      <c r="AB97" s="33"/>
      <c r="AC97" s="33"/>
      <c r="AD97" s="33"/>
      <c r="AE97" s="33">
        <v>33</v>
      </c>
      <c r="AF97" s="33"/>
      <c r="AG97" s="33"/>
      <c r="AH97" s="33"/>
      <c r="AI97" s="33"/>
      <c r="AJ97" s="33"/>
      <c r="AN97" s="32">
        <v>5</v>
      </c>
      <c r="AO97" s="32">
        <v>4</v>
      </c>
      <c r="AP97" s="32">
        <v>3</v>
      </c>
      <c r="AQ97" s="32">
        <v>5</v>
      </c>
      <c r="AR97" s="32">
        <v>2</v>
      </c>
      <c r="AS97" s="32">
        <v>2</v>
      </c>
      <c r="AT97" s="32">
        <v>4</v>
      </c>
      <c r="AU97" s="32">
        <v>3</v>
      </c>
      <c r="AV97" s="32">
        <v>5</v>
      </c>
      <c r="AY97" s="32">
        <v>2</v>
      </c>
      <c r="BF97" s="32">
        <v>10</v>
      </c>
      <c r="BO97" s="32">
        <v>46</v>
      </c>
    </row>
    <row r="98" spans="2:67" s="16" customFormat="1" ht="15" customHeight="1">
      <c r="H98" s="32"/>
      <c r="J98" s="50"/>
      <c r="K98" s="50"/>
      <c r="L98" s="50"/>
      <c r="M98" s="50"/>
      <c r="N98" s="50"/>
      <c r="O98" s="50"/>
      <c r="P98" s="50"/>
      <c r="Q98" s="50"/>
      <c r="R98" s="50"/>
      <c r="S98" s="50"/>
      <c r="T98" s="50"/>
      <c r="U98" s="50"/>
      <c r="V98" s="50"/>
      <c r="W98" s="50"/>
      <c r="X98" s="50"/>
      <c r="Y98" s="50"/>
      <c r="Z98" s="50"/>
      <c r="AA98" s="50"/>
      <c r="AB98" s="50"/>
      <c r="AC98" s="50"/>
      <c r="AD98" s="50"/>
      <c r="AE98" s="50">
        <v>36</v>
      </c>
      <c r="AF98" s="50"/>
      <c r="AG98" s="50"/>
      <c r="AH98" s="50"/>
      <c r="AI98" s="50"/>
      <c r="AJ98" s="50"/>
      <c r="AN98" s="16">
        <v>5</v>
      </c>
      <c r="AO98" s="16">
        <v>3</v>
      </c>
      <c r="AP98" s="16">
        <v>3</v>
      </c>
      <c r="AQ98" s="16">
        <v>3</v>
      </c>
      <c r="AR98" s="16">
        <v>3</v>
      </c>
      <c r="AS98" s="16">
        <v>5</v>
      </c>
      <c r="AT98" s="16">
        <v>5</v>
      </c>
      <c r="AU98" s="16">
        <v>4</v>
      </c>
      <c r="AV98" s="16">
        <v>5</v>
      </c>
      <c r="AY98" s="16">
        <v>0</v>
      </c>
      <c r="BF98" s="16">
        <v>10</v>
      </c>
      <c r="BO98" s="16">
        <v>47</v>
      </c>
    </row>
    <row r="99" spans="2:67" s="16" customFormat="1" ht="15" customHeight="1">
      <c r="B99" s="60" t="s">
        <v>101</v>
      </c>
      <c r="C99" s="61"/>
      <c r="H99" s="32"/>
      <c r="J99" s="50"/>
      <c r="K99" s="50"/>
      <c r="L99" s="50"/>
      <c r="M99" s="50"/>
      <c r="N99" s="50"/>
      <c r="O99" s="50"/>
      <c r="P99" s="50"/>
      <c r="Q99" s="50"/>
      <c r="R99" s="50"/>
      <c r="S99" s="50"/>
      <c r="T99" s="50"/>
      <c r="U99" s="50"/>
      <c r="V99" s="50"/>
      <c r="W99" s="50"/>
      <c r="X99" s="50"/>
      <c r="Y99" s="50"/>
      <c r="Z99" s="50"/>
      <c r="AA99" s="50"/>
      <c r="AB99" s="50"/>
      <c r="AC99" s="50"/>
      <c r="AD99" s="50"/>
      <c r="AE99" s="50">
        <v>27</v>
      </c>
      <c r="AF99" s="50"/>
      <c r="AG99" s="50"/>
      <c r="AH99" s="50"/>
      <c r="AI99" s="50"/>
      <c r="AJ99" s="50"/>
      <c r="AN99" s="16">
        <v>2</v>
      </c>
      <c r="AO99" s="16">
        <v>2</v>
      </c>
      <c r="AP99" s="16">
        <v>2</v>
      </c>
      <c r="AQ99" s="16">
        <v>5</v>
      </c>
      <c r="AR99" s="16">
        <v>5</v>
      </c>
      <c r="AS99" s="16">
        <v>2</v>
      </c>
      <c r="AT99" s="16">
        <v>2</v>
      </c>
      <c r="AU99" s="16">
        <v>5</v>
      </c>
      <c r="AV99" s="16">
        <v>2</v>
      </c>
      <c r="AY99" s="16">
        <v>6</v>
      </c>
      <c r="BF99" s="16">
        <v>10</v>
      </c>
      <c r="BO99" s="16">
        <v>48</v>
      </c>
    </row>
    <row r="100" spans="2:67" s="16" customFormat="1" ht="15" customHeight="1">
      <c r="B100" s="61"/>
      <c r="C100" s="61"/>
      <c r="H100" s="32"/>
      <c r="J100" s="50"/>
      <c r="K100" s="50"/>
      <c r="L100" s="50"/>
      <c r="M100" s="50"/>
      <c r="N100" s="50"/>
      <c r="O100" s="50"/>
      <c r="P100" s="50"/>
      <c r="Q100" s="50"/>
      <c r="R100" s="50"/>
      <c r="S100" s="50"/>
      <c r="T100" s="50"/>
      <c r="U100" s="50"/>
      <c r="V100" s="50"/>
      <c r="W100" s="50"/>
      <c r="X100" s="50"/>
      <c r="Y100" s="50"/>
      <c r="Z100" s="50"/>
      <c r="AA100" s="50"/>
      <c r="AB100" s="50"/>
      <c r="AC100" s="50"/>
      <c r="AD100" s="50"/>
      <c r="AE100" s="50">
        <v>32</v>
      </c>
      <c r="AF100" s="50"/>
      <c r="AG100" s="50"/>
      <c r="AH100" s="50"/>
      <c r="AI100" s="50"/>
      <c r="AJ100" s="50"/>
      <c r="AK100" s="50"/>
      <c r="AL100" s="50"/>
      <c r="AM100" s="50"/>
      <c r="AN100" s="50">
        <v>3</v>
      </c>
      <c r="AO100" s="16">
        <v>5</v>
      </c>
      <c r="AP100" s="16">
        <v>3</v>
      </c>
      <c r="AQ100" s="16">
        <v>5</v>
      </c>
      <c r="AR100" s="16">
        <v>4</v>
      </c>
      <c r="AS100" s="16">
        <v>3</v>
      </c>
      <c r="AT100" s="16">
        <v>3</v>
      </c>
      <c r="AU100" s="16">
        <v>2</v>
      </c>
      <c r="AV100" s="16">
        <v>4</v>
      </c>
      <c r="AY100" s="16">
        <v>1</v>
      </c>
      <c r="BF100" s="16">
        <v>10</v>
      </c>
      <c r="BO100" s="16">
        <v>49</v>
      </c>
    </row>
    <row r="101" spans="2:67" s="16" customFormat="1" ht="15" customHeight="1">
      <c r="B101" s="60" t="s">
        <v>102</v>
      </c>
      <c r="C101" s="61"/>
      <c r="H101" s="32"/>
      <c r="J101" s="50"/>
      <c r="K101" s="50"/>
      <c r="L101" s="50"/>
      <c r="M101" s="50"/>
      <c r="N101" s="50"/>
      <c r="O101" s="50"/>
      <c r="P101" s="50"/>
      <c r="Q101" s="50"/>
      <c r="R101" s="50"/>
      <c r="S101" s="50"/>
      <c r="T101" s="50"/>
      <c r="U101" s="50"/>
      <c r="V101" s="50"/>
      <c r="W101" s="50"/>
      <c r="X101" s="50"/>
      <c r="Y101" s="50"/>
      <c r="Z101" s="50"/>
      <c r="AA101" s="50"/>
      <c r="AB101" s="50"/>
      <c r="AC101" s="50"/>
      <c r="AD101" s="50"/>
      <c r="AE101" s="50">
        <v>30</v>
      </c>
      <c r="AF101" s="50"/>
      <c r="AG101" s="50"/>
      <c r="AH101" s="50"/>
      <c r="AI101" s="50"/>
      <c r="AJ101" s="50"/>
      <c r="AK101" s="50"/>
      <c r="AL101" s="50"/>
      <c r="AM101" s="50"/>
      <c r="AN101" s="50">
        <v>4</v>
      </c>
      <c r="AO101" s="16">
        <v>2</v>
      </c>
      <c r="AP101" s="16">
        <v>3</v>
      </c>
      <c r="AQ101" s="16">
        <v>4</v>
      </c>
      <c r="AR101" s="16">
        <v>5</v>
      </c>
      <c r="AS101" s="16">
        <v>2</v>
      </c>
      <c r="AT101" s="16">
        <v>2</v>
      </c>
      <c r="AU101" s="16">
        <v>4</v>
      </c>
      <c r="AV101" s="16">
        <v>4</v>
      </c>
      <c r="AY101" s="16">
        <v>3</v>
      </c>
      <c r="BF101" s="16">
        <v>9</v>
      </c>
      <c r="BO101" s="16">
        <v>50</v>
      </c>
    </row>
    <row r="102" spans="2:67" s="16" customFormat="1" ht="15" customHeight="1">
      <c r="H102" s="32"/>
      <c r="J102" s="50"/>
      <c r="K102" s="50"/>
      <c r="L102" s="50"/>
      <c r="M102" s="50"/>
      <c r="N102" s="50"/>
      <c r="O102" s="50"/>
      <c r="P102" s="50"/>
      <c r="Q102" s="50"/>
      <c r="R102" s="50"/>
      <c r="S102" s="50"/>
      <c r="T102" s="50"/>
      <c r="U102" s="50"/>
      <c r="V102" s="50"/>
      <c r="W102" s="50"/>
      <c r="X102" s="50"/>
      <c r="Y102" s="50"/>
      <c r="Z102" s="50"/>
      <c r="AA102" s="50"/>
      <c r="AB102" s="50"/>
      <c r="AC102" s="50"/>
      <c r="AD102" s="50"/>
      <c r="AE102" s="50">
        <v>30</v>
      </c>
      <c r="AF102" s="50"/>
      <c r="AG102" s="50"/>
      <c r="AH102" s="50"/>
      <c r="AI102" s="50"/>
      <c r="AJ102" s="50"/>
      <c r="AK102" s="50"/>
      <c r="AL102" s="50"/>
      <c r="AM102" s="50"/>
      <c r="AN102" s="50">
        <v>2</v>
      </c>
      <c r="AO102" s="16">
        <v>3</v>
      </c>
      <c r="AP102" s="16">
        <v>3</v>
      </c>
      <c r="AQ102" s="16">
        <v>5</v>
      </c>
      <c r="AR102" s="16">
        <v>4</v>
      </c>
      <c r="AS102" s="16">
        <v>5</v>
      </c>
      <c r="AT102" s="16">
        <v>3</v>
      </c>
      <c r="AU102" s="16">
        <v>3</v>
      </c>
      <c r="AV102" s="16">
        <v>2</v>
      </c>
      <c r="AY102" s="16">
        <v>2</v>
      </c>
      <c r="BF102" s="16">
        <v>10</v>
      </c>
      <c r="BO102" s="16">
        <v>51</v>
      </c>
    </row>
    <row r="103" spans="2:67" s="16" customFormat="1" ht="15" customHeight="1">
      <c r="B103" s="63" t="s">
        <v>34</v>
      </c>
      <c r="C103" s="61"/>
      <c r="D103" s="50"/>
      <c r="E103" s="50"/>
      <c r="F103" s="50"/>
      <c r="G103" s="50"/>
      <c r="H103" s="32"/>
      <c r="J103" s="50"/>
      <c r="K103" s="50"/>
      <c r="L103" s="50"/>
      <c r="M103" s="50"/>
      <c r="N103" s="50"/>
      <c r="O103" s="50"/>
      <c r="P103" s="50"/>
      <c r="Q103" s="50"/>
      <c r="R103" s="50"/>
      <c r="S103" s="50"/>
      <c r="T103" s="50"/>
      <c r="U103" s="50"/>
      <c r="V103" s="50"/>
      <c r="W103" s="50"/>
      <c r="X103" s="50"/>
      <c r="Y103" s="50"/>
      <c r="Z103" s="50"/>
      <c r="AA103" s="50"/>
      <c r="AB103" s="50"/>
      <c r="AC103" s="50"/>
      <c r="AD103" s="50"/>
      <c r="AE103" s="50">
        <v>26</v>
      </c>
      <c r="AF103" s="50"/>
      <c r="AG103" s="50"/>
      <c r="AH103" s="50"/>
      <c r="AI103" s="50"/>
      <c r="AJ103" s="50"/>
      <c r="AK103" s="50"/>
      <c r="AL103" s="50"/>
      <c r="AM103" s="50"/>
      <c r="AN103" s="50">
        <v>2</v>
      </c>
      <c r="AO103" s="16">
        <v>2</v>
      </c>
      <c r="AP103" s="16">
        <v>5</v>
      </c>
      <c r="AQ103" s="16">
        <v>3</v>
      </c>
      <c r="AR103" s="16">
        <v>4</v>
      </c>
      <c r="AS103" s="16">
        <v>4</v>
      </c>
      <c r="AT103" s="16">
        <v>2</v>
      </c>
      <c r="AU103" s="16">
        <v>2</v>
      </c>
      <c r="AV103" s="16">
        <v>2</v>
      </c>
      <c r="AY103" s="16">
        <v>5</v>
      </c>
      <c r="BF103" s="16">
        <v>9</v>
      </c>
      <c r="BO103" s="16">
        <v>52</v>
      </c>
    </row>
    <row r="104" spans="2:67" s="16" customFormat="1" ht="15" customHeight="1">
      <c r="B104" s="61" t="s">
        <v>104</v>
      </c>
      <c r="D104" s="50"/>
      <c r="E104" s="50"/>
      <c r="F104" s="50"/>
      <c r="G104" s="50"/>
      <c r="H104" s="32"/>
      <c r="J104" s="50"/>
      <c r="K104" s="50"/>
      <c r="L104" s="50"/>
      <c r="M104" s="50"/>
      <c r="N104" s="50"/>
      <c r="O104" s="50"/>
      <c r="P104" s="50"/>
      <c r="Q104" s="50"/>
      <c r="R104" s="50"/>
      <c r="S104" s="50"/>
      <c r="T104" s="50"/>
      <c r="U104" s="50"/>
      <c r="V104" s="50"/>
      <c r="W104" s="50"/>
      <c r="X104" s="50"/>
      <c r="Y104" s="50"/>
      <c r="Z104" s="50"/>
      <c r="AA104" s="50"/>
      <c r="AB104" s="50"/>
      <c r="AC104" s="50"/>
      <c r="AD104" s="50"/>
      <c r="AE104" s="50">
        <v>43</v>
      </c>
      <c r="AF104" s="50"/>
      <c r="AG104" s="50"/>
      <c r="AH104" s="50"/>
      <c r="AI104" s="50"/>
      <c r="AJ104" s="50"/>
      <c r="AK104" s="50"/>
      <c r="AL104" s="50"/>
      <c r="AM104" s="50"/>
      <c r="AN104" s="50">
        <v>5</v>
      </c>
      <c r="AO104" s="16">
        <v>5</v>
      </c>
      <c r="AP104" s="16">
        <v>5</v>
      </c>
      <c r="AQ104" s="16">
        <v>5</v>
      </c>
      <c r="AR104" s="16">
        <v>4</v>
      </c>
      <c r="AS104" s="16">
        <v>5</v>
      </c>
      <c r="AT104" s="16">
        <v>4</v>
      </c>
      <c r="AU104" s="16">
        <v>5</v>
      </c>
      <c r="AV104" s="16">
        <v>5</v>
      </c>
      <c r="AY104" s="16">
        <v>0</v>
      </c>
      <c r="BF104" s="16">
        <v>10</v>
      </c>
      <c r="BO104" s="16">
        <v>53</v>
      </c>
    </row>
    <row r="105" spans="2:67" s="16" customFormat="1" ht="15" customHeight="1">
      <c r="B105" s="61" t="s">
        <v>105</v>
      </c>
      <c r="D105" s="50"/>
      <c r="E105" s="50"/>
      <c r="F105" s="50"/>
      <c r="G105" s="50"/>
      <c r="H105" s="32"/>
      <c r="J105" s="50"/>
      <c r="K105" s="50"/>
      <c r="L105" s="50"/>
      <c r="M105" s="50"/>
      <c r="N105" s="50"/>
      <c r="O105" s="50"/>
      <c r="P105" s="50"/>
      <c r="Q105" s="50"/>
      <c r="R105" s="50"/>
      <c r="S105" s="50"/>
      <c r="T105" s="50"/>
      <c r="U105" s="50"/>
      <c r="V105" s="50"/>
      <c r="W105" s="50"/>
      <c r="X105" s="50"/>
      <c r="Y105" s="50"/>
      <c r="Z105" s="50"/>
      <c r="AA105" s="50"/>
      <c r="AB105" s="50"/>
      <c r="AC105" s="50"/>
      <c r="AD105" s="50"/>
      <c r="AE105" s="50">
        <v>34</v>
      </c>
      <c r="AF105" s="50"/>
      <c r="AG105" s="50"/>
      <c r="AH105" s="50"/>
      <c r="AI105" s="50"/>
      <c r="AJ105" s="50"/>
      <c r="AK105" s="50"/>
      <c r="AL105" s="50"/>
      <c r="AM105" s="50"/>
      <c r="AN105" s="50">
        <v>5</v>
      </c>
      <c r="AO105" s="16">
        <v>5</v>
      </c>
      <c r="AP105" s="16">
        <v>3</v>
      </c>
      <c r="AQ105" s="16">
        <v>3</v>
      </c>
      <c r="AR105" s="16">
        <v>4</v>
      </c>
      <c r="AS105" s="16">
        <v>2</v>
      </c>
      <c r="AT105" s="16">
        <v>5</v>
      </c>
      <c r="AU105" s="16">
        <v>4</v>
      </c>
      <c r="AV105" s="16">
        <v>3</v>
      </c>
      <c r="AY105" s="16">
        <v>1</v>
      </c>
      <c r="BF105" s="16">
        <v>10</v>
      </c>
      <c r="BO105" s="16">
        <v>54</v>
      </c>
    </row>
    <row r="106" spans="2:67" s="16" customFormat="1" ht="15" customHeight="1" thickBot="1">
      <c r="B106" s="61" t="s">
        <v>106</v>
      </c>
      <c r="D106" s="50"/>
      <c r="E106" s="50"/>
      <c r="F106" s="50"/>
      <c r="G106" s="50"/>
      <c r="K106" s="50"/>
      <c r="L106" s="50"/>
      <c r="M106" s="50"/>
      <c r="N106" s="50"/>
      <c r="O106" s="50"/>
      <c r="P106" s="50"/>
      <c r="Q106" s="50"/>
      <c r="R106" s="50"/>
      <c r="S106" s="50"/>
      <c r="T106" s="50"/>
      <c r="U106" s="50"/>
      <c r="V106" s="50"/>
      <c r="W106" s="50"/>
      <c r="X106" s="50"/>
      <c r="Y106" s="50"/>
      <c r="Z106" s="50"/>
      <c r="AA106" s="50"/>
      <c r="AB106" s="50"/>
      <c r="AC106" s="50"/>
      <c r="AD106" s="50"/>
      <c r="AE106" s="50">
        <v>33</v>
      </c>
      <c r="AF106" s="50"/>
      <c r="AG106" s="50"/>
      <c r="AH106" s="50"/>
      <c r="AI106" s="50"/>
      <c r="AJ106" s="50"/>
      <c r="AK106" s="50"/>
      <c r="AL106" s="50"/>
      <c r="AM106" s="50"/>
      <c r="AN106" s="50">
        <v>3</v>
      </c>
      <c r="AO106" s="50">
        <v>4</v>
      </c>
      <c r="AP106" s="16">
        <v>4</v>
      </c>
      <c r="AQ106" s="16">
        <v>5</v>
      </c>
      <c r="AR106" s="16">
        <v>2</v>
      </c>
      <c r="AS106" s="16">
        <v>5</v>
      </c>
      <c r="AT106" s="16">
        <v>4</v>
      </c>
      <c r="AU106" s="16">
        <v>2</v>
      </c>
      <c r="AV106" s="16">
        <v>4</v>
      </c>
      <c r="AY106" s="16">
        <v>2</v>
      </c>
      <c r="BF106" s="16">
        <v>10</v>
      </c>
      <c r="BO106" s="16">
        <v>55</v>
      </c>
    </row>
    <row r="107" spans="2:67" s="50" customFormat="1" ht="22.5" customHeight="1" thickBot="1">
      <c r="B107" s="16"/>
      <c r="C107" s="16"/>
      <c r="D107" s="16"/>
      <c r="E107" s="16"/>
      <c r="F107" s="16"/>
      <c r="G107" s="110" t="s">
        <v>90</v>
      </c>
      <c r="H107" s="111"/>
      <c r="I107" s="111"/>
      <c r="J107" s="111"/>
      <c r="K107" s="111"/>
      <c r="L107" s="111"/>
      <c r="M107" s="111"/>
      <c r="N107" s="111"/>
      <c r="O107" s="112"/>
      <c r="AE107" s="50">
        <v>32</v>
      </c>
      <c r="AN107" s="50">
        <v>2</v>
      </c>
      <c r="AO107" s="50">
        <v>3</v>
      </c>
      <c r="AP107" s="50">
        <v>4</v>
      </c>
      <c r="AQ107" s="50">
        <v>2</v>
      </c>
      <c r="AR107" s="50">
        <v>5</v>
      </c>
      <c r="AS107" s="50">
        <v>4</v>
      </c>
      <c r="AT107" s="50">
        <v>5</v>
      </c>
      <c r="AU107" s="50">
        <v>2</v>
      </c>
      <c r="AV107" s="50">
        <v>5</v>
      </c>
      <c r="AY107" s="50">
        <v>3</v>
      </c>
      <c r="BF107" s="50">
        <v>10</v>
      </c>
      <c r="BO107" s="50">
        <v>56</v>
      </c>
    </row>
    <row r="108" spans="2:67" s="50" customFormat="1" ht="22.5" customHeight="1" thickBot="1">
      <c r="B108" s="47" t="s">
        <v>8</v>
      </c>
      <c r="C108" s="48" t="s">
        <v>9</v>
      </c>
      <c r="D108" s="47" t="s">
        <v>10</v>
      </c>
      <c r="E108" s="64" t="s">
        <v>11</v>
      </c>
      <c r="F108" s="16"/>
      <c r="G108" s="47" t="s">
        <v>12</v>
      </c>
      <c r="H108" s="47" t="s">
        <v>13</v>
      </c>
      <c r="I108" s="47" t="s">
        <v>14</v>
      </c>
      <c r="J108" s="47" t="s">
        <v>15</v>
      </c>
      <c r="K108" s="47" t="s">
        <v>16</v>
      </c>
      <c r="L108" s="47" t="s">
        <v>17</v>
      </c>
      <c r="M108" s="47" t="s">
        <v>18</v>
      </c>
      <c r="N108" s="47" t="s">
        <v>19</v>
      </c>
      <c r="O108" s="47" t="s">
        <v>20</v>
      </c>
      <c r="AE108" s="50">
        <v>33</v>
      </c>
      <c r="AN108" s="50">
        <v>5</v>
      </c>
      <c r="AO108" s="50">
        <v>4</v>
      </c>
      <c r="AP108" s="50">
        <v>2</v>
      </c>
      <c r="AQ108" s="50">
        <v>5</v>
      </c>
      <c r="AR108" s="50">
        <v>3</v>
      </c>
      <c r="AS108" s="50">
        <v>4</v>
      </c>
      <c r="AT108" s="50">
        <v>5</v>
      </c>
      <c r="AU108" s="50">
        <v>3</v>
      </c>
      <c r="AV108" s="50">
        <v>2</v>
      </c>
      <c r="AY108" s="50">
        <v>2</v>
      </c>
      <c r="BF108" s="50">
        <v>10</v>
      </c>
      <c r="BO108" s="50">
        <v>57</v>
      </c>
    </row>
    <row r="109" spans="2:67" s="32" customFormat="1" ht="15" customHeight="1">
      <c r="J109" s="33"/>
      <c r="K109" s="33"/>
      <c r="L109" s="33"/>
      <c r="M109" s="33"/>
      <c r="N109" s="33"/>
      <c r="O109" s="33"/>
      <c r="R109" s="33"/>
      <c r="S109" s="33"/>
      <c r="T109" s="33"/>
      <c r="U109" s="33"/>
      <c r="V109" s="33"/>
      <c r="W109" s="33"/>
      <c r="X109" s="33"/>
      <c r="Y109" s="33"/>
      <c r="Z109" s="33"/>
      <c r="AA109" s="33"/>
      <c r="AB109" s="33"/>
      <c r="AC109" s="33"/>
      <c r="AD109" s="33"/>
      <c r="AE109" s="33">
        <v>31</v>
      </c>
      <c r="AF109" s="33"/>
      <c r="AG109" s="33"/>
      <c r="AH109" s="33"/>
      <c r="AI109" s="33"/>
      <c r="AJ109" s="33"/>
      <c r="AK109" s="33"/>
      <c r="AL109" s="33"/>
      <c r="AM109" s="33"/>
      <c r="AN109" s="33">
        <v>4</v>
      </c>
      <c r="AO109" s="33">
        <v>2</v>
      </c>
      <c r="AP109" s="32">
        <v>5</v>
      </c>
      <c r="AQ109" s="32">
        <v>2</v>
      </c>
      <c r="AR109" s="32">
        <v>5</v>
      </c>
      <c r="AS109" s="32">
        <v>2</v>
      </c>
      <c r="AT109" s="32">
        <v>4</v>
      </c>
      <c r="AU109" s="32">
        <v>5</v>
      </c>
      <c r="AV109" s="32">
        <v>2</v>
      </c>
      <c r="AY109" s="32">
        <v>4</v>
      </c>
      <c r="BF109" s="32">
        <v>10</v>
      </c>
      <c r="BO109" s="32">
        <v>58</v>
      </c>
    </row>
    <row r="110" spans="2:67" s="32" customFormat="1" ht="24.95" customHeight="1">
      <c r="B110" s="65" t="s">
        <v>37</v>
      </c>
      <c r="C110" s="51">
        <v>2</v>
      </c>
      <c r="D110" s="52">
        <v>0</v>
      </c>
      <c r="E110" s="55">
        <v>5</v>
      </c>
      <c r="F110" s="131">
        <f>IF(ISBLANK(E110),0,IF(E110=Answers!E110,1,-1))</f>
        <v>1</v>
      </c>
      <c r="G110" s="66">
        <v>3</v>
      </c>
      <c r="H110" s="66">
        <v>5</v>
      </c>
      <c r="I110" s="66">
        <v>3</v>
      </c>
      <c r="J110" s="66">
        <v>4</v>
      </c>
      <c r="K110" s="66">
        <v>3</v>
      </c>
      <c r="L110" s="66">
        <v>3</v>
      </c>
      <c r="M110" s="66">
        <v>2</v>
      </c>
      <c r="N110" s="66">
        <v>3</v>
      </c>
      <c r="O110" s="66">
        <v>3</v>
      </c>
      <c r="R110" s="33"/>
      <c r="S110" s="33"/>
      <c r="T110" s="33"/>
      <c r="U110" s="33"/>
      <c r="V110" s="33"/>
      <c r="W110" s="33"/>
      <c r="X110" s="33"/>
      <c r="Y110" s="33"/>
      <c r="Z110" s="33"/>
      <c r="AA110" s="33"/>
      <c r="AB110" s="33"/>
      <c r="AC110" s="33"/>
      <c r="AD110" s="33"/>
      <c r="AE110" s="33">
        <v>27</v>
      </c>
      <c r="AF110" s="33"/>
      <c r="AG110" s="33"/>
      <c r="AH110" s="33"/>
      <c r="AI110" s="33"/>
      <c r="AJ110" s="33"/>
      <c r="AK110" s="33"/>
      <c r="AL110" s="33"/>
      <c r="AM110" s="33"/>
      <c r="AN110" s="33">
        <v>3</v>
      </c>
      <c r="AO110" s="33">
        <v>2</v>
      </c>
      <c r="AP110" s="32">
        <v>3</v>
      </c>
      <c r="AQ110" s="32">
        <v>3</v>
      </c>
      <c r="AR110" s="32">
        <v>4</v>
      </c>
      <c r="AS110" s="32">
        <v>2</v>
      </c>
      <c r="AT110" s="32">
        <v>3</v>
      </c>
      <c r="AU110" s="32">
        <v>2</v>
      </c>
      <c r="AV110" s="32">
        <v>5</v>
      </c>
      <c r="AY110" s="32">
        <v>3</v>
      </c>
      <c r="BF110" s="32">
        <v>9</v>
      </c>
      <c r="BO110" s="32">
        <v>59</v>
      </c>
    </row>
    <row r="111" spans="2:67" s="32" customFormat="1" ht="15" customHeight="1">
      <c r="R111" s="33"/>
      <c r="S111" s="33"/>
      <c r="T111" s="33"/>
      <c r="U111" s="33"/>
      <c r="V111" s="33"/>
      <c r="W111" s="33"/>
      <c r="X111" s="33"/>
      <c r="Y111" s="33"/>
      <c r="Z111" s="33"/>
      <c r="AA111" s="33"/>
      <c r="AB111" s="33"/>
      <c r="AC111" s="33"/>
      <c r="AD111" s="33"/>
      <c r="AE111" s="33">
        <v>33</v>
      </c>
      <c r="AF111" s="33"/>
      <c r="AG111" s="33"/>
      <c r="AH111" s="33"/>
      <c r="AI111" s="33"/>
      <c r="AJ111" s="33"/>
      <c r="AK111" s="33"/>
      <c r="AL111" s="33"/>
      <c r="AM111" s="33"/>
      <c r="AN111" s="33">
        <v>5</v>
      </c>
      <c r="AO111" s="33">
        <v>4</v>
      </c>
      <c r="AP111" s="32">
        <v>5</v>
      </c>
      <c r="AQ111" s="32">
        <v>2</v>
      </c>
      <c r="AR111" s="32">
        <v>2</v>
      </c>
      <c r="AS111" s="32">
        <v>5</v>
      </c>
      <c r="AT111" s="32">
        <v>2</v>
      </c>
      <c r="AU111" s="32">
        <v>3</v>
      </c>
      <c r="AV111" s="32">
        <v>5</v>
      </c>
      <c r="AY111" s="32">
        <v>3</v>
      </c>
      <c r="BF111" s="32">
        <v>10</v>
      </c>
      <c r="BO111" s="32">
        <v>60</v>
      </c>
    </row>
    <row r="112" spans="2:67" s="32" customFormat="1" ht="24.95" customHeight="1">
      <c r="B112" s="51">
        <v>21</v>
      </c>
      <c r="C112" s="51">
        <v>2</v>
      </c>
      <c r="D112" s="67">
        <v>5</v>
      </c>
      <c r="E112" s="55" cm="1">
        <f t="array" ref="E112:E131">_xlfn.BYROW(G112:O131, _xleta.MAX)</f>
        <v>5</v>
      </c>
      <c r="F112" s="131">
        <f>IF(ISBLANK(E112),0,IF(E112=Answers!E112,1,-1))</f>
        <v>1</v>
      </c>
      <c r="G112" s="68">
        <v>3</v>
      </c>
      <c r="H112" s="68">
        <v>5</v>
      </c>
      <c r="I112" s="68">
        <v>2</v>
      </c>
      <c r="J112" s="68">
        <v>3</v>
      </c>
      <c r="K112" s="68">
        <v>2</v>
      </c>
      <c r="L112" s="68">
        <v>2</v>
      </c>
      <c r="M112" s="68">
        <v>5</v>
      </c>
      <c r="N112" s="68">
        <v>2</v>
      </c>
      <c r="O112" s="68">
        <v>5</v>
      </c>
      <c r="Q112" s="33">
        <f>SUM(G112:O112)</f>
        <v>29</v>
      </c>
      <c r="R112" s="33"/>
      <c r="S112" s="33"/>
      <c r="T112" s="33"/>
      <c r="U112" s="33"/>
      <c r="V112" s="33"/>
      <c r="W112" s="33"/>
      <c r="X112" s="33"/>
      <c r="Y112" s="33"/>
      <c r="Z112" s="33"/>
      <c r="AA112" s="33"/>
      <c r="AB112" s="33"/>
      <c r="AC112" s="33"/>
      <c r="AD112" s="33"/>
      <c r="AE112" s="33">
        <v>33</v>
      </c>
      <c r="AF112" s="33"/>
      <c r="AG112" s="33"/>
      <c r="AH112" s="33"/>
      <c r="AI112" s="33"/>
      <c r="AJ112" s="33"/>
      <c r="AK112" s="33"/>
      <c r="AL112" s="33"/>
      <c r="AM112" s="33"/>
      <c r="AN112" s="33">
        <v>2</v>
      </c>
      <c r="AO112" s="33">
        <v>3</v>
      </c>
      <c r="AP112" s="32">
        <v>4</v>
      </c>
      <c r="AQ112" s="32">
        <v>4</v>
      </c>
      <c r="AR112" s="32">
        <v>4</v>
      </c>
      <c r="AS112" s="32">
        <v>3</v>
      </c>
      <c r="AT112" s="32">
        <v>5</v>
      </c>
      <c r="AU112" s="32">
        <v>3</v>
      </c>
      <c r="AV112" s="32">
        <v>5</v>
      </c>
      <c r="AY112" s="32">
        <v>1</v>
      </c>
      <c r="BF112" s="32">
        <v>25</v>
      </c>
      <c r="BO112" s="32">
        <v>61</v>
      </c>
    </row>
    <row r="113" spans="2:67" s="32" customFormat="1" ht="24.95" customHeight="1">
      <c r="B113" s="51">
        <v>22</v>
      </c>
      <c r="C113" s="51">
        <v>2</v>
      </c>
      <c r="D113" s="67">
        <v>5</v>
      </c>
      <c r="E113" s="55">
        <v>4</v>
      </c>
      <c r="F113" s="131">
        <f>IF(ISBLANK(E113),0,IF(E113=Answers!E113,1,-1))</f>
        <v>1</v>
      </c>
      <c r="G113" s="66">
        <v>2</v>
      </c>
      <c r="H113" s="66">
        <v>2</v>
      </c>
      <c r="I113" s="66">
        <v>4</v>
      </c>
      <c r="J113" s="66">
        <v>4</v>
      </c>
      <c r="K113" s="66">
        <v>4</v>
      </c>
      <c r="L113" s="66">
        <v>3</v>
      </c>
      <c r="M113" s="66">
        <v>2</v>
      </c>
      <c r="N113" s="66">
        <v>2</v>
      </c>
      <c r="O113" s="66">
        <v>4</v>
      </c>
      <c r="Q113" s="33">
        <f t="shared" ref="Q113:Q131" si="1">SUM(G113:O113)</f>
        <v>27</v>
      </c>
      <c r="R113" s="33"/>
      <c r="S113" s="33"/>
      <c r="T113" s="33"/>
      <c r="U113" s="33"/>
      <c r="V113" s="33"/>
      <c r="W113" s="33"/>
      <c r="X113" s="33"/>
      <c r="Y113" s="33"/>
      <c r="Z113" s="33"/>
      <c r="AA113" s="33"/>
      <c r="AB113" s="33"/>
      <c r="AC113" s="33"/>
      <c r="AD113" s="33"/>
      <c r="AE113" s="33">
        <v>34</v>
      </c>
      <c r="AF113" s="33"/>
      <c r="AG113" s="33"/>
      <c r="AH113" s="33"/>
      <c r="AI113" s="33"/>
      <c r="AJ113" s="33"/>
      <c r="AK113" s="33"/>
      <c r="AL113" s="33"/>
      <c r="AM113" s="33"/>
      <c r="AN113" s="33">
        <v>5</v>
      </c>
      <c r="AO113" s="33">
        <v>5</v>
      </c>
      <c r="AP113" s="32">
        <v>2</v>
      </c>
      <c r="AQ113" s="32">
        <v>3</v>
      </c>
      <c r="AR113" s="32">
        <v>2</v>
      </c>
      <c r="AS113" s="32">
        <v>5</v>
      </c>
      <c r="AT113" s="32">
        <v>4</v>
      </c>
      <c r="AU113" s="32">
        <v>4</v>
      </c>
      <c r="AV113" s="32">
        <v>4</v>
      </c>
      <c r="AY113" s="32">
        <v>2</v>
      </c>
      <c r="BF113" s="32">
        <v>30</v>
      </c>
      <c r="BO113" s="32">
        <v>62</v>
      </c>
    </row>
    <row r="114" spans="2:67" s="32" customFormat="1" ht="24.95" customHeight="1">
      <c r="B114" s="51">
        <v>23</v>
      </c>
      <c r="C114" s="51">
        <v>2</v>
      </c>
      <c r="D114" s="67">
        <v>5</v>
      </c>
      <c r="E114" s="55">
        <v>5</v>
      </c>
      <c r="F114" s="131">
        <f>IF(ISBLANK(E114),0,IF(E114=Answers!E114,1,-1))</f>
        <v>1</v>
      </c>
      <c r="G114" s="66">
        <v>4</v>
      </c>
      <c r="H114" s="66">
        <v>4</v>
      </c>
      <c r="I114" s="66">
        <v>5</v>
      </c>
      <c r="J114" s="66">
        <v>2</v>
      </c>
      <c r="K114" s="66">
        <v>2</v>
      </c>
      <c r="L114" s="66">
        <v>5</v>
      </c>
      <c r="M114" s="66">
        <v>3</v>
      </c>
      <c r="N114" s="66">
        <v>3</v>
      </c>
      <c r="O114" s="66">
        <v>2</v>
      </c>
      <c r="Q114" s="33">
        <f t="shared" si="1"/>
        <v>30</v>
      </c>
      <c r="R114" s="33"/>
      <c r="S114" s="33"/>
      <c r="T114" s="33"/>
      <c r="U114" s="33"/>
      <c r="V114" s="33"/>
      <c r="W114" s="33"/>
      <c r="X114" s="33"/>
      <c r="Y114" s="33"/>
      <c r="Z114" s="33"/>
      <c r="AA114" s="33"/>
      <c r="AB114" s="33"/>
      <c r="AC114" s="33"/>
      <c r="AD114" s="33"/>
      <c r="AE114" s="33">
        <v>25</v>
      </c>
      <c r="AF114" s="33"/>
      <c r="AG114" s="33"/>
      <c r="AH114" s="33"/>
      <c r="AI114" s="33"/>
      <c r="AJ114" s="33"/>
      <c r="AK114" s="33"/>
      <c r="AL114" s="33"/>
      <c r="AM114" s="33"/>
      <c r="AN114" s="33">
        <v>2</v>
      </c>
      <c r="AO114" s="33">
        <v>2</v>
      </c>
      <c r="AP114" s="32">
        <v>2</v>
      </c>
      <c r="AQ114" s="32">
        <v>3</v>
      </c>
      <c r="AR114" s="32">
        <v>4</v>
      </c>
      <c r="AS114" s="32">
        <v>2</v>
      </c>
      <c r="AT114" s="32">
        <v>5</v>
      </c>
      <c r="AU114" s="32">
        <v>3</v>
      </c>
      <c r="AV114" s="32">
        <v>2</v>
      </c>
      <c r="AY114" s="32">
        <v>5</v>
      </c>
      <c r="BF114" s="32">
        <v>12</v>
      </c>
      <c r="BO114" s="32">
        <v>63</v>
      </c>
    </row>
    <row r="115" spans="2:67" s="32" customFormat="1" ht="24.95" customHeight="1">
      <c r="B115" s="51">
        <v>24</v>
      </c>
      <c r="C115" s="51">
        <v>2</v>
      </c>
      <c r="D115" s="67">
        <v>5</v>
      </c>
      <c r="E115" s="55">
        <v>5</v>
      </c>
      <c r="F115" s="131">
        <f>IF(ISBLANK(E115),0,IF(E115=Answers!E115,1,-1))</f>
        <v>1</v>
      </c>
      <c r="G115" s="66">
        <v>3</v>
      </c>
      <c r="H115" s="66">
        <v>5</v>
      </c>
      <c r="I115" s="66">
        <v>3</v>
      </c>
      <c r="J115" s="66">
        <v>3</v>
      </c>
      <c r="K115" s="66">
        <v>3</v>
      </c>
      <c r="L115" s="66">
        <v>5</v>
      </c>
      <c r="M115" s="66">
        <v>5</v>
      </c>
      <c r="N115" s="66">
        <v>4</v>
      </c>
      <c r="O115" s="66">
        <v>5</v>
      </c>
      <c r="Q115" s="33">
        <f t="shared" si="1"/>
        <v>36</v>
      </c>
      <c r="R115" s="33"/>
      <c r="S115" s="33"/>
      <c r="T115" s="33"/>
      <c r="U115" s="33"/>
      <c r="V115" s="33"/>
      <c r="W115" s="33"/>
      <c r="X115" s="33"/>
      <c r="Y115" s="33"/>
      <c r="Z115" s="33"/>
      <c r="AA115" s="33"/>
      <c r="AB115" s="33"/>
      <c r="AC115" s="33"/>
      <c r="AD115" s="33"/>
      <c r="AE115" s="33">
        <v>34</v>
      </c>
      <c r="AF115" s="33"/>
      <c r="AG115" s="33"/>
      <c r="AH115" s="33"/>
      <c r="AI115" s="33"/>
      <c r="AJ115" s="33"/>
      <c r="AK115" s="33"/>
      <c r="AL115" s="33"/>
      <c r="AM115" s="33"/>
      <c r="AN115" s="33">
        <v>5</v>
      </c>
      <c r="AO115" s="33">
        <v>3</v>
      </c>
      <c r="AP115" s="32">
        <v>4</v>
      </c>
      <c r="AQ115" s="32">
        <v>4</v>
      </c>
      <c r="AR115" s="32">
        <v>5</v>
      </c>
      <c r="AS115" s="32">
        <v>3</v>
      </c>
      <c r="AT115" s="32">
        <v>4</v>
      </c>
      <c r="AU115" s="32">
        <v>4</v>
      </c>
      <c r="AV115" s="32">
        <v>2</v>
      </c>
      <c r="AY115" s="32">
        <v>1</v>
      </c>
      <c r="BF115" s="32">
        <v>29</v>
      </c>
      <c r="BO115" s="32">
        <v>64</v>
      </c>
    </row>
    <row r="116" spans="2:67" s="32" customFormat="1" ht="24.95" customHeight="1">
      <c r="B116" s="51">
        <v>25</v>
      </c>
      <c r="C116" s="51">
        <v>2</v>
      </c>
      <c r="D116" s="67">
        <v>5</v>
      </c>
      <c r="E116" s="55">
        <v>5</v>
      </c>
      <c r="F116" s="131">
        <f>IF(ISBLANK(E116),0,IF(E116=Answers!E116,1,-1))</f>
        <v>1</v>
      </c>
      <c r="G116" s="66">
        <v>2</v>
      </c>
      <c r="H116" s="66">
        <v>5</v>
      </c>
      <c r="I116" s="66">
        <v>4</v>
      </c>
      <c r="J116" s="66">
        <v>3</v>
      </c>
      <c r="K116" s="66">
        <v>3</v>
      </c>
      <c r="L116" s="66">
        <v>5</v>
      </c>
      <c r="M116" s="66">
        <v>2</v>
      </c>
      <c r="N116" s="66">
        <v>2</v>
      </c>
      <c r="O116" s="66">
        <v>4</v>
      </c>
      <c r="Q116" s="33">
        <f t="shared" si="1"/>
        <v>30</v>
      </c>
      <c r="R116" s="33"/>
      <c r="S116" s="33"/>
      <c r="T116" s="33"/>
      <c r="U116" s="33"/>
      <c r="V116" s="33"/>
      <c r="W116" s="33"/>
      <c r="X116" s="33"/>
      <c r="Y116" s="33"/>
      <c r="Z116" s="33"/>
      <c r="AA116" s="33"/>
      <c r="AB116" s="33"/>
      <c r="AC116" s="33"/>
      <c r="AD116" s="33"/>
      <c r="AE116" s="33">
        <v>27</v>
      </c>
      <c r="AF116" s="33"/>
      <c r="AG116" s="33"/>
      <c r="AH116" s="33"/>
      <c r="AI116" s="33"/>
      <c r="AJ116" s="33"/>
      <c r="AK116" s="33"/>
      <c r="AL116" s="33"/>
      <c r="AM116" s="33"/>
      <c r="AN116" s="33">
        <v>2</v>
      </c>
      <c r="AO116" s="33">
        <v>4</v>
      </c>
      <c r="AP116" s="32">
        <v>4</v>
      </c>
      <c r="AQ116" s="32">
        <v>2</v>
      </c>
      <c r="AR116" s="32">
        <v>2</v>
      </c>
      <c r="AS116" s="32">
        <v>4</v>
      </c>
      <c r="AT116" s="32">
        <v>4</v>
      </c>
      <c r="AU116" s="32">
        <v>3</v>
      </c>
      <c r="AV116" s="32">
        <v>2</v>
      </c>
      <c r="AY116" s="32">
        <v>4</v>
      </c>
      <c r="BF116" s="32">
        <v>25</v>
      </c>
      <c r="BO116" s="32">
        <v>65</v>
      </c>
    </row>
    <row r="117" spans="2:67" s="32" customFormat="1" ht="24.95" customHeight="1">
      <c r="B117" s="51">
        <v>26</v>
      </c>
      <c r="C117" s="51">
        <v>2</v>
      </c>
      <c r="D117" s="67">
        <v>5</v>
      </c>
      <c r="E117" s="55">
        <v>5</v>
      </c>
      <c r="F117" s="131">
        <f>IF(ISBLANK(E117),0,IF(E117=Answers!E117,1,-1))</f>
        <v>1</v>
      </c>
      <c r="G117" s="66">
        <v>4</v>
      </c>
      <c r="H117" s="66">
        <v>3</v>
      </c>
      <c r="I117" s="66">
        <v>4</v>
      </c>
      <c r="J117" s="66">
        <v>5</v>
      </c>
      <c r="K117" s="66">
        <v>2</v>
      </c>
      <c r="L117" s="66">
        <v>2</v>
      </c>
      <c r="M117" s="66">
        <v>5</v>
      </c>
      <c r="N117" s="66">
        <v>2</v>
      </c>
      <c r="O117" s="66">
        <v>2</v>
      </c>
      <c r="Q117" s="33">
        <f t="shared" si="1"/>
        <v>29</v>
      </c>
      <c r="R117" s="33"/>
      <c r="S117" s="33"/>
      <c r="T117" s="33"/>
      <c r="U117" s="33"/>
      <c r="V117" s="33"/>
      <c r="W117" s="33"/>
      <c r="X117" s="33"/>
      <c r="Y117" s="33"/>
      <c r="Z117" s="33"/>
      <c r="AA117" s="33"/>
      <c r="AB117" s="33"/>
      <c r="AC117" s="33"/>
      <c r="AD117" s="33"/>
      <c r="AE117" s="33">
        <v>38</v>
      </c>
      <c r="AF117" s="33"/>
      <c r="AG117" s="33"/>
      <c r="AH117" s="33"/>
      <c r="AI117" s="33"/>
      <c r="AJ117" s="33"/>
      <c r="AK117" s="33"/>
      <c r="AL117" s="33"/>
      <c r="AM117" s="33"/>
      <c r="AN117" s="33">
        <v>4</v>
      </c>
      <c r="AO117" s="33">
        <v>5</v>
      </c>
      <c r="AP117" s="32">
        <v>4</v>
      </c>
      <c r="AQ117" s="32">
        <v>4</v>
      </c>
      <c r="AR117" s="32">
        <v>3</v>
      </c>
      <c r="AS117" s="32">
        <v>5</v>
      </c>
      <c r="AT117" s="32">
        <v>5</v>
      </c>
      <c r="AU117" s="32">
        <v>3</v>
      </c>
      <c r="AV117" s="32">
        <v>5</v>
      </c>
      <c r="AY117" s="32">
        <v>0</v>
      </c>
      <c r="BF117" s="32">
        <v>15</v>
      </c>
      <c r="BO117" s="32">
        <v>66</v>
      </c>
    </row>
    <row r="118" spans="2:67" s="32" customFormat="1" ht="24.95" customHeight="1">
      <c r="B118" s="51">
        <v>27</v>
      </c>
      <c r="C118" s="51">
        <v>2</v>
      </c>
      <c r="D118" s="67">
        <v>5</v>
      </c>
      <c r="E118" s="55">
        <v>3</v>
      </c>
      <c r="F118" s="131">
        <f>IF(ISBLANK(E118),0,IF(E118=Answers!E118,1,-1))</f>
        <v>1</v>
      </c>
      <c r="G118" s="66">
        <v>2</v>
      </c>
      <c r="H118" s="66">
        <v>3</v>
      </c>
      <c r="I118" s="66">
        <v>2</v>
      </c>
      <c r="J118" s="66">
        <v>2</v>
      </c>
      <c r="K118" s="66">
        <v>3</v>
      </c>
      <c r="L118" s="66">
        <v>2</v>
      </c>
      <c r="M118" s="66">
        <v>3</v>
      </c>
      <c r="N118" s="66">
        <v>3</v>
      </c>
      <c r="O118" s="66">
        <v>3</v>
      </c>
      <c r="Q118" s="33">
        <f t="shared" si="1"/>
        <v>23</v>
      </c>
      <c r="R118" s="33"/>
      <c r="S118" s="33"/>
      <c r="T118" s="33"/>
      <c r="U118" s="33"/>
      <c r="V118" s="33"/>
      <c r="W118" s="33"/>
      <c r="X118" s="33"/>
      <c r="Y118" s="33"/>
      <c r="Z118" s="33"/>
      <c r="AA118" s="33"/>
      <c r="AB118" s="33"/>
      <c r="AC118" s="33"/>
      <c r="AD118" s="33"/>
      <c r="AE118" s="33">
        <v>33</v>
      </c>
      <c r="AF118" s="33"/>
      <c r="AG118" s="33"/>
      <c r="AH118" s="33"/>
      <c r="AI118" s="33"/>
      <c r="AJ118" s="33"/>
      <c r="AK118" s="33"/>
      <c r="AL118" s="33"/>
      <c r="AM118" s="33"/>
      <c r="AN118" s="33">
        <v>3</v>
      </c>
      <c r="AO118" s="33">
        <v>4</v>
      </c>
      <c r="AP118" s="32">
        <v>3</v>
      </c>
      <c r="AQ118" s="32">
        <v>4</v>
      </c>
      <c r="AR118" s="32">
        <v>2</v>
      </c>
      <c r="AS118" s="32">
        <v>5</v>
      </c>
      <c r="AT118" s="32">
        <v>4</v>
      </c>
      <c r="AU118" s="32">
        <v>3</v>
      </c>
      <c r="AV118" s="32">
        <v>5</v>
      </c>
      <c r="AY118" s="32">
        <v>1</v>
      </c>
      <c r="BF118" s="32">
        <v>28</v>
      </c>
      <c r="BO118" s="32">
        <v>67</v>
      </c>
    </row>
    <row r="119" spans="2:67" s="32" customFormat="1" ht="24.95" customHeight="1">
      <c r="B119" s="51">
        <v>28</v>
      </c>
      <c r="C119" s="51">
        <v>2</v>
      </c>
      <c r="D119" s="67">
        <v>5</v>
      </c>
      <c r="E119" s="55">
        <v>5</v>
      </c>
      <c r="F119" s="131">
        <f>IF(ISBLANK(E119),0,IF(E119=Answers!E119,1,-1))</f>
        <v>1</v>
      </c>
      <c r="G119" s="66">
        <v>5</v>
      </c>
      <c r="H119" s="66">
        <v>2</v>
      </c>
      <c r="I119" s="66">
        <v>5</v>
      </c>
      <c r="J119" s="66">
        <v>2</v>
      </c>
      <c r="K119" s="66">
        <v>4</v>
      </c>
      <c r="L119" s="66">
        <v>2</v>
      </c>
      <c r="M119" s="66">
        <v>5</v>
      </c>
      <c r="N119" s="66">
        <v>3</v>
      </c>
      <c r="O119" s="66">
        <v>5</v>
      </c>
      <c r="Q119" s="33">
        <f t="shared" si="1"/>
        <v>33</v>
      </c>
      <c r="R119" s="33"/>
      <c r="S119" s="33"/>
      <c r="T119" s="33"/>
      <c r="U119" s="33"/>
      <c r="V119" s="33"/>
      <c r="W119" s="33"/>
      <c r="X119" s="33"/>
      <c r="Y119" s="33"/>
      <c r="Z119" s="33"/>
      <c r="AA119" s="33"/>
      <c r="AB119" s="33"/>
      <c r="AC119" s="33"/>
      <c r="AD119" s="33"/>
      <c r="AE119" s="33">
        <v>33</v>
      </c>
      <c r="AF119" s="33"/>
      <c r="AG119" s="33"/>
      <c r="AH119" s="33"/>
      <c r="AI119" s="33"/>
      <c r="AJ119" s="33"/>
      <c r="AK119" s="33"/>
      <c r="AL119" s="33"/>
      <c r="AM119" s="33"/>
      <c r="AN119" s="33">
        <v>4</v>
      </c>
      <c r="AO119" s="33">
        <v>4</v>
      </c>
      <c r="AP119" s="32">
        <v>5</v>
      </c>
      <c r="AQ119" s="32">
        <v>2</v>
      </c>
      <c r="AR119" s="32">
        <v>4</v>
      </c>
      <c r="AS119" s="32">
        <v>3</v>
      </c>
      <c r="AT119" s="32">
        <v>5</v>
      </c>
      <c r="AU119" s="32">
        <v>4</v>
      </c>
      <c r="AV119" s="32">
        <v>2</v>
      </c>
      <c r="AY119" s="32">
        <v>2</v>
      </c>
      <c r="BF119" s="32">
        <v>29</v>
      </c>
      <c r="BO119" s="32">
        <v>68</v>
      </c>
    </row>
    <row r="120" spans="2:67" s="32" customFormat="1" ht="24.95" customHeight="1">
      <c r="B120" s="51">
        <v>29</v>
      </c>
      <c r="C120" s="51">
        <v>2</v>
      </c>
      <c r="D120" s="67">
        <v>5</v>
      </c>
      <c r="E120" s="55">
        <v>5</v>
      </c>
      <c r="F120" s="131">
        <f>IF(ISBLANK(E120),0,IF(E120=Answers!E120,1,-1))</f>
        <v>1</v>
      </c>
      <c r="G120" s="66">
        <v>5</v>
      </c>
      <c r="H120" s="66">
        <v>2</v>
      </c>
      <c r="I120" s="66">
        <v>2</v>
      </c>
      <c r="J120" s="66">
        <v>4</v>
      </c>
      <c r="K120" s="66">
        <v>5</v>
      </c>
      <c r="L120" s="66">
        <v>2</v>
      </c>
      <c r="M120" s="66">
        <v>2</v>
      </c>
      <c r="N120" s="66">
        <v>3</v>
      </c>
      <c r="O120" s="66">
        <v>3</v>
      </c>
      <c r="Q120" s="33">
        <f t="shared" si="1"/>
        <v>28</v>
      </c>
      <c r="R120" s="33"/>
      <c r="S120" s="33"/>
      <c r="T120" s="33"/>
      <c r="U120" s="33"/>
      <c r="V120" s="33"/>
      <c r="W120" s="33"/>
      <c r="X120" s="33"/>
      <c r="Y120" s="33"/>
      <c r="Z120" s="33"/>
      <c r="AA120" s="33"/>
      <c r="AB120" s="33"/>
      <c r="AC120" s="33"/>
      <c r="AD120" s="33"/>
      <c r="AE120" s="33">
        <v>35</v>
      </c>
      <c r="AF120" s="33"/>
      <c r="AG120" s="33"/>
      <c r="AH120" s="33"/>
      <c r="AI120" s="33"/>
      <c r="AJ120" s="33"/>
      <c r="AK120" s="33"/>
      <c r="AL120" s="33"/>
      <c r="AM120" s="33"/>
      <c r="AN120" s="33">
        <v>3</v>
      </c>
      <c r="AO120" s="33">
        <v>2</v>
      </c>
      <c r="AP120" s="32">
        <v>5</v>
      </c>
      <c r="AQ120" s="32">
        <v>4</v>
      </c>
      <c r="AR120" s="32">
        <v>4</v>
      </c>
      <c r="AS120" s="32">
        <v>2</v>
      </c>
      <c r="AT120" s="32">
        <v>5</v>
      </c>
      <c r="AU120" s="32">
        <v>5</v>
      </c>
      <c r="AV120" s="32">
        <v>5</v>
      </c>
      <c r="AY120" s="32">
        <v>2</v>
      </c>
      <c r="BF120" s="32">
        <v>31</v>
      </c>
      <c r="BO120" s="32">
        <v>69</v>
      </c>
    </row>
    <row r="121" spans="2:67" s="32" customFormat="1" ht="24.95" customHeight="1">
      <c r="B121" s="51">
        <v>30</v>
      </c>
      <c r="C121" s="51">
        <v>2</v>
      </c>
      <c r="D121" s="67">
        <v>5</v>
      </c>
      <c r="E121" s="55">
        <v>5</v>
      </c>
      <c r="F121" s="131">
        <f>IF(ISBLANK(E121),0,IF(E121=Answers!E121,1,-1))</f>
        <v>1</v>
      </c>
      <c r="G121" s="66">
        <v>2</v>
      </c>
      <c r="H121" s="66">
        <v>5</v>
      </c>
      <c r="I121" s="66">
        <v>5</v>
      </c>
      <c r="J121" s="66">
        <v>2</v>
      </c>
      <c r="K121" s="66">
        <v>3</v>
      </c>
      <c r="L121" s="66">
        <v>5</v>
      </c>
      <c r="M121" s="66">
        <v>3</v>
      </c>
      <c r="N121" s="66">
        <v>3</v>
      </c>
      <c r="O121" s="66">
        <v>4</v>
      </c>
      <c r="Q121" s="33">
        <f t="shared" si="1"/>
        <v>32</v>
      </c>
      <c r="R121" s="33"/>
      <c r="S121" s="33"/>
      <c r="T121" s="33"/>
      <c r="U121" s="33"/>
      <c r="V121" s="33"/>
      <c r="W121" s="33"/>
      <c r="X121" s="33"/>
      <c r="Y121" s="33"/>
      <c r="Z121" s="33"/>
      <c r="AA121" s="33"/>
      <c r="AB121" s="33"/>
      <c r="AC121" s="33"/>
      <c r="AD121" s="33"/>
      <c r="AE121" s="33">
        <v>29</v>
      </c>
      <c r="AF121" s="33"/>
      <c r="AG121" s="33"/>
      <c r="AH121" s="33"/>
      <c r="AI121" s="33"/>
      <c r="AJ121" s="33"/>
      <c r="AK121" s="33"/>
      <c r="AL121" s="33"/>
      <c r="AM121" s="33"/>
      <c r="AN121" s="33">
        <v>5</v>
      </c>
      <c r="AO121" s="33">
        <v>2</v>
      </c>
      <c r="AP121" s="32">
        <v>4</v>
      </c>
      <c r="AQ121" s="32">
        <v>5</v>
      </c>
      <c r="AR121" s="32">
        <v>3</v>
      </c>
      <c r="AS121" s="32">
        <v>2</v>
      </c>
      <c r="AT121" s="32">
        <v>2</v>
      </c>
      <c r="AU121" s="32">
        <v>3</v>
      </c>
      <c r="AV121" s="32">
        <v>3</v>
      </c>
      <c r="AY121" s="32">
        <v>3</v>
      </c>
      <c r="BF121" s="32">
        <v>20</v>
      </c>
      <c r="BO121" s="32">
        <v>70</v>
      </c>
    </row>
    <row r="122" spans="2:67" s="32" customFormat="1" ht="24.95" customHeight="1">
      <c r="B122" s="51">
        <v>31</v>
      </c>
      <c r="C122" s="51">
        <v>2</v>
      </c>
      <c r="D122" s="67">
        <v>5</v>
      </c>
      <c r="E122" s="55">
        <v>5</v>
      </c>
      <c r="F122" s="131">
        <f>IF(ISBLANK(E122),0,IF(E122=Answers!E122,1,-1))</f>
        <v>1</v>
      </c>
      <c r="G122" s="66">
        <v>2</v>
      </c>
      <c r="H122" s="66">
        <v>2</v>
      </c>
      <c r="I122" s="66">
        <v>5</v>
      </c>
      <c r="J122" s="66">
        <v>5</v>
      </c>
      <c r="K122" s="66">
        <v>5</v>
      </c>
      <c r="L122" s="66">
        <v>2</v>
      </c>
      <c r="M122" s="66">
        <v>2</v>
      </c>
      <c r="N122" s="66">
        <v>3</v>
      </c>
      <c r="O122" s="66">
        <v>5</v>
      </c>
      <c r="Q122" s="33">
        <f t="shared" si="1"/>
        <v>31</v>
      </c>
      <c r="R122" s="33"/>
      <c r="S122" s="33"/>
      <c r="T122" s="33"/>
      <c r="U122" s="33"/>
      <c r="V122" s="33"/>
      <c r="W122" s="33"/>
      <c r="X122" s="33"/>
      <c r="Y122" s="33"/>
      <c r="Z122" s="33"/>
      <c r="AA122" s="33"/>
      <c r="AB122" s="33"/>
      <c r="AC122" s="33"/>
      <c r="AD122" s="33"/>
      <c r="AE122" s="33">
        <v>33</v>
      </c>
      <c r="AF122" s="33"/>
      <c r="AG122" s="33"/>
      <c r="AH122" s="33"/>
      <c r="AI122" s="33"/>
      <c r="AJ122" s="33"/>
      <c r="AK122" s="33"/>
      <c r="AL122" s="33"/>
      <c r="AM122" s="33"/>
      <c r="AN122" s="33">
        <v>5</v>
      </c>
      <c r="AO122" s="33">
        <v>2</v>
      </c>
      <c r="AP122" s="32">
        <v>2</v>
      </c>
      <c r="AQ122" s="32">
        <v>4</v>
      </c>
      <c r="AR122" s="32">
        <v>5</v>
      </c>
      <c r="AS122" s="32">
        <v>2</v>
      </c>
      <c r="AT122" s="32">
        <v>5</v>
      </c>
      <c r="AU122" s="32">
        <v>4</v>
      </c>
      <c r="AV122" s="32">
        <v>4</v>
      </c>
      <c r="AY122" s="32">
        <v>3</v>
      </c>
      <c r="BF122" s="32">
        <v>19</v>
      </c>
      <c r="BO122" s="32">
        <v>71</v>
      </c>
    </row>
    <row r="123" spans="2:67" s="32" customFormat="1" ht="24.95" customHeight="1">
      <c r="B123" s="51">
        <v>32</v>
      </c>
      <c r="C123" s="51">
        <v>2</v>
      </c>
      <c r="D123" s="67">
        <v>5</v>
      </c>
      <c r="E123" s="55">
        <v>5</v>
      </c>
      <c r="F123" s="131">
        <f>IF(ISBLANK(E123),0,IF(E123=Answers!E123,1,-1))</f>
        <v>1</v>
      </c>
      <c r="G123" s="66">
        <v>2</v>
      </c>
      <c r="H123" s="66">
        <v>2</v>
      </c>
      <c r="I123" s="66">
        <v>3</v>
      </c>
      <c r="J123" s="66">
        <v>5</v>
      </c>
      <c r="K123" s="66">
        <v>3</v>
      </c>
      <c r="L123" s="66">
        <v>5</v>
      </c>
      <c r="M123" s="66">
        <v>3</v>
      </c>
      <c r="N123" s="66">
        <v>3</v>
      </c>
      <c r="O123" s="66">
        <v>2</v>
      </c>
      <c r="Q123" s="33">
        <f t="shared" si="1"/>
        <v>28</v>
      </c>
      <c r="R123" s="33"/>
      <c r="S123" s="33"/>
      <c r="T123" s="33"/>
      <c r="U123" s="33"/>
      <c r="V123" s="33"/>
      <c r="W123" s="33"/>
      <c r="X123" s="33"/>
      <c r="Y123" s="33"/>
      <c r="Z123" s="33"/>
      <c r="AA123" s="33"/>
      <c r="AB123" s="33"/>
      <c r="AC123" s="33"/>
      <c r="AD123" s="33"/>
      <c r="AE123" s="33">
        <v>30</v>
      </c>
      <c r="AF123" s="33"/>
      <c r="AG123" s="33"/>
      <c r="AH123" s="33"/>
      <c r="AI123" s="33"/>
      <c r="AJ123" s="33"/>
      <c r="AK123" s="33"/>
      <c r="AL123" s="33"/>
      <c r="AM123" s="33"/>
      <c r="AN123" s="33">
        <v>2</v>
      </c>
      <c r="AO123" s="33">
        <v>5</v>
      </c>
      <c r="AP123" s="32">
        <v>3</v>
      </c>
      <c r="AQ123" s="32">
        <v>5</v>
      </c>
      <c r="AR123" s="32">
        <v>3</v>
      </c>
      <c r="AS123" s="32">
        <v>3</v>
      </c>
      <c r="AT123" s="32">
        <v>5</v>
      </c>
      <c r="AU123" s="32">
        <v>2</v>
      </c>
      <c r="AV123" s="32">
        <v>2</v>
      </c>
      <c r="AY123" s="32">
        <v>3</v>
      </c>
      <c r="BF123" s="32">
        <v>26</v>
      </c>
      <c r="BO123" s="32">
        <v>72</v>
      </c>
    </row>
    <row r="124" spans="2:67" s="32" customFormat="1" ht="24.95" customHeight="1">
      <c r="B124" s="51">
        <v>33</v>
      </c>
      <c r="C124" s="51">
        <v>2</v>
      </c>
      <c r="D124" s="67">
        <v>5</v>
      </c>
      <c r="E124" s="55">
        <v>5</v>
      </c>
      <c r="F124" s="131">
        <f>IF(ISBLANK(E124),0,IF(E124=Answers!E124,1,-1))</f>
        <v>1</v>
      </c>
      <c r="G124" s="66">
        <v>5</v>
      </c>
      <c r="H124" s="66">
        <v>4</v>
      </c>
      <c r="I124" s="66">
        <v>3</v>
      </c>
      <c r="J124" s="66">
        <v>3</v>
      </c>
      <c r="K124" s="66">
        <v>5</v>
      </c>
      <c r="L124" s="66">
        <v>5</v>
      </c>
      <c r="M124" s="66">
        <v>5</v>
      </c>
      <c r="N124" s="66">
        <v>5</v>
      </c>
      <c r="O124" s="66">
        <v>3</v>
      </c>
      <c r="Q124" s="33">
        <f t="shared" si="1"/>
        <v>38</v>
      </c>
      <c r="R124" s="33"/>
      <c r="S124" s="33"/>
      <c r="T124" s="33"/>
      <c r="U124" s="33"/>
      <c r="V124" s="33"/>
      <c r="W124" s="33"/>
      <c r="X124" s="33"/>
      <c r="Y124" s="33"/>
      <c r="Z124" s="33"/>
      <c r="AA124" s="33"/>
      <c r="AB124" s="33"/>
      <c r="AC124" s="33"/>
      <c r="AD124" s="33"/>
      <c r="AE124" s="33">
        <v>34</v>
      </c>
      <c r="AF124" s="33"/>
      <c r="AG124" s="33"/>
      <c r="AH124" s="33"/>
      <c r="AI124" s="33"/>
      <c r="AJ124" s="33"/>
      <c r="AK124" s="33"/>
      <c r="AL124" s="33"/>
      <c r="AM124" s="33"/>
      <c r="AN124" s="33">
        <v>4</v>
      </c>
      <c r="AO124" s="33">
        <v>4</v>
      </c>
      <c r="AP124" s="32">
        <v>5</v>
      </c>
      <c r="AQ124" s="32">
        <v>5</v>
      </c>
      <c r="AR124" s="32">
        <v>3</v>
      </c>
      <c r="AS124" s="32">
        <v>3</v>
      </c>
      <c r="AT124" s="32">
        <v>2</v>
      </c>
      <c r="AU124" s="32">
        <v>4</v>
      </c>
      <c r="AV124" s="32">
        <v>4</v>
      </c>
      <c r="AY124" s="32">
        <v>1</v>
      </c>
      <c r="BF124" s="32">
        <v>18</v>
      </c>
      <c r="BO124" s="32">
        <v>73</v>
      </c>
    </row>
    <row r="125" spans="2:67" s="32" customFormat="1" ht="24.95" customHeight="1">
      <c r="B125" s="51">
        <v>34</v>
      </c>
      <c r="C125" s="51">
        <v>2</v>
      </c>
      <c r="D125" s="67">
        <v>5</v>
      </c>
      <c r="E125" s="55">
        <v>4</v>
      </c>
      <c r="F125" s="131">
        <f>IF(ISBLANK(E125),0,IF(E125=Answers!E125,1,-1))</f>
        <v>1</v>
      </c>
      <c r="G125" s="66">
        <v>4</v>
      </c>
      <c r="H125" s="66">
        <v>4</v>
      </c>
      <c r="I125" s="66">
        <v>4</v>
      </c>
      <c r="J125" s="66">
        <v>4</v>
      </c>
      <c r="K125" s="66">
        <v>4</v>
      </c>
      <c r="L125" s="66">
        <v>4</v>
      </c>
      <c r="M125" s="66">
        <v>4</v>
      </c>
      <c r="N125" s="66">
        <v>4</v>
      </c>
      <c r="O125" s="66">
        <v>4</v>
      </c>
      <c r="Q125" s="33">
        <f t="shared" si="1"/>
        <v>36</v>
      </c>
      <c r="R125" s="33"/>
      <c r="S125" s="33"/>
      <c r="T125" s="33"/>
      <c r="U125" s="33"/>
      <c r="V125" s="33"/>
      <c r="W125" s="33"/>
      <c r="X125" s="33"/>
      <c r="Y125" s="33"/>
      <c r="Z125" s="33"/>
      <c r="AA125" s="33"/>
      <c r="AB125" s="33"/>
      <c r="AC125" s="33"/>
      <c r="AD125" s="33"/>
      <c r="AE125" s="33">
        <v>33</v>
      </c>
      <c r="AF125" s="33"/>
      <c r="AG125" s="33"/>
      <c r="AH125" s="33"/>
      <c r="AI125" s="33"/>
      <c r="AJ125" s="33"/>
      <c r="AK125" s="33"/>
      <c r="AL125" s="33"/>
      <c r="AM125" s="33"/>
      <c r="AN125" s="33">
        <v>3</v>
      </c>
      <c r="AO125" s="33">
        <v>5</v>
      </c>
      <c r="AP125" s="32">
        <v>3</v>
      </c>
      <c r="AQ125" s="32">
        <v>5</v>
      </c>
      <c r="AR125" s="32">
        <v>4</v>
      </c>
      <c r="AS125" s="32">
        <v>3</v>
      </c>
      <c r="AT125" s="32">
        <v>2</v>
      </c>
      <c r="AU125" s="32">
        <v>3</v>
      </c>
      <c r="AV125" s="32">
        <v>5</v>
      </c>
      <c r="AY125" s="32">
        <v>1</v>
      </c>
      <c r="BF125" s="32">
        <v>15</v>
      </c>
      <c r="BO125" s="32">
        <v>74</v>
      </c>
    </row>
    <row r="126" spans="2:67" s="32" customFormat="1" ht="24.95" customHeight="1">
      <c r="B126" s="51">
        <v>35</v>
      </c>
      <c r="C126" s="51">
        <v>2</v>
      </c>
      <c r="D126" s="67">
        <v>5</v>
      </c>
      <c r="E126" s="55">
        <v>4</v>
      </c>
      <c r="F126" s="131">
        <f>IF(ISBLANK(E126),0,IF(E126=Answers!E126,1,-1))</f>
        <v>1</v>
      </c>
      <c r="G126" s="66">
        <v>2</v>
      </c>
      <c r="H126" s="66">
        <v>4</v>
      </c>
      <c r="I126" s="66">
        <v>3</v>
      </c>
      <c r="J126" s="66">
        <v>3</v>
      </c>
      <c r="K126" s="66">
        <v>2</v>
      </c>
      <c r="L126" s="66">
        <v>2</v>
      </c>
      <c r="M126" s="66">
        <v>4</v>
      </c>
      <c r="N126" s="66">
        <v>4</v>
      </c>
      <c r="O126" s="66">
        <v>4</v>
      </c>
      <c r="Q126" s="33">
        <f t="shared" si="1"/>
        <v>28</v>
      </c>
      <c r="R126" s="33"/>
      <c r="S126" s="33"/>
      <c r="T126" s="33"/>
      <c r="U126" s="33"/>
      <c r="V126" s="33"/>
      <c r="W126" s="33"/>
      <c r="X126" s="33"/>
      <c r="Y126" s="33"/>
      <c r="Z126" s="33"/>
      <c r="AA126" s="33"/>
      <c r="AB126" s="33"/>
      <c r="AC126" s="33"/>
      <c r="AD126" s="33"/>
      <c r="AE126" s="33">
        <v>40</v>
      </c>
      <c r="AF126" s="33"/>
      <c r="AG126" s="33"/>
      <c r="AH126" s="33"/>
      <c r="AI126" s="33"/>
      <c r="AJ126" s="33"/>
      <c r="AK126" s="33"/>
      <c r="AL126" s="33"/>
      <c r="AM126" s="33"/>
      <c r="AN126" s="33">
        <v>5</v>
      </c>
      <c r="AO126" s="33">
        <v>4</v>
      </c>
      <c r="AP126" s="32">
        <v>5</v>
      </c>
      <c r="AQ126" s="32">
        <v>5</v>
      </c>
      <c r="AR126" s="32">
        <v>5</v>
      </c>
      <c r="AS126" s="32">
        <v>5</v>
      </c>
      <c r="AT126" s="32">
        <v>5</v>
      </c>
      <c r="AU126" s="32">
        <v>4</v>
      </c>
      <c r="AV126" s="32">
        <v>2</v>
      </c>
      <c r="AY126" s="32">
        <v>1</v>
      </c>
      <c r="BF126" s="32">
        <v>15</v>
      </c>
      <c r="BO126" s="32">
        <v>75</v>
      </c>
    </row>
    <row r="127" spans="2:67" s="32" customFormat="1" ht="24.95" customHeight="1">
      <c r="B127" s="51">
        <v>36</v>
      </c>
      <c r="C127" s="51">
        <v>2</v>
      </c>
      <c r="D127" s="67">
        <v>5</v>
      </c>
      <c r="E127" s="55">
        <v>5</v>
      </c>
      <c r="F127" s="131">
        <f>IF(ISBLANK(E127),0,IF(E127=Answers!E127,1,-1))</f>
        <v>1</v>
      </c>
      <c r="G127" s="66">
        <v>5</v>
      </c>
      <c r="H127" s="66">
        <v>2</v>
      </c>
      <c r="I127" s="66">
        <v>5</v>
      </c>
      <c r="J127" s="66">
        <v>4</v>
      </c>
      <c r="K127" s="66">
        <v>3</v>
      </c>
      <c r="L127" s="66">
        <v>2</v>
      </c>
      <c r="M127" s="66">
        <v>5</v>
      </c>
      <c r="N127" s="66">
        <v>5</v>
      </c>
      <c r="O127" s="66">
        <v>4</v>
      </c>
      <c r="Q127" s="33">
        <f t="shared" si="1"/>
        <v>35</v>
      </c>
      <c r="R127" s="33"/>
      <c r="S127" s="33"/>
      <c r="T127" s="33"/>
      <c r="U127" s="33"/>
      <c r="V127" s="33"/>
      <c r="W127" s="33"/>
      <c r="X127" s="33"/>
      <c r="Y127" s="33"/>
      <c r="Z127" s="33"/>
      <c r="AA127" s="33"/>
      <c r="AB127" s="33"/>
      <c r="AC127" s="33"/>
      <c r="AD127" s="33"/>
      <c r="AE127" s="33">
        <v>36</v>
      </c>
      <c r="AF127" s="33"/>
      <c r="AG127" s="33"/>
      <c r="AH127" s="33"/>
      <c r="AI127" s="33"/>
      <c r="AJ127" s="33"/>
      <c r="AK127" s="33"/>
      <c r="AL127" s="33"/>
      <c r="AM127" s="33"/>
      <c r="AN127" s="33">
        <v>4</v>
      </c>
      <c r="AO127" s="33">
        <v>5</v>
      </c>
      <c r="AP127" s="32">
        <v>4</v>
      </c>
      <c r="AQ127" s="32">
        <v>5</v>
      </c>
      <c r="AR127" s="32">
        <v>5</v>
      </c>
      <c r="AS127" s="32">
        <v>4</v>
      </c>
      <c r="AT127" s="32">
        <v>2</v>
      </c>
      <c r="AU127" s="32">
        <v>2</v>
      </c>
      <c r="AV127" s="32">
        <v>5</v>
      </c>
      <c r="AY127" s="32">
        <v>2</v>
      </c>
      <c r="BF127" s="32">
        <v>28</v>
      </c>
      <c r="BO127" s="32">
        <v>76</v>
      </c>
    </row>
    <row r="128" spans="2:67" s="32" customFormat="1" ht="24.95" customHeight="1">
      <c r="B128" s="51">
        <v>37</v>
      </c>
      <c r="C128" s="51">
        <v>2</v>
      </c>
      <c r="D128" s="67">
        <v>5</v>
      </c>
      <c r="E128" s="55">
        <v>5</v>
      </c>
      <c r="F128" s="131">
        <f>IF(ISBLANK(E128),0,IF(E128=Answers!E128,1,-1))</f>
        <v>1</v>
      </c>
      <c r="G128" s="66">
        <v>2</v>
      </c>
      <c r="H128" s="66">
        <v>2</v>
      </c>
      <c r="I128" s="66">
        <v>5</v>
      </c>
      <c r="J128" s="66">
        <v>5</v>
      </c>
      <c r="K128" s="66">
        <v>2</v>
      </c>
      <c r="L128" s="66">
        <v>5</v>
      </c>
      <c r="M128" s="66">
        <v>4</v>
      </c>
      <c r="N128" s="66">
        <v>5</v>
      </c>
      <c r="O128" s="66">
        <v>5</v>
      </c>
      <c r="Q128" s="33">
        <f t="shared" si="1"/>
        <v>35</v>
      </c>
      <c r="R128" s="33"/>
      <c r="S128" s="33"/>
      <c r="T128" s="33"/>
      <c r="U128" s="33"/>
      <c r="V128" s="33"/>
      <c r="W128" s="33"/>
      <c r="X128" s="33"/>
      <c r="Y128" s="33"/>
      <c r="Z128" s="33"/>
      <c r="AA128" s="33"/>
      <c r="AB128" s="33"/>
      <c r="AC128" s="33"/>
      <c r="AD128" s="33"/>
      <c r="AE128" s="33">
        <v>31</v>
      </c>
      <c r="AF128" s="33"/>
      <c r="AG128" s="33"/>
      <c r="AH128" s="33"/>
      <c r="AI128" s="33"/>
      <c r="AJ128" s="33"/>
      <c r="AK128" s="33"/>
      <c r="AL128" s="33"/>
      <c r="AM128" s="33"/>
      <c r="AN128" s="33">
        <v>4</v>
      </c>
      <c r="AO128" s="33">
        <v>4</v>
      </c>
      <c r="AP128" s="32">
        <v>3</v>
      </c>
      <c r="AQ128" s="32">
        <v>3</v>
      </c>
      <c r="AR128" s="32">
        <v>4</v>
      </c>
      <c r="AS128" s="32">
        <v>5</v>
      </c>
      <c r="AT128" s="32">
        <v>3</v>
      </c>
      <c r="AU128" s="32">
        <v>2</v>
      </c>
      <c r="AV128" s="32">
        <v>3</v>
      </c>
      <c r="AY128" s="32">
        <v>1</v>
      </c>
      <c r="BF128" s="32">
        <v>20</v>
      </c>
      <c r="BO128" s="32">
        <v>77</v>
      </c>
    </row>
    <row r="129" spans="2:67" s="32" customFormat="1" ht="24.95" customHeight="1">
      <c r="B129" s="51">
        <v>38</v>
      </c>
      <c r="C129" s="51">
        <v>2</v>
      </c>
      <c r="D129" s="67">
        <v>5</v>
      </c>
      <c r="E129" s="55">
        <v>5</v>
      </c>
      <c r="F129" s="131">
        <f>IF(ISBLANK(E129),0,IF(E129=Answers!E129,1,-1))</f>
        <v>1</v>
      </c>
      <c r="G129" s="66">
        <v>3</v>
      </c>
      <c r="H129" s="66">
        <v>2</v>
      </c>
      <c r="I129" s="66">
        <v>2</v>
      </c>
      <c r="J129" s="66">
        <v>3</v>
      </c>
      <c r="K129" s="66">
        <v>2</v>
      </c>
      <c r="L129" s="66">
        <v>5</v>
      </c>
      <c r="M129" s="66">
        <v>5</v>
      </c>
      <c r="N129" s="66">
        <v>4</v>
      </c>
      <c r="O129" s="66">
        <v>3</v>
      </c>
      <c r="Q129" s="33">
        <f t="shared" si="1"/>
        <v>29</v>
      </c>
      <c r="R129" s="33"/>
      <c r="S129" s="33"/>
      <c r="T129" s="33"/>
      <c r="U129" s="33"/>
      <c r="V129" s="33"/>
      <c r="W129" s="33"/>
      <c r="X129" s="33"/>
      <c r="Y129" s="33"/>
      <c r="Z129" s="33"/>
      <c r="AA129" s="33"/>
      <c r="AB129" s="33"/>
      <c r="AC129" s="33"/>
      <c r="AD129" s="33"/>
      <c r="AE129" s="33">
        <v>31</v>
      </c>
      <c r="AF129" s="33"/>
      <c r="AG129" s="33"/>
      <c r="AH129" s="33"/>
      <c r="AI129" s="33"/>
      <c r="AJ129" s="33"/>
      <c r="AK129" s="33"/>
      <c r="AL129" s="33"/>
      <c r="AM129" s="33"/>
      <c r="AN129" s="33">
        <v>3</v>
      </c>
      <c r="AO129" s="33">
        <v>5</v>
      </c>
      <c r="AP129" s="32">
        <v>5</v>
      </c>
      <c r="AQ129" s="32">
        <v>3</v>
      </c>
      <c r="AR129" s="32">
        <v>2</v>
      </c>
      <c r="AS129" s="32">
        <v>5</v>
      </c>
      <c r="AT129" s="32">
        <v>2</v>
      </c>
      <c r="AU129" s="32">
        <v>2</v>
      </c>
      <c r="AV129" s="32">
        <v>4</v>
      </c>
      <c r="AY129" s="32">
        <v>3</v>
      </c>
      <c r="BF129" s="32">
        <v>25</v>
      </c>
      <c r="BO129" s="32">
        <v>78</v>
      </c>
    </row>
    <row r="130" spans="2:67" s="32" customFormat="1" ht="24.95" customHeight="1">
      <c r="B130" s="51">
        <v>39</v>
      </c>
      <c r="C130" s="51">
        <v>2</v>
      </c>
      <c r="D130" s="67">
        <v>5</v>
      </c>
      <c r="E130" s="55">
        <v>4</v>
      </c>
      <c r="F130" s="131">
        <f>IF(ISBLANK(E130),0,IF(E130=Answers!E130,1,-1))</f>
        <v>1</v>
      </c>
      <c r="G130" s="66">
        <v>3</v>
      </c>
      <c r="H130" s="66">
        <v>4</v>
      </c>
      <c r="I130" s="66">
        <v>2</v>
      </c>
      <c r="J130" s="66">
        <v>3</v>
      </c>
      <c r="K130" s="66">
        <v>3</v>
      </c>
      <c r="L130" s="66">
        <v>3</v>
      </c>
      <c r="M130" s="66">
        <v>2</v>
      </c>
      <c r="N130" s="66">
        <v>4</v>
      </c>
      <c r="O130" s="66">
        <v>4</v>
      </c>
      <c r="Q130" s="33">
        <f t="shared" si="1"/>
        <v>28</v>
      </c>
      <c r="R130" s="33"/>
      <c r="S130" s="33"/>
      <c r="T130" s="33"/>
      <c r="U130" s="33"/>
      <c r="V130" s="33"/>
      <c r="W130" s="33"/>
      <c r="X130" s="33"/>
      <c r="Y130" s="33"/>
      <c r="Z130" s="33"/>
      <c r="AA130" s="33"/>
      <c r="AB130" s="33"/>
      <c r="AC130" s="33"/>
      <c r="AD130" s="33"/>
      <c r="AE130" s="33">
        <v>33</v>
      </c>
      <c r="AF130" s="33"/>
      <c r="AG130" s="33"/>
      <c r="AH130" s="33"/>
      <c r="AI130" s="33"/>
      <c r="AJ130" s="33"/>
      <c r="AK130" s="33"/>
      <c r="AL130" s="33"/>
      <c r="AM130" s="33"/>
      <c r="AN130" s="33">
        <v>4</v>
      </c>
      <c r="AO130" s="33">
        <v>3</v>
      </c>
      <c r="AP130" s="32">
        <v>2</v>
      </c>
      <c r="AQ130" s="32">
        <v>4</v>
      </c>
      <c r="AR130" s="32">
        <v>5</v>
      </c>
      <c r="AS130" s="32">
        <v>5</v>
      </c>
      <c r="AT130" s="32">
        <v>3</v>
      </c>
      <c r="AU130" s="32">
        <v>2</v>
      </c>
      <c r="AV130" s="32">
        <v>5</v>
      </c>
      <c r="AY130" s="32">
        <v>2</v>
      </c>
      <c r="BF130" s="32">
        <v>26</v>
      </c>
      <c r="BO130" s="32">
        <v>79</v>
      </c>
    </row>
    <row r="131" spans="2:67" s="32" customFormat="1" ht="24.95" customHeight="1">
      <c r="B131" s="51">
        <v>40</v>
      </c>
      <c r="C131" s="51">
        <v>2</v>
      </c>
      <c r="D131" s="67">
        <v>5</v>
      </c>
      <c r="E131" s="55">
        <v>5</v>
      </c>
      <c r="F131" s="131">
        <f>IF(ISBLANK(E131),0,IF(E131=Answers!E131,1,-1))</f>
        <v>1</v>
      </c>
      <c r="G131" s="66">
        <v>5</v>
      </c>
      <c r="H131" s="66">
        <v>4</v>
      </c>
      <c r="I131" s="66">
        <v>2</v>
      </c>
      <c r="J131" s="66">
        <v>2</v>
      </c>
      <c r="K131" s="66">
        <v>4</v>
      </c>
      <c r="L131" s="66">
        <v>4</v>
      </c>
      <c r="M131" s="66">
        <v>3</v>
      </c>
      <c r="N131" s="66">
        <v>4</v>
      </c>
      <c r="O131" s="66">
        <v>3</v>
      </c>
      <c r="Q131" s="33">
        <f t="shared" si="1"/>
        <v>31</v>
      </c>
      <c r="R131" s="33"/>
      <c r="S131" s="33"/>
      <c r="T131" s="33"/>
      <c r="U131" s="33"/>
      <c r="V131" s="33"/>
      <c r="W131" s="33"/>
      <c r="X131" s="33"/>
      <c r="Y131" s="33"/>
      <c r="Z131" s="33"/>
      <c r="AA131" s="33"/>
      <c r="AB131" s="33"/>
      <c r="AC131" s="33"/>
      <c r="AD131" s="33"/>
      <c r="AE131" s="33">
        <v>37</v>
      </c>
      <c r="AF131" s="33"/>
      <c r="AG131" s="33"/>
      <c r="AH131" s="33"/>
      <c r="AI131" s="33"/>
      <c r="AJ131" s="33"/>
      <c r="AK131" s="33"/>
      <c r="AL131" s="33"/>
      <c r="AM131" s="33"/>
      <c r="AN131" s="33">
        <v>5</v>
      </c>
      <c r="AO131" s="33">
        <v>4</v>
      </c>
      <c r="AP131" s="32">
        <v>3</v>
      </c>
      <c r="AQ131" s="32">
        <v>4</v>
      </c>
      <c r="AR131" s="32">
        <v>5</v>
      </c>
      <c r="AS131" s="32">
        <v>4</v>
      </c>
      <c r="AT131" s="32">
        <v>4</v>
      </c>
      <c r="AU131" s="32">
        <v>3</v>
      </c>
      <c r="AV131" s="32">
        <v>5</v>
      </c>
      <c r="AY131" s="32">
        <v>0</v>
      </c>
      <c r="BF131" s="32">
        <v>34</v>
      </c>
      <c r="BO131" s="32">
        <v>80</v>
      </c>
    </row>
    <row r="132" spans="2:67" s="32" customFormat="1" ht="15" customHeight="1" thickBot="1">
      <c r="K132" s="33"/>
      <c r="L132" s="33"/>
      <c r="M132" s="33"/>
      <c r="N132" s="33"/>
      <c r="O132" s="33"/>
      <c r="P132" s="33"/>
      <c r="Q132" s="33"/>
      <c r="R132" s="33"/>
      <c r="S132" s="33"/>
      <c r="T132" s="33"/>
      <c r="U132" s="33"/>
      <c r="V132" s="33"/>
      <c r="W132" s="33"/>
      <c r="X132" s="33"/>
      <c r="Y132" s="33"/>
      <c r="Z132" s="33"/>
      <c r="AA132" s="33"/>
      <c r="AB132" s="33"/>
      <c r="AC132" s="33"/>
      <c r="AD132" s="33"/>
      <c r="AE132" s="33">
        <v>33</v>
      </c>
      <c r="AF132" s="33"/>
      <c r="AG132" s="33"/>
      <c r="AH132" s="33"/>
      <c r="AI132" s="33"/>
      <c r="AJ132" s="33"/>
      <c r="AK132" s="33"/>
      <c r="AL132" s="33"/>
      <c r="AM132" s="33"/>
      <c r="AN132" s="33">
        <v>3</v>
      </c>
      <c r="AO132" s="33">
        <v>2</v>
      </c>
      <c r="AP132" s="32">
        <v>2</v>
      </c>
      <c r="AQ132" s="32">
        <v>4</v>
      </c>
      <c r="AR132" s="32">
        <v>3</v>
      </c>
      <c r="AS132" s="32">
        <v>3</v>
      </c>
      <c r="AT132" s="32">
        <v>5</v>
      </c>
      <c r="AU132" s="32">
        <v>5</v>
      </c>
      <c r="AV132" s="32">
        <v>5</v>
      </c>
      <c r="AY132" s="32">
        <v>2</v>
      </c>
      <c r="BF132" s="32">
        <v>9</v>
      </c>
      <c r="BO132" s="32">
        <v>81</v>
      </c>
    </row>
    <row r="133" spans="2:67" s="32" customFormat="1" ht="22.5" customHeight="1" thickBot="1">
      <c r="B133" s="57" t="s">
        <v>38</v>
      </c>
      <c r="C133" s="70" t="s">
        <v>39</v>
      </c>
      <c r="D133" s="59"/>
      <c r="K133" s="33"/>
      <c r="L133" s="33"/>
      <c r="M133" s="33"/>
      <c r="N133" s="33"/>
      <c r="O133" s="33"/>
      <c r="P133" s="33"/>
      <c r="Q133" s="33"/>
      <c r="R133" s="33"/>
      <c r="S133" s="33"/>
      <c r="T133" s="33"/>
      <c r="U133" s="33"/>
      <c r="V133" s="33"/>
      <c r="W133" s="33"/>
      <c r="X133" s="33"/>
      <c r="Y133" s="33"/>
      <c r="Z133" s="33"/>
      <c r="AA133" s="33"/>
      <c r="AB133" s="33"/>
      <c r="AC133" s="33"/>
      <c r="AD133" s="33"/>
      <c r="AE133" s="33">
        <v>32</v>
      </c>
      <c r="AF133" s="33"/>
      <c r="AG133" s="33"/>
      <c r="AH133" s="33"/>
      <c r="AI133" s="33"/>
      <c r="AJ133" s="33"/>
      <c r="AK133" s="33"/>
      <c r="AL133" s="33"/>
      <c r="AM133" s="33"/>
      <c r="AN133" s="33">
        <v>2</v>
      </c>
      <c r="AO133" s="33">
        <v>5</v>
      </c>
      <c r="AP133" s="32">
        <v>4</v>
      </c>
      <c r="AQ133" s="32">
        <v>3</v>
      </c>
      <c r="AR133" s="32">
        <v>5</v>
      </c>
      <c r="AS133" s="32">
        <v>3</v>
      </c>
      <c r="AT133" s="32">
        <v>3</v>
      </c>
      <c r="AU133" s="32">
        <v>2</v>
      </c>
      <c r="AV133" s="32">
        <v>2</v>
      </c>
      <c r="AY133" s="32">
        <v>3</v>
      </c>
      <c r="BF133" s="32">
        <v>13</v>
      </c>
      <c r="BO133" s="32">
        <v>82</v>
      </c>
    </row>
    <row r="134" spans="2:67" s="16" customFormat="1" ht="15" customHeight="1">
      <c r="K134" s="50"/>
      <c r="L134" s="50"/>
      <c r="M134" s="50"/>
      <c r="N134" s="50"/>
      <c r="O134" s="50"/>
      <c r="P134" s="50"/>
      <c r="Q134" s="50"/>
      <c r="R134" s="50"/>
      <c r="S134" s="50"/>
      <c r="T134" s="50"/>
      <c r="U134" s="50"/>
      <c r="V134" s="50"/>
      <c r="W134" s="50"/>
      <c r="X134" s="50"/>
      <c r="Y134" s="50"/>
      <c r="Z134" s="50"/>
      <c r="AA134" s="50"/>
      <c r="AB134" s="50"/>
      <c r="AC134" s="50"/>
      <c r="AD134" s="50"/>
      <c r="AE134" s="50">
        <v>34</v>
      </c>
      <c r="AF134" s="50"/>
      <c r="AG134" s="50"/>
      <c r="AH134" s="50"/>
      <c r="AI134" s="50"/>
      <c r="AJ134" s="50"/>
      <c r="AK134" s="50"/>
      <c r="AL134" s="50"/>
      <c r="AM134" s="50"/>
      <c r="AN134" s="50">
        <v>4</v>
      </c>
      <c r="AO134" s="50">
        <v>4</v>
      </c>
      <c r="AP134" s="16">
        <v>5</v>
      </c>
      <c r="AQ134" s="16">
        <v>2</v>
      </c>
      <c r="AR134" s="16">
        <v>5</v>
      </c>
      <c r="AS134" s="16">
        <v>5</v>
      </c>
      <c r="AT134" s="16">
        <v>4</v>
      </c>
      <c r="AU134" s="16">
        <v>5</v>
      </c>
      <c r="AV134" s="16">
        <v>5</v>
      </c>
      <c r="AY134" s="16">
        <v>1</v>
      </c>
      <c r="BF134" s="16">
        <v>13</v>
      </c>
      <c r="BO134" s="16">
        <v>83</v>
      </c>
    </row>
    <row r="135" spans="2:67" s="16" customFormat="1" ht="15" customHeight="1">
      <c r="B135" s="60" t="s">
        <v>103</v>
      </c>
      <c r="C135" s="61"/>
      <c r="K135" s="50"/>
      <c r="L135" s="50"/>
      <c r="M135" s="50"/>
      <c r="N135" s="50"/>
      <c r="O135" s="50"/>
      <c r="P135" s="50"/>
      <c r="Q135" s="50"/>
      <c r="R135" s="50"/>
      <c r="S135" s="50"/>
      <c r="T135" s="50"/>
      <c r="U135" s="50"/>
      <c r="V135" s="50"/>
      <c r="W135" s="50"/>
      <c r="X135" s="50"/>
      <c r="Y135" s="50"/>
      <c r="Z135" s="50"/>
      <c r="AA135" s="50"/>
      <c r="AB135" s="50"/>
      <c r="AC135" s="50"/>
      <c r="AD135" s="50"/>
      <c r="AE135" s="50">
        <v>33</v>
      </c>
      <c r="AF135" s="50"/>
      <c r="AG135" s="50"/>
      <c r="AH135" s="50"/>
      <c r="AI135" s="50"/>
      <c r="AJ135" s="50"/>
      <c r="AK135" s="50"/>
      <c r="AL135" s="50"/>
      <c r="AM135" s="50"/>
      <c r="AN135" s="50">
        <v>3</v>
      </c>
      <c r="AO135" s="50">
        <v>3</v>
      </c>
      <c r="AP135" s="16">
        <v>2</v>
      </c>
      <c r="AQ135" s="16">
        <v>4</v>
      </c>
      <c r="AR135" s="16">
        <v>5</v>
      </c>
      <c r="AS135" s="16">
        <v>4</v>
      </c>
      <c r="AT135" s="16">
        <v>4</v>
      </c>
      <c r="AU135" s="16">
        <v>4</v>
      </c>
      <c r="AV135" s="16">
        <v>4</v>
      </c>
      <c r="AY135" s="16">
        <v>1</v>
      </c>
      <c r="BF135" s="16">
        <v>10</v>
      </c>
      <c r="BO135" s="16">
        <v>84</v>
      </c>
    </row>
    <row r="136" spans="2:67" s="16" customFormat="1" ht="15" customHeight="1">
      <c r="B136" s="60"/>
      <c r="C136" s="61"/>
      <c r="K136" s="50"/>
      <c r="L136" s="50"/>
      <c r="M136" s="50"/>
      <c r="N136" s="50"/>
      <c r="O136" s="50"/>
      <c r="P136" s="50"/>
      <c r="Q136" s="50"/>
      <c r="R136" s="50"/>
      <c r="S136" s="50"/>
      <c r="T136" s="50"/>
      <c r="U136" s="50"/>
      <c r="V136" s="50"/>
      <c r="W136" s="50"/>
      <c r="X136" s="50"/>
      <c r="Y136" s="50"/>
      <c r="Z136" s="50"/>
      <c r="AA136" s="50"/>
      <c r="AB136" s="50"/>
      <c r="AC136" s="50"/>
      <c r="AD136" s="50"/>
      <c r="AE136" s="50">
        <v>32</v>
      </c>
      <c r="AF136" s="50"/>
      <c r="AG136" s="50"/>
      <c r="AH136" s="50"/>
      <c r="AI136" s="50"/>
      <c r="AJ136" s="50"/>
      <c r="AK136" s="50"/>
      <c r="AL136" s="50"/>
      <c r="AM136" s="50"/>
      <c r="AN136" s="50">
        <v>4</v>
      </c>
      <c r="AO136" s="50">
        <v>5</v>
      </c>
      <c r="AP136" s="16">
        <v>4</v>
      </c>
      <c r="AQ136" s="16">
        <v>5</v>
      </c>
      <c r="AR136" s="16">
        <v>4</v>
      </c>
      <c r="AS136" s="16">
        <v>3</v>
      </c>
      <c r="AT136" s="16">
        <v>3</v>
      </c>
      <c r="AU136" s="16">
        <v>3</v>
      </c>
      <c r="AV136" s="16">
        <v>3</v>
      </c>
      <c r="AY136" s="16">
        <v>0</v>
      </c>
      <c r="BF136" s="16">
        <v>6</v>
      </c>
      <c r="BO136" s="16">
        <v>85</v>
      </c>
    </row>
    <row r="137" spans="2:67" s="16" customFormat="1" ht="15" customHeight="1">
      <c r="B137" s="60" t="s">
        <v>112</v>
      </c>
      <c r="C137" s="61"/>
      <c r="K137" s="50"/>
      <c r="L137" s="50"/>
      <c r="M137" s="50"/>
      <c r="N137" s="50"/>
      <c r="O137" s="50"/>
      <c r="P137" s="50"/>
      <c r="Q137" s="50"/>
      <c r="R137" s="50"/>
      <c r="S137" s="50"/>
      <c r="T137" s="50"/>
      <c r="U137" s="50"/>
      <c r="V137" s="50"/>
      <c r="W137" s="50"/>
      <c r="X137" s="50"/>
      <c r="Y137" s="50"/>
      <c r="Z137" s="50"/>
      <c r="AA137" s="50"/>
      <c r="AB137" s="50"/>
      <c r="AC137" s="50"/>
      <c r="AD137" s="50"/>
      <c r="AE137" s="50">
        <v>33</v>
      </c>
      <c r="AF137" s="50"/>
      <c r="AG137" s="50"/>
      <c r="AH137" s="50"/>
      <c r="AI137" s="50"/>
      <c r="AJ137" s="50"/>
      <c r="AK137" s="50"/>
      <c r="AL137" s="50"/>
      <c r="AM137" s="50"/>
      <c r="AN137" s="50">
        <v>3</v>
      </c>
      <c r="AO137" s="50">
        <v>4</v>
      </c>
      <c r="AP137" s="16">
        <v>4</v>
      </c>
      <c r="AQ137" s="16">
        <v>5</v>
      </c>
      <c r="AR137" s="16">
        <v>5</v>
      </c>
      <c r="AS137" s="16">
        <v>5</v>
      </c>
      <c r="AT137" s="16">
        <v>3</v>
      </c>
      <c r="AU137" s="16">
        <v>5</v>
      </c>
      <c r="AV137" s="16">
        <v>2</v>
      </c>
      <c r="AY137" s="16">
        <v>1</v>
      </c>
      <c r="BF137" s="16">
        <v>12</v>
      </c>
      <c r="BO137" s="16">
        <v>86</v>
      </c>
    </row>
    <row r="138" spans="2:67" s="16" customFormat="1" ht="15" customHeight="1">
      <c r="C138" s="61"/>
      <c r="D138" s="50"/>
      <c r="E138" s="50"/>
      <c r="F138" s="50"/>
      <c r="G138" s="50"/>
      <c r="K138" s="50"/>
      <c r="L138" s="50"/>
      <c r="M138" s="50"/>
      <c r="N138" s="50"/>
      <c r="O138" s="50"/>
      <c r="P138" s="50"/>
      <c r="Q138" s="50"/>
      <c r="R138" s="50"/>
      <c r="S138" s="50"/>
      <c r="T138" s="50"/>
      <c r="U138" s="50"/>
      <c r="V138" s="50"/>
      <c r="W138" s="50"/>
      <c r="X138" s="50"/>
      <c r="Y138" s="50"/>
      <c r="Z138" s="50"/>
      <c r="AA138" s="50"/>
      <c r="AB138" s="50"/>
      <c r="AC138" s="50"/>
      <c r="AD138" s="50"/>
      <c r="AE138" s="50">
        <v>29</v>
      </c>
      <c r="AF138" s="50"/>
      <c r="AG138" s="50"/>
      <c r="AH138" s="50"/>
      <c r="AI138" s="50"/>
      <c r="AJ138" s="50"/>
      <c r="AK138" s="50"/>
      <c r="AL138" s="50"/>
      <c r="AM138" s="50"/>
      <c r="AN138" s="50">
        <v>5</v>
      </c>
      <c r="AO138" s="50">
        <v>2</v>
      </c>
      <c r="AP138" s="16">
        <v>4</v>
      </c>
      <c r="AQ138" s="16">
        <v>4</v>
      </c>
      <c r="AR138" s="16">
        <v>3</v>
      </c>
      <c r="AS138" s="16">
        <v>5</v>
      </c>
      <c r="AT138" s="16">
        <v>4</v>
      </c>
      <c r="AU138" s="16">
        <v>3</v>
      </c>
      <c r="AV138" s="16">
        <v>3</v>
      </c>
      <c r="AY138" s="16">
        <v>1</v>
      </c>
      <c r="BF138" s="16">
        <v>3</v>
      </c>
      <c r="BO138" s="16">
        <v>87</v>
      </c>
    </row>
    <row r="139" spans="2:67" s="16" customFormat="1" ht="15" customHeight="1">
      <c r="B139" s="63" t="s">
        <v>34</v>
      </c>
      <c r="C139" s="61"/>
      <c r="D139" s="50"/>
      <c r="E139" s="50"/>
      <c r="F139" s="50"/>
      <c r="G139" s="50"/>
      <c r="K139" s="50"/>
      <c r="L139" s="50"/>
      <c r="M139" s="50"/>
      <c r="N139" s="50"/>
      <c r="O139" s="50"/>
      <c r="P139" s="50"/>
      <c r="Q139" s="50"/>
      <c r="R139" s="50"/>
      <c r="S139" s="50"/>
      <c r="T139" s="50"/>
      <c r="U139" s="50"/>
      <c r="V139" s="50"/>
      <c r="W139" s="50"/>
      <c r="X139" s="50"/>
      <c r="Y139" s="50"/>
      <c r="Z139" s="50"/>
      <c r="AA139" s="50"/>
      <c r="AB139" s="50"/>
      <c r="AC139" s="50"/>
      <c r="AD139" s="50"/>
      <c r="AE139" s="50">
        <v>37</v>
      </c>
      <c r="AF139" s="50"/>
      <c r="AG139" s="50"/>
      <c r="AH139" s="50"/>
      <c r="AI139" s="50"/>
      <c r="AJ139" s="50"/>
      <c r="AK139" s="50"/>
      <c r="AL139" s="50"/>
      <c r="AM139" s="50"/>
      <c r="AN139" s="50">
        <v>4</v>
      </c>
      <c r="AO139" s="50">
        <v>2</v>
      </c>
      <c r="AP139" s="16">
        <v>4</v>
      </c>
      <c r="AQ139" s="16">
        <v>2</v>
      </c>
      <c r="AR139" s="16">
        <v>3</v>
      </c>
      <c r="AS139" s="16">
        <v>4</v>
      </c>
      <c r="AT139" s="16">
        <v>3</v>
      </c>
      <c r="AU139" s="16">
        <v>2</v>
      </c>
      <c r="AV139" s="16">
        <v>2</v>
      </c>
      <c r="AY139" s="16">
        <v>4</v>
      </c>
      <c r="BF139" s="16">
        <v>6</v>
      </c>
      <c r="BO139" s="16">
        <v>88</v>
      </c>
    </row>
    <row r="140" spans="2:67" s="16" customFormat="1" ht="15" customHeight="1">
      <c r="B140" s="61" t="s">
        <v>40</v>
      </c>
      <c r="D140" s="50"/>
      <c r="E140" s="50"/>
      <c r="F140" s="50"/>
      <c r="G140" s="50"/>
      <c r="K140" s="50"/>
      <c r="L140" s="50"/>
      <c r="M140" s="50"/>
      <c r="N140" s="50"/>
      <c r="O140" s="50"/>
      <c r="P140" s="50"/>
      <c r="Q140" s="50"/>
      <c r="R140" s="50"/>
      <c r="S140" s="50"/>
      <c r="T140" s="50"/>
      <c r="U140" s="50"/>
      <c r="V140" s="50"/>
      <c r="W140" s="50"/>
      <c r="X140" s="50"/>
      <c r="Y140" s="50"/>
      <c r="Z140" s="50"/>
      <c r="AA140" s="50"/>
      <c r="AB140" s="50"/>
      <c r="AC140" s="50"/>
      <c r="AD140" s="50"/>
      <c r="AE140" s="50">
        <v>34</v>
      </c>
      <c r="AF140" s="50"/>
      <c r="AG140" s="50"/>
      <c r="AH140" s="50"/>
      <c r="AI140" s="50"/>
      <c r="AJ140" s="50"/>
      <c r="AK140" s="50"/>
      <c r="AL140" s="50"/>
      <c r="AM140" s="50"/>
      <c r="AN140" s="50">
        <v>5</v>
      </c>
      <c r="AO140" s="50">
        <v>5</v>
      </c>
      <c r="AP140" s="16">
        <v>3</v>
      </c>
      <c r="AQ140" s="16">
        <v>3</v>
      </c>
      <c r="AR140" s="16">
        <v>5</v>
      </c>
      <c r="AS140" s="16">
        <v>2</v>
      </c>
      <c r="AT140" s="16">
        <v>5</v>
      </c>
      <c r="AU140" s="16">
        <v>2</v>
      </c>
      <c r="AV140" s="16">
        <v>5</v>
      </c>
      <c r="AY140" s="16">
        <v>2</v>
      </c>
      <c r="BF140" s="16">
        <v>9</v>
      </c>
      <c r="BO140" s="16">
        <v>89</v>
      </c>
    </row>
    <row r="141" spans="2:67" s="16" customFormat="1" ht="15" customHeight="1">
      <c r="B141" s="61" t="s">
        <v>107</v>
      </c>
      <c r="D141" s="50"/>
      <c r="E141" s="50"/>
      <c r="F141" s="50"/>
      <c r="G141" s="50"/>
      <c r="K141" s="50"/>
      <c r="L141" s="50"/>
      <c r="M141" s="50"/>
      <c r="N141" s="50"/>
      <c r="O141" s="50"/>
      <c r="P141" s="50"/>
      <c r="Q141" s="50"/>
      <c r="R141" s="50"/>
      <c r="S141" s="50"/>
      <c r="T141" s="50"/>
      <c r="U141" s="50"/>
      <c r="V141" s="50"/>
      <c r="W141" s="50"/>
      <c r="X141" s="50"/>
      <c r="Y141" s="50"/>
      <c r="Z141" s="50"/>
      <c r="AA141" s="50"/>
      <c r="AB141" s="50"/>
      <c r="AC141" s="50"/>
      <c r="AD141" s="50"/>
      <c r="AE141" s="50">
        <v>39</v>
      </c>
      <c r="AF141" s="50"/>
      <c r="AG141" s="50"/>
      <c r="AH141" s="50"/>
      <c r="AI141" s="50"/>
      <c r="AJ141" s="50"/>
      <c r="AK141" s="50"/>
      <c r="AL141" s="50"/>
      <c r="AM141" s="50"/>
      <c r="AN141" s="50">
        <v>5</v>
      </c>
      <c r="AO141" s="50">
        <v>4</v>
      </c>
      <c r="AP141" s="16">
        <v>3</v>
      </c>
      <c r="AQ141" s="16">
        <v>3</v>
      </c>
      <c r="AR141" s="16">
        <v>4</v>
      </c>
      <c r="AS141" s="16">
        <v>5</v>
      </c>
      <c r="AT141" s="16">
        <v>5</v>
      </c>
      <c r="AU141" s="16">
        <v>3</v>
      </c>
      <c r="AV141" s="16">
        <v>2</v>
      </c>
      <c r="AY141" s="16">
        <v>1</v>
      </c>
      <c r="BF141" s="16">
        <v>15</v>
      </c>
      <c r="BO141" s="16">
        <v>90</v>
      </c>
    </row>
    <row r="142" spans="2:67" s="16" customFormat="1" ht="15" customHeight="1" thickBot="1">
      <c r="B142" s="61" t="s">
        <v>41</v>
      </c>
      <c r="D142" s="50"/>
      <c r="E142" s="50"/>
      <c r="F142" s="50"/>
      <c r="G142" s="50"/>
      <c r="K142" s="50"/>
      <c r="L142" s="50"/>
      <c r="M142" s="50"/>
      <c r="N142" s="50"/>
      <c r="O142" s="50"/>
      <c r="P142" s="50"/>
      <c r="Q142" s="50"/>
      <c r="R142" s="50"/>
      <c r="S142" s="50"/>
      <c r="T142" s="50"/>
      <c r="U142" s="50"/>
      <c r="V142" s="50"/>
      <c r="W142" s="50"/>
      <c r="X142" s="50"/>
      <c r="Y142" s="50"/>
      <c r="Z142" s="50"/>
      <c r="AA142" s="50"/>
      <c r="AB142" s="50"/>
      <c r="AC142" s="50"/>
      <c r="AD142" s="50"/>
      <c r="AE142" s="50">
        <v>30</v>
      </c>
      <c r="AF142" s="50"/>
      <c r="AG142" s="50"/>
      <c r="AH142" s="50"/>
      <c r="AI142" s="50"/>
      <c r="AJ142" s="50"/>
      <c r="AK142" s="50"/>
      <c r="AL142" s="50"/>
      <c r="AM142" s="50"/>
      <c r="AN142" s="50">
        <v>5</v>
      </c>
      <c r="AO142" s="50">
        <v>2</v>
      </c>
      <c r="AP142" s="16">
        <v>3</v>
      </c>
      <c r="AQ142" s="16">
        <v>3</v>
      </c>
      <c r="AR142" s="16">
        <v>5</v>
      </c>
      <c r="AS142" s="16">
        <v>3</v>
      </c>
      <c r="AT142" s="16">
        <v>5</v>
      </c>
      <c r="AU142" s="16">
        <v>3</v>
      </c>
      <c r="AV142" s="16">
        <v>4</v>
      </c>
      <c r="AY142" s="16">
        <v>1</v>
      </c>
      <c r="BF142" s="16">
        <v>6</v>
      </c>
      <c r="BO142" s="16">
        <v>91</v>
      </c>
    </row>
    <row r="143" spans="2:67" s="50" customFormat="1" ht="22.5" customHeight="1" thickBot="1">
      <c r="B143" s="16"/>
      <c r="C143" s="16"/>
      <c r="D143" s="16"/>
      <c r="E143" s="16"/>
      <c r="F143" s="16"/>
      <c r="G143" s="110" t="s">
        <v>90</v>
      </c>
      <c r="H143" s="111"/>
      <c r="I143" s="111"/>
      <c r="J143" s="111"/>
      <c r="K143" s="111"/>
      <c r="L143" s="111"/>
      <c r="M143" s="111"/>
      <c r="N143" s="111"/>
      <c r="O143" s="112"/>
      <c r="AE143" s="50">
        <v>35</v>
      </c>
      <c r="AN143" s="50">
        <v>5</v>
      </c>
      <c r="AO143" s="50">
        <v>5</v>
      </c>
      <c r="AP143" s="50">
        <v>4</v>
      </c>
      <c r="AQ143" s="50">
        <v>4</v>
      </c>
      <c r="AR143" s="50">
        <v>3</v>
      </c>
      <c r="AS143" s="50">
        <v>4</v>
      </c>
      <c r="AT143" s="50">
        <v>4</v>
      </c>
      <c r="AU143" s="50">
        <v>5</v>
      </c>
      <c r="AV143" s="50">
        <v>3</v>
      </c>
      <c r="AY143" s="50">
        <v>0</v>
      </c>
      <c r="BF143" s="50">
        <v>15</v>
      </c>
      <c r="BO143" s="50">
        <v>92</v>
      </c>
    </row>
    <row r="144" spans="2:67" s="50" customFormat="1" ht="22.5" customHeight="1" thickBot="1">
      <c r="B144" s="47" t="s">
        <v>8</v>
      </c>
      <c r="C144" s="48" t="s">
        <v>9</v>
      </c>
      <c r="D144" s="47" t="s">
        <v>10</v>
      </c>
      <c r="E144" s="64" t="s">
        <v>11</v>
      </c>
      <c r="F144" s="16"/>
      <c r="G144" s="47" t="s">
        <v>12</v>
      </c>
      <c r="H144" s="47" t="s">
        <v>13</v>
      </c>
      <c r="I144" s="47" t="s">
        <v>14</v>
      </c>
      <c r="J144" s="47" t="s">
        <v>15</v>
      </c>
      <c r="K144" s="47" t="s">
        <v>16</v>
      </c>
      <c r="L144" s="47" t="s">
        <v>17</v>
      </c>
      <c r="M144" s="47" t="s">
        <v>18</v>
      </c>
      <c r="N144" s="47" t="s">
        <v>19</v>
      </c>
      <c r="O144" s="47" t="s">
        <v>20</v>
      </c>
      <c r="AE144" s="50">
        <v>33</v>
      </c>
      <c r="AN144" s="50">
        <v>4</v>
      </c>
      <c r="AO144" s="50">
        <v>4</v>
      </c>
      <c r="AP144" s="50">
        <v>5</v>
      </c>
      <c r="AQ144" s="50">
        <v>3</v>
      </c>
      <c r="AR144" s="50">
        <v>5</v>
      </c>
      <c r="AS144" s="50">
        <v>2</v>
      </c>
      <c r="AT144" s="50">
        <v>3</v>
      </c>
      <c r="AU144" s="50">
        <v>2</v>
      </c>
      <c r="AV144" s="50">
        <v>4</v>
      </c>
      <c r="AY144" s="50">
        <v>2</v>
      </c>
      <c r="BF144" s="50">
        <v>11</v>
      </c>
      <c r="BO144" s="50">
        <v>93</v>
      </c>
    </row>
    <row r="145" spans="2:67" s="32" customFormat="1" ht="15" customHeight="1">
      <c r="J145" s="33"/>
      <c r="K145" s="33"/>
      <c r="L145" s="33"/>
      <c r="M145" s="33"/>
      <c r="N145" s="33"/>
      <c r="O145" s="33"/>
      <c r="P145" s="33"/>
      <c r="Q145" s="33"/>
      <c r="R145" s="33"/>
      <c r="S145" s="33"/>
      <c r="T145" s="33"/>
      <c r="U145" s="33"/>
      <c r="V145" s="33"/>
      <c r="W145" s="33"/>
      <c r="X145" s="33"/>
      <c r="Y145" s="33"/>
      <c r="Z145" s="33"/>
      <c r="AA145" s="33"/>
      <c r="AB145" s="33"/>
      <c r="AC145" s="33"/>
      <c r="AD145" s="33"/>
      <c r="AE145" s="33">
        <v>32</v>
      </c>
      <c r="AF145" s="33"/>
      <c r="AG145" s="33"/>
      <c r="AH145" s="33"/>
      <c r="AI145" s="33"/>
      <c r="AJ145" s="33"/>
      <c r="AK145" s="33"/>
      <c r="AL145" s="33"/>
      <c r="AM145" s="33"/>
      <c r="AN145" s="33">
        <v>2</v>
      </c>
      <c r="AO145" s="33">
        <v>3</v>
      </c>
      <c r="AP145" s="32">
        <v>5</v>
      </c>
      <c r="AQ145" s="32">
        <v>5</v>
      </c>
      <c r="AR145" s="32">
        <v>2</v>
      </c>
      <c r="AS145" s="32">
        <v>2</v>
      </c>
      <c r="AT145" s="32">
        <v>2</v>
      </c>
      <c r="AU145" s="32">
        <v>2</v>
      </c>
      <c r="AV145" s="32">
        <v>5</v>
      </c>
      <c r="AY145" s="32">
        <v>5</v>
      </c>
      <c r="BF145" s="32">
        <v>9</v>
      </c>
      <c r="BO145" s="32">
        <v>94</v>
      </c>
    </row>
    <row r="146" spans="2:67" s="32" customFormat="1" ht="24.95" customHeight="1">
      <c r="B146" s="65" t="s">
        <v>42</v>
      </c>
      <c r="C146" s="51">
        <v>3</v>
      </c>
      <c r="D146" s="52">
        <v>0</v>
      </c>
      <c r="E146" s="55">
        <v>9</v>
      </c>
      <c r="F146" s="131">
        <f>IF(ISBLANK(E146),0,IF(E146=Answers!E146,1,-1))</f>
        <v>1</v>
      </c>
      <c r="G146" s="66">
        <v>3</v>
      </c>
      <c r="H146" s="66">
        <v>5</v>
      </c>
      <c r="I146" s="66">
        <v>3</v>
      </c>
      <c r="J146" s="66">
        <v>4</v>
      </c>
      <c r="K146" s="66">
        <v>3</v>
      </c>
      <c r="L146" s="66">
        <v>3</v>
      </c>
      <c r="M146" s="66">
        <v>2</v>
      </c>
      <c r="N146" s="66">
        <v>3</v>
      </c>
      <c r="O146" s="66">
        <v>3</v>
      </c>
      <c r="P146" s="33"/>
      <c r="Q146" s="33"/>
      <c r="R146" s="33"/>
      <c r="S146" s="33"/>
      <c r="T146" s="33"/>
      <c r="U146" s="33"/>
      <c r="V146" s="33"/>
      <c r="W146" s="33"/>
      <c r="X146" s="33"/>
      <c r="Y146" s="33"/>
      <c r="Z146" s="33"/>
      <c r="AA146" s="33"/>
      <c r="AB146" s="33"/>
      <c r="AC146" s="33"/>
      <c r="AD146" s="33"/>
      <c r="AE146" s="33">
        <v>29</v>
      </c>
      <c r="AF146" s="33"/>
      <c r="AG146" s="33"/>
      <c r="AH146" s="33"/>
      <c r="AI146" s="33"/>
      <c r="AJ146" s="33"/>
      <c r="AK146" s="33"/>
      <c r="AL146" s="33"/>
      <c r="AM146" s="33"/>
      <c r="AN146" s="33">
        <v>3</v>
      </c>
      <c r="AO146" s="33">
        <v>5</v>
      </c>
      <c r="AP146" s="32">
        <v>2</v>
      </c>
      <c r="AQ146" s="32">
        <v>2</v>
      </c>
      <c r="AR146" s="32">
        <v>5</v>
      </c>
      <c r="AS146" s="32">
        <v>3</v>
      </c>
      <c r="AT146" s="32">
        <v>2</v>
      </c>
      <c r="AU146" s="32">
        <v>4</v>
      </c>
      <c r="AV146" s="32">
        <v>4</v>
      </c>
      <c r="AY146" s="32">
        <v>3</v>
      </c>
      <c r="BF146" s="32">
        <v>11</v>
      </c>
      <c r="BO146" s="32">
        <v>95</v>
      </c>
    </row>
    <row r="147" spans="2:67" s="32" customFormat="1" ht="15" customHeight="1">
      <c r="P147" s="33"/>
      <c r="Q147" s="33"/>
      <c r="R147" s="33"/>
      <c r="S147" s="33"/>
      <c r="T147" s="33"/>
      <c r="U147" s="33"/>
      <c r="V147" s="33"/>
      <c r="W147" s="33"/>
      <c r="X147" s="33"/>
      <c r="Y147" s="33"/>
      <c r="Z147" s="33"/>
      <c r="AA147" s="33"/>
      <c r="AB147" s="33"/>
      <c r="AC147" s="33"/>
      <c r="AD147" s="33"/>
      <c r="AE147" s="33">
        <v>28</v>
      </c>
      <c r="AF147" s="33"/>
      <c r="AG147" s="33"/>
      <c r="AH147" s="33"/>
      <c r="AI147" s="33"/>
      <c r="AJ147" s="33"/>
      <c r="AK147" s="33"/>
      <c r="AL147" s="33"/>
      <c r="AM147" s="33"/>
      <c r="AN147" s="33">
        <v>5</v>
      </c>
      <c r="AO147" s="33">
        <v>5</v>
      </c>
      <c r="AP147" s="32">
        <v>3</v>
      </c>
      <c r="AQ147" s="32">
        <v>2</v>
      </c>
      <c r="AR147" s="32">
        <v>4</v>
      </c>
      <c r="AS147" s="32">
        <v>4</v>
      </c>
      <c r="AT147" s="32">
        <v>5</v>
      </c>
      <c r="AU147" s="32">
        <v>3</v>
      </c>
      <c r="AV147" s="32">
        <v>5</v>
      </c>
      <c r="AY147" s="32">
        <v>1</v>
      </c>
      <c r="BF147" s="32">
        <v>3</v>
      </c>
      <c r="BO147" s="32">
        <v>96</v>
      </c>
    </row>
    <row r="148" spans="2:67" s="32" customFormat="1" ht="24.95" customHeight="1">
      <c r="B148" s="51">
        <v>41</v>
      </c>
      <c r="C148" s="51">
        <v>3</v>
      </c>
      <c r="D148" s="67">
        <v>6</v>
      </c>
      <c r="E148" s="55" cm="1">
        <f t="array" ref="E148:E167">_xlfn.BYROW(G148:O167, _xlfn.LAMBDA(_xlpm.r, SUM(MAX(_xlpm.r) + LARGE(_xlpm.r, 2))))</f>
        <v>8</v>
      </c>
      <c r="F148" s="131">
        <f>IF(ISBLANK(E148),0,IF(E148=Answers!E148,1,-1))</f>
        <v>1</v>
      </c>
      <c r="G148" s="68">
        <v>5</v>
      </c>
      <c r="H148" s="68">
        <v>3</v>
      </c>
      <c r="I148" s="68">
        <v>3</v>
      </c>
      <c r="J148" s="68">
        <v>3</v>
      </c>
      <c r="K148" s="68">
        <v>3</v>
      </c>
      <c r="L148" s="68">
        <v>3</v>
      </c>
      <c r="M148" s="68">
        <v>2</v>
      </c>
      <c r="N148" s="68">
        <v>2</v>
      </c>
      <c r="O148" s="68">
        <v>2</v>
      </c>
      <c r="P148" s="33"/>
      <c r="Q148" s="33">
        <f>SUM(G148:O148)</f>
        <v>26</v>
      </c>
      <c r="R148" s="33"/>
      <c r="S148" s="33"/>
      <c r="T148" s="33"/>
      <c r="U148" s="33"/>
      <c r="V148" s="33"/>
      <c r="W148" s="33"/>
      <c r="X148" s="33"/>
      <c r="Y148" s="33"/>
      <c r="Z148" s="33"/>
      <c r="AA148" s="33"/>
      <c r="AB148" s="33"/>
      <c r="AC148" s="33"/>
      <c r="AD148" s="33"/>
      <c r="AE148" s="33">
        <v>33</v>
      </c>
      <c r="AF148" s="33"/>
      <c r="AG148" s="33"/>
      <c r="AH148" s="33"/>
      <c r="AI148" s="33"/>
      <c r="AJ148" s="33"/>
      <c r="AK148" s="33"/>
      <c r="AL148" s="33"/>
      <c r="AM148" s="33"/>
      <c r="AN148" s="33">
        <v>2</v>
      </c>
      <c r="AO148" s="33">
        <v>5</v>
      </c>
      <c r="AP148" s="32">
        <v>4</v>
      </c>
      <c r="AQ148" s="32">
        <v>3</v>
      </c>
      <c r="AR148" s="32">
        <v>3</v>
      </c>
      <c r="AS148" s="32">
        <v>5</v>
      </c>
      <c r="AT148" s="32">
        <v>5</v>
      </c>
      <c r="AU148" s="32">
        <v>5</v>
      </c>
      <c r="AV148" s="32">
        <v>3</v>
      </c>
      <c r="AY148" s="32">
        <v>1</v>
      </c>
      <c r="BF148" s="32">
        <v>6</v>
      </c>
      <c r="BO148" s="32">
        <v>97</v>
      </c>
    </row>
    <row r="149" spans="2:67" s="32" customFormat="1" ht="24.95" customHeight="1">
      <c r="B149" s="51">
        <v>42</v>
      </c>
      <c r="C149" s="51">
        <v>3</v>
      </c>
      <c r="D149" s="67">
        <v>6</v>
      </c>
      <c r="E149" s="55">
        <v>10</v>
      </c>
      <c r="F149" s="131">
        <f>IF(ISBLANK(E149),0,IF(E149=Answers!E149,1,-1))</f>
        <v>1</v>
      </c>
      <c r="G149" s="66">
        <v>5</v>
      </c>
      <c r="H149" s="66">
        <v>5</v>
      </c>
      <c r="I149" s="66">
        <v>3</v>
      </c>
      <c r="J149" s="66">
        <v>5</v>
      </c>
      <c r="K149" s="66">
        <v>3</v>
      </c>
      <c r="L149" s="66">
        <v>4</v>
      </c>
      <c r="M149" s="66">
        <v>3</v>
      </c>
      <c r="N149" s="66">
        <v>5</v>
      </c>
      <c r="O149" s="66">
        <v>3</v>
      </c>
      <c r="P149" s="33"/>
      <c r="Q149" s="33">
        <f t="shared" ref="Q149:Q167" si="2">SUM(G149:O149)</f>
        <v>36</v>
      </c>
      <c r="R149" s="33"/>
      <c r="S149" s="33"/>
      <c r="T149" s="33"/>
      <c r="U149" s="33"/>
      <c r="V149" s="33"/>
      <c r="W149" s="33"/>
      <c r="X149" s="33"/>
      <c r="Y149" s="33"/>
      <c r="Z149" s="33"/>
      <c r="AA149" s="33"/>
      <c r="AB149" s="33"/>
      <c r="AC149" s="33"/>
      <c r="AD149" s="33"/>
      <c r="AE149" s="33">
        <v>31</v>
      </c>
      <c r="AF149" s="33"/>
      <c r="AG149" s="33"/>
      <c r="AH149" s="33"/>
      <c r="AI149" s="33"/>
      <c r="AJ149" s="33"/>
      <c r="AK149" s="33"/>
      <c r="AL149" s="33"/>
      <c r="AM149" s="33"/>
      <c r="AN149" s="33">
        <v>5</v>
      </c>
      <c r="AO149" s="33">
        <v>2</v>
      </c>
      <c r="AP149" s="32">
        <v>3</v>
      </c>
      <c r="AQ149" s="32">
        <v>5</v>
      </c>
      <c r="AR149" s="32">
        <v>3</v>
      </c>
      <c r="AS149" s="32">
        <v>2</v>
      </c>
      <c r="AT149" s="32">
        <v>5</v>
      </c>
      <c r="AU149" s="32">
        <v>4</v>
      </c>
      <c r="AV149" s="32">
        <v>3</v>
      </c>
      <c r="AY149" s="32">
        <v>2</v>
      </c>
      <c r="BF149" s="32">
        <v>10</v>
      </c>
      <c r="BO149" s="32">
        <v>98</v>
      </c>
    </row>
    <row r="150" spans="2:67" s="32" customFormat="1" ht="24.95" customHeight="1">
      <c r="B150" s="51">
        <v>43</v>
      </c>
      <c r="C150" s="51">
        <v>3</v>
      </c>
      <c r="D150" s="67">
        <v>6</v>
      </c>
      <c r="E150" s="55">
        <v>9</v>
      </c>
      <c r="F150" s="131">
        <f>IF(ISBLANK(E150),0,IF(E150=Answers!E150,1,-1))</f>
        <v>1</v>
      </c>
      <c r="G150" s="66">
        <v>3</v>
      </c>
      <c r="H150" s="66">
        <v>2</v>
      </c>
      <c r="I150" s="66">
        <v>3</v>
      </c>
      <c r="J150" s="66">
        <v>4</v>
      </c>
      <c r="K150" s="66">
        <v>3</v>
      </c>
      <c r="L150" s="66">
        <v>2</v>
      </c>
      <c r="M150" s="66">
        <v>5</v>
      </c>
      <c r="N150" s="66">
        <v>2</v>
      </c>
      <c r="O150" s="66">
        <v>3</v>
      </c>
      <c r="P150" s="33"/>
      <c r="Q150" s="33">
        <f t="shared" si="2"/>
        <v>27</v>
      </c>
      <c r="R150" s="33"/>
      <c r="S150" s="33"/>
      <c r="T150" s="33"/>
      <c r="U150" s="33"/>
      <c r="V150" s="33"/>
      <c r="W150" s="33"/>
      <c r="X150" s="33"/>
      <c r="Y150" s="33"/>
      <c r="Z150" s="33"/>
      <c r="AA150" s="33"/>
      <c r="AB150" s="33"/>
      <c r="AC150" s="33"/>
      <c r="AD150" s="33"/>
      <c r="AE150" s="33">
        <v>28</v>
      </c>
      <c r="AF150" s="33"/>
      <c r="AG150" s="33"/>
      <c r="AH150" s="33"/>
      <c r="AI150" s="33"/>
      <c r="AJ150" s="33"/>
      <c r="AK150" s="33"/>
      <c r="AL150" s="33"/>
      <c r="AM150" s="33"/>
      <c r="AN150" s="33">
        <v>4</v>
      </c>
      <c r="AO150" s="33">
        <v>2</v>
      </c>
      <c r="AP150" s="32">
        <v>3</v>
      </c>
      <c r="AQ150" s="32">
        <v>3</v>
      </c>
      <c r="AR150" s="32">
        <v>5</v>
      </c>
      <c r="AS150" s="32">
        <v>4</v>
      </c>
      <c r="AT150" s="32">
        <v>3</v>
      </c>
      <c r="AU150" s="32">
        <v>5</v>
      </c>
      <c r="AV150" s="32">
        <v>5</v>
      </c>
      <c r="AY150" s="32">
        <v>1</v>
      </c>
      <c r="BF150" s="32">
        <v>3</v>
      </c>
      <c r="BO150" s="32">
        <v>99</v>
      </c>
    </row>
    <row r="151" spans="2:67" s="32" customFormat="1" ht="24.95" customHeight="1">
      <c r="B151" s="51">
        <v>44</v>
      </c>
      <c r="C151" s="51">
        <v>3</v>
      </c>
      <c r="D151" s="67">
        <v>6</v>
      </c>
      <c r="E151" s="55">
        <v>10</v>
      </c>
      <c r="F151" s="131">
        <f>IF(ISBLANK(E151),0,IF(E151=Answers!E151,1,-1))</f>
        <v>1</v>
      </c>
      <c r="G151" s="66">
        <v>5</v>
      </c>
      <c r="H151" s="66">
        <v>4</v>
      </c>
      <c r="I151" s="66">
        <v>2</v>
      </c>
      <c r="J151" s="66">
        <v>2</v>
      </c>
      <c r="K151" s="66">
        <v>2</v>
      </c>
      <c r="L151" s="66">
        <v>2</v>
      </c>
      <c r="M151" s="66">
        <v>2</v>
      </c>
      <c r="N151" s="66">
        <v>5</v>
      </c>
      <c r="O151" s="66">
        <v>3</v>
      </c>
      <c r="P151" s="33"/>
      <c r="Q151" s="33">
        <f t="shared" si="2"/>
        <v>27</v>
      </c>
      <c r="R151" s="33"/>
      <c r="S151" s="33"/>
      <c r="T151" s="33"/>
      <c r="U151" s="33"/>
      <c r="V151" s="33"/>
      <c r="W151" s="33"/>
      <c r="X151" s="33"/>
      <c r="Y151" s="33"/>
      <c r="Z151" s="33"/>
      <c r="AA151" s="33"/>
      <c r="AB151" s="33"/>
      <c r="AC151" s="33"/>
      <c r="AD151" s="33"/>
      <c r="AE151" s="33">
        <v>34</v>
      </c>
      <c r="AF151" s="33"/>
      <c r="AG151" s="33"/>
      <c r="AH151" s="33"/>
      <c r="AI151" s="33"/>
      <c r="AJ151" s="33"/>
      <c r="AK151" s="33"/>
      <c r="AL151" s="33"/>
      <c r="AM151" s="33"/>
      <c r="AN151" s="33">
        <v>2</v>
      </c>
      <c r="AO151" s="33">
        <v>5</v>
      </c>
      <c r="AP151" s="32">
        <v>3</v>
      </c>
      <c r="AQ151" s="32">
        <v>3</v>
      </c>
      <c r="AR151" s="32">
        <v>4</v>
      </c>
      <c r="AS151" s="32">
        <v>2</v>
      </c>
      <c r="AT151" s="32">
        <v>3</v>
      </c>
      <c r="AU151" s="32">
        <v>3</v>
      </c>
      <c r="AV151" s="32">
        <v>5</v>
      </c>
      <c r="AY151" s="32">
        <v>2</v>
      </c>
      <c r="BF151" s="32">
        <v>3</v>
      </c>
      <c r="BO151" s="32">
        <v>100</v>
      </c>
    </row>
    <row r="152" spans="2:67" s="32" customFormat="1" ht="24.95" customHeight="1">
      <c r="B152" s="51">
        <v>45</v>
      </c>
      <c r="C152" s="51">
        <v>3</v>
      </c>
      <c r="D152" s="67">
        <v>6</v>
      </c>
      <c r="E152" s="55">
        <v>10</v>
      </c>
      <c r="F152" s="131">
        <f>IF(ISBLANK(E152),0,IF(E152=Answers!E152,1,-1))</f>
        <v>1</v>
      </c>
      <c r="G152" s="66">
        <v>5</v>
      </c>
      <c r="H152" s="66">
        <v>5</v>
      </c>
      <c r="I152" s="66">
        <v>5</v>
      </c>
      <c r="J152" s="66">
        <v>4</v>
      </c>
      <c r="K152" s="66">
        <v>5</v>
      </c>
      <c r="L152" s="66">
        <v>3</v>
      </c>
      <c r="M152" s="66">
        <v>4</v>
      </c>
      <c r="N152" s="66">
        <v>3</v>
      </c>
      <c r="O152" s="66">
        <v>4</v>
      </c>
      <c r="P152" s="33"/>
      <c r="Q152" s="33">
        <f t="shared" si="2"/>
        <v>38</v>
      </c>
      <c r="R152" s="33"/>
      <c r="S152" s="33"/>
      <c r="T152" s="33"/>
      <c r="U152" s="33"/>
      <c r="V152" s="33"/>
      <c r="W152" s="33"/>
      <c r="X152" s="33"/>
      <c r="Y152" s="33"/>
      <c r="Z152" s="33"/>
      <c r="AA152" s="33"/>
      <c r="AB152" s="33"/>
      <c r="AC152" s="33"/>
      <c r="AD152" s="33"/>
      <c r="AE152" s="33">
        <v>32</v>
      </c>
      <c r="AF152" s="33"/>
      <c r="AG152" s="33"/>
      <c r="AH152" s="33"/>
      <c r="AI152" s="33"/>
      <c r="AJ152" s="33"/>
      <c r="AK152" s="33"/>
      <c r="AL152" s="33"/>
      <c r="AM152" s="33"/>
      <c r="AN152" s="33">
        <v>2</v>
      </c>
      <c r="AO152" s="33">
        <v>5</v>
      </c>
      <c r="AP152" s="32">
        <v>4</v>
      </c>
      <c r="AQ152" s="32">
        <v>5</v>
      </c>
      <c r="AR152" s="32">
        <v>4</v>
      </c>
      <c r="AS152" s="32">
        <v>2</v>
      </c>
      <c r="AT152" s="32">
        <v>3</v>
      </c>
      <c r="AU152" s="32">
        <v>3</v>
      </c>
      <c r="AV152" s="32">
        <v>5</v>
      </c>
      <c r="AY152" s="32">
        <v>2</v>
      </c>
      <c r="BF152" s="32">
        <v>3</v>
      </c>
      <c r="BO152" s="32">
        <v>101</v>
      </c>
    </row>
    <row r="153" spans="2:67" s="32" customFormat="1" ht="24.95" customHeight="1">
      <c r="B153" s="51">
        <v>46</v>
      </c>
      <c r="C153" s="51">
        <v>3</v>
      </c>
      <c r="D153" s="67">
        <v>6</v>
      </c>
      <c r="E153" s="55">
        <v>10</v>
      </c>
      <c r="F153" s="131">
        <f>IF(ISBLANK(E153),0,IF(E153=Answers!E153,1,-1))</f>
        <v>1</v>
      </c>
      <c r="G153" s="66">
        <v>5</v>
      </c>
      <c r="H153" s="66">
        <v>4</v>
      </c>
      <c r="I153" s="66">
        <v>3</v>
      </c>
      <c r="J153" s="66">
        <v>5</v>
      </c>
      <c r="K153" s="66">
        <v>2</v>
      </c>
      <c r="L153" s="66">
        <v>2</v>
      </c>
      <c r="M153" s="66">
        <v>4</v>
      </c>
      <c r="N153" s="66">
        <v>3</v>
      </c>
      <c r="O153" s="66">
        <v>5</v>
      </c>
      <c r="P153" s="33"/>
      <c r="Q153" s="33">
        <f t="shared" si="2"/>
        <v>33</v>
      </c>
      <c r="R153" s="33"/>
      <c r="S153" s="33"/>
      <c r="T153" s="33"/>
      <c r="U153" s="33"/>
      <c r="V153" s="33"/>
      <c r="W153" s="33"/>
      <c r="X153" s="33"/>
      <c r="Y153" s="33"/>
      <c r="Z153" s="33"/>
      <c r="AA153" s="33"/>
      <c r="AB153" s="33"/>
      <c r="AC153" s="33"/>
      <c r="AD153" s="33"/>
      <c r="AE153" s="33">
        <v>29</v>
      </c>
      <c r="AF153" s="33"/>
      <c r="AG153" s="33"/>
      <c r="AH153" s="33"/>
      <c r="AI153" s="33"/>
      <c r="AJ153" s="33"/>
      <c r="AK153" s="33"/>
      <c r="AL153" s="33"/>
      <c r="AM153" s="33"/>
      <c r="AN153" s="33">
        <v>2</v>
      </c>
      <c r="AO153" s="33">
        <v>5</v>
      </c>
      <c r="AP153" s="32">
        <v>2</v>
      </c>
      <c r="AQ153" s="32">
        <v>3</v>
      </c>
      <c r="AR153" s="32">
        <v>4</v>
      </c>
      <c r="AS153" s="32">
        <v>4</v>
      </c>
      <c r="AT153" s="32">
        <v>5</v>
      </c>
      <c r="AU153" s="32">
        <v>5</v>
      </c>
      <c r="AV153" s="32">
        <v>2</v>
      </c>
      <c r="AY153" s="32">
        <v>3</v>
      </c>
      <c r="BF153" s="32">
        <v>9</v>
      </c>
      <c r="BO153" s="32">
        <v>102</v>
      </c>
    </row>
    <row r="154" spans="2:67" s="32" customFormat="1" ht="24.95" customHeight="1">
      <c r="B154" s="51">
        <v>47</v>
      </c>
      <c r="C154" s="51">
        <v>3</v>
      </c>
      <c r="D154" s="67">
        <v>6</v>
      </c>
      <c r="E154" s="55">
        <v>10</v>
      </c>
      <c r="F154" s="131">
        <f>IF(ISBLANK(E154),0,IF(E154=Answers!E154,1,-1))</f>
        <v>1</v>
      </c>
      <c r="G154" s="66">
        <v>5</v>
      </c>
      <c r="H154" s="66">
        <v>3</v>
      </c>
      <c r="I154" s="66">
        <v>3</v>
      </c>
      <c r="J154" s="66">
        <v>3</v>
      </c>
      <c r="K154" s="66">
        <v>3</v>
      </c>
      <c r="L154" s="66">
        <v>5</v>
      </c>
      <c r="M154" s="66">
        <v>5</v>
      </c>
      <c r="N154" s="66">
        <v>4</v>
      </c>
      <c r="O154" s="66">
        <v>5</v>
      </c>
      <c r="P154" s="33"/>
      <c r="Q154" s="33">
        <f t="shared" si="2"/>
        <v>36</v>
      </c>
      <c r="R154" s="33"/>
      <c r="S154" s="33"/>
      <c r="T154" s="33"/>
      <c r="U154" s="33"/>
      <c r="V154" s="33"/>
      <c r="W154" s="33"/>
      <c r="X154" s="33"/>
      <c r="Y154" s="33"/>
      <c r="Z154" s="33"/>
      <c r="AA154" s="33"/>
      <c r="AB154" s="33"/>
      <c r="AC154" s="33"/>
      <c r="AD154" s="33"/>
      <c r="AE154" s="33">
        <v>39</v>
      </c>
      <c r="AF154" s="33"/>
      <c r="AG154" s="33"/>
      <c r="AH154" s="33"/>
      <c r="AI154" s="33"/>
      <c r="AJ154" s="33"/>
      <c r="AK154" s="33"/>
      <c r="AL154" s="33"/>
      <c r="AM154" s="33"/>
      <c r="AN154" s="33">
        <v>4</v>
      </c>
      <c r="AO154" s="33">
        <v>2</v>
      </c>
      <c r="AP154" s="32">
        <v>3</v>
      </c>
      <c r="AQ154" s="32">
        <v>5</v>
      </c>
      <c r="AR154" s="32">
        <v>2</v>
      </c>
      <c r="AS154" s="32">
        <v>4</v>
      </c>
      <c r="AT154" s="32">
        <v>5</v>
      </c>
      <c r="AU154" s="32">
        <v>5</v>
      </c>
      <c r="AV154" s="32">
        <v>4</v>
      </c>
      <c r="AY154" s="32">
        <v>2</v>
      </c>
      <c r="BF154" s="32">
        <v>6</v>
      </c>
      <c r="BO154" s="32">
        <v>103</v>
      </c>
    </row>
    <row r="155" spans="2:67" s="32" customFormat="1" ht="24.95" customHeight="1">
      <c r="B155" s="51">
        <v>48</v>
      </c>
      <c r="C155" s="51">
        <v>3</v>
      </c>
      <c r="D155" s="67">
        <v>6</v>
      </c>
      <c r="E155" s="55">
        <v>10</v>
      </c>
      <c r="F155" s="131">
        <f>IF(ISBLANK(E155),0,IF(E155=Answers!E155,1,-1))</f>
        <v>1</v>
      </c>
      <c r="G155" s="66">
        <v>2</v>
      </c>
      <c r="H155" s="66">
        <v>2</v>
      </c>
      <c r="I155" s="66">
        <v>2</v>
      </c>
      <c r="J155" s="66">
        <v>5</v>
      </c>
      <c r="K155" s="66">
        <v>5</v>
      </c>
      <c r="L155" s="66">
        <v>2</v>
      </c>
      <c r="M155" s="66">
        <v>2</v>
      </c>
      <c r="N155" s="66">
        <v>5</v>
      </c>
      <c r="O155" s="66">
        <v>2</v>
      </c>
      <c r="P155" s="33"/>
      <c r="Q155" s="33">
        <f t="shared" si="2"/>
        <v>27</v>
      </c>
      <c r="R155" s="33"/>
      <c r="S155" s="33"/>
      <c r="T155" s="33"/>
      <c r="U155" s="33"/>
      <c r="V155" s="33"/>
      <c r="W155" s="33"/>
      <c r="X155" s="33"/>
      <c r="Y155" s="33"/>
      <c r="Z155" s="33"/>
      <c r="AA155" s="33"/>
      <c r="AB155" s="33"/>
      <c r="AC155" s="33"/>
      <c r="AD155" s="33"/>
      <c r="AE155" s="33">
        <v>33</v>
      </c>
      <c r="AF155" s="33"/>
      <c r="AG155" s="33"/>
      <c r="AH155" s="33"/>
      <c r="AI155" s="33"/>
      <c r="AJ155" s="33"/>
      <c r="AK155" s="33"/>
      <c r="AL155" s="33"/>
      <c r="AM155" s="33"/>
      <c r="AN155" s="33">
        <v>5</v>
      </c>
      <c r="AO155" s="33">
        <v>4</v>
      </c>
      <c r="AP155" s="32">
        <v>4</v>
      </c>
      <c r="AQ155" s="32">
        <v>3</v>
      </c>
      <c r="AR155" s="32">
        <v>3</v>
      </c>
      <c r="AS155" s="32">
        <v>5</v>
      </c>
      <c r="AT155" s="32">
        <v>4</v>
      </c>
      <c r="AU155" s="32">
        <v>3</v>
      </c>
      <c r="AV155" s="32">
        <v>2</v>
      </c>
      <c r="AY155" s="32">
        <v>1</v>
      </c>
      <c r="BF155" s="32">
        <v>9</v>
      </c>
      <c r="BO155" s="32">
        <v>104</v>
      </c>
    </row>
    <row r="156" spans="2:67" s="32" customFormat="1" ht="24.95" customHeight="1">
      <c r="B156" s="51">
        <v>49</v>
      </c>
      <c r="C156" s="51">
        <v>3</v>
      </c>
      <c r="D156" s="67">
        <v>6</v>
      </c>
      <c r="E156" s="55">
        <v>10</v>
      </c>
      <c r="F156" s="131">
        <f>IF(ISBLANK(E156),0,IF(E156=Answers!E156,1,-1))</f>
        <v>1</v>
      </c>
      <c r="G156" s="66">
        <v>3</v>
      </c>
      <c r="H156" s="66">
        <v>5</v>
      </c>
      <c r="I156" s="66">
        <v>3</v>
      </c>
      <c r="J156" s="66">
        <v>5</v>
      </c>
      <c r="K156" s="66">
        <v>4</v>
      </c>
      <c r="L156" s="66">
        <v>3</v>
      </c>
      <c r="M156" s="66">
        <v>3</v>
      </c>
      <c r="N156" s="66">
        <v>2</v>
      </c>
      <c r="O156" s="66">
        <v>4</v>
      </c>
      <c r="P156" s="33"/>
      <c r="Q156" s="33">
        <f t="shared" si="2"/>
        <v>32</v>
      </c>
      <c r="R156" s="33"/>
      <c r="S156" s="33"/>
      <c r="T156" s="33"/>
      <c r="U156" s="33"/>
      <c r="V156" s="33"/>
      <c r="W156" s="33"/>
      <c r="X156" s="33"/>
      <c r="Y156" s="33"/>
      <c r="Z156" s="33"/>
      <c r="AA156" s="33"/>
      <c r="AB156" s="33"/>
      <c r="AC156" s="33"/>
      <c r="AD156" s="33"/>
      <c r="AE156" s="33">
        <v>34</v>
      </c>
      <c r="AF156" s="33"/>
      <c r="AG156" s="33"/>
      <c r="AH156" s="33"/>
      <c r="AI156" s="33"/>
      <c r="AJ156" s="33"/>
      <c r="AK156" s="33"/>
      <c r="AL156" s="33"/>
      <c r="AM156" s="33"/>
      <c r="AN156" s="33">
        <v>5</v>
      </c>
      <c r="AO156" s="33">
        <v>4</v>
      </c>
      <c r="AP156" s="32">
        <v>4</v>
      </c>
      <c r="AQ156" s="32">
        <v>2</v>
      </c>
      <c r="AR156" s="32">
        <v>3</v>
      </c>
      <c r="AS156" s="32">
        <v>4</v>
      </c>
      <c r="AT156" s="32">
        <v>2</v>
      </c>
      <c r="AU156" s="32">
        <v>3</v>
      </c>
      <c r="AV156" s="32">
        <v>5</v>
      </c>
      <c r="AY156" s="32">
        <v>2</v>
      </c>
      <c r="BF156" s="32">
        <v>3</v>
      </c>
      <c r="BO156" s="32">
        <v>105</v>
      </c>
    </row>
    <row r="157" spans="2:67" s="32" customFormat="1" ht="24.95" customHeight="1">
      <c r="B157" s="51">
        <v>50</v>
      </c>
      <c r="C157" s="51">
        <v>3</v>
      </c>
      <c r="D157" s="67">
        <v>6</v>
      </c>
      <c r="E157" s="55">
        <v>9</v>
      </c>
      <c r="F157" s="131">
        <f>IF(ISBLANK(E157),0,IF(E157=Answers!E157,1,-1))</f>
        <v>1</v>
      </c>
      <c r="G157" s="66">
        <v>4</v>
      </c>
      <c r="H157" s="66">
        <v>2</v>
      </c>
      <c r="I157" s="66">
        <v>3</v>
      </c>
      <c r="J157" s="66">
        <v>4</v>
      </c>
      <c r="K157" s="66">
        <v>5</v>
      </c>
      <c r="L157" s="66">
        <v>2</v>
      </c>
      <c r="M157" s="66">
        <v>2</v>
      </c>
      <c r="N157" s="66">
        <v>4</v>
      </c>
      <c r="O157" s="66">
        <v>4</v>
      </c>
      <c r="P157" s="33"/>
      <c r="Q157" s="33">
        <f t="shared" si="2"/>
        <v>30</v>
      </c>
      <c r="R157" s="33"/>
      <c r="S157" s="33"/>
      <c r="T157" s="33"/>
      <c r="U157" s="33"/>
      <c r="V157" s="33"/>
      <c r="W157" s="33"/>
      <c r="X157" s="33"/>
      <c r="Y157" s="33"/>
      <c r="Z157" s="33"/>
      <c r="AA157" s="33"/>
      <c r="AB157" s="33"/>
      <c r="AC157" s="33"/>
      <c r="AD157" s="33"/>
      <c r="AE157" s="33">
        <v>36</v>
      </c>
      <c r="AF157" s="33"/>
      <c r="AG157" s="33"/>
      <c r="AH157" s="33"/>
      <c r="AI157" s="33"/>
      <c r="AJ157" s="33"/>
      <c r="AK157" s="33"/>
      <c r="AL157" s="33"/>
      <c r="AM157" s="33"/>
      <c r="AN157" s="33">
        <v>5</v>
      </c>
      <c r="AO157" s="33">
        <v>2</v>
      </c>
      <c r="AP157" s="32">
        <v>3</v>
      </c>
      <c r="AQ157" s="32">
        <v>5</v>
      </c>
      <c r="AR157" s="32">
        <v>3</v>
      </c>
      <c r="AS157" s="32">
        <v>4</v>
      </c>
      <c r="AT157" s="32">
        <v>4</v>
      </c>
      <c r="AU157" s="32">
        <v>3</v>
      </c>
      <c r="AV157" s="32">
        <v>4</v>
      </c>
      <c r="AY157" s="32">
        <v>1</v>
      </c>
      <c r="BF157" s="32">
        <v>3</v>
      </c>
      <c r="BO157" s="32">
        <v>106</v>
      </c>
    </row>
    <row r="158" spans="2:67" s="32" customFormat="1" ht="24.95" customHeight="1">
      <c r="B158" s="51">
        <v>51</v>
      </c>
      <c r="C158" s="51">
        <v>3</v>
      </c>
      <c r="D158" s="67">
        <v>6</v>
      </c>
      <c r="E158" s="55">
        <v>10</v>
      </c>
      <c r="F158" s="131">
        <f>IF(ISBLANK(E158),0,IF(E158=Answers!E158,1,-1))</f>
        <v>1</v>
      </c>
      <c r="G158" s="66">
        <v>2</v>
      </c>
      <c r="H158" s="66">
        <v>3</v>
      </c>
      <c r="I158" s="66">
        <v>3</v>
      </c>
      <c r="J158" s="66">
        <v>5</v>
      </c>
      <c r="K158" s="66">
        <v>4</v>
      </c>
      <c r="L158" s="66">
        <v>5</v>
      </c>
      <c r="M158" s="66">
        <v>3</v>
      </c>
      <c r="N158" s="66">
        <v>3</v>
      </c>
      <c r="O158" s="66">
        <v>2</v>
      </c>
      <c r="P158" s="33"/>
      <c r="Q158" s="33">
        <f t="shared" si="2"/>
        <v>30</v>
      </c>
      <c r="R158" s="33"/>
      <c r="S158" s="33"/>
      <c r="T158" s="33"/>
      <c r="U158" s="33"/>
      <c r="V158" s="33"/>
      <c r="W158" s="33"/>
      <c r="X158" s="33"/>
      <c r="Y158" s="33"/>
      <c r="Z158" s="33"/>
      <c r="AA158" s="33"/>
      <c r="AB158" s="33"/>
      <c r="AC158" s="33"/>
      <c r="AD158" s="33"/>
      <c r="AE158" s="33">
        <v>33</v>
      </c>
      <c r="AF158" s="33"/>
      <c r="AG158" s="33"/>
      <c r="AH158" s="33"/>
      <c r="AI158" s="33"/>
      <c r="AJ158" s="33"/>
      <c r="AK158" s="33"/>
      <c r="AL158" s="33"/>
      <c r="AM158" s="33"/>
      <c r="AN158" s="33">
        <v>2</v>
      </c>
      <c r="AO158" s="33">
        <v>2</v>
      </c>
      <c r="AP158" s="32">
        <v>5</v>
      </c>
      <c r="AQ158" s="32">
        <v>5</v>
      </c>
      <c r="AR158" s="32">
        <v>5</v>
      </c>
      <c r="AS158" s="32">
        <v>3</v>
      </c>
      <c r="AT158" s="32">
        <v>2</v>
      </c>
      <c r="AU158" s="32">
        <v>2</v>
      </c>
      <c r="AV158" s="32">
        <v>3</v>
      </c>
      <c r="AY158" s="32">
        <v>4</v>
      </c>
      <c r="BF158" s="32">
        <v>9</v>
      </c>
      <c r="BO158" s="32">
        <v>107</v>
      </c>
    </row>
    <row r="159" spans="2:67" s="32" customFormat="1" ht="24.95" customHeight="1">
      <c r="B159" s="51">
        <v>52</v>
      </c>
      <c r="C159" s="51">
        <v>3</v>
      </c>
      <c r="D159" s="67">
        <v>6</v>
      </c>
      <c r="E159" s="55">
        <v>9</v>
      </c>
      <c r="F159" s="131">
        <f>IF(ISBLANK(E159),0,IF(E159=Answers!E159,1,-1))</f>
        <v>1</v>
      </c>
      <c r="G159" s="66">
        <v>2</v>
      </c>
      <c r="H159" s="66">
        <v>2</v>
      </c>
      <c r="I159" s="66">
        <v>5</v>
      </c>
      <c r="J159" s="66">
        <v>3</v>
      </c>
      <c r="K159" s="66">
        <v>4</v>
      </c>
      <c r="L159" s="66">
        <v>4</v>
      </c>
      <c r="M159" s="66">
        <v>2</v>
      </c>
      <c r="N159" s="66">
        <v>2</v>
      </c>
      <c r="O159" s="66">
        <v>2</v>
      </c>
      <c r="P159" s="33"/>
      <c r="Q159" s="33">
        <f t="shared" si="2"/>
        <v>26</v>
      </c>
      <c r="R159" s="33"/>
      <c r="S159" s="33"/>
      <c r="T159" s="33"/>
      <c r="U159" s="33"/>
      <c r="V159" s="33"/>
      <c r="W159" s="33"/>
      <c r="X159" s="33"/>
      <c r="Y159" s="33"/>
      <c r="Z159" s="33"/>
      <c r="AA159" s="33"/>
      <c r="AB159" s="33"/>
      <c r="AC159" s="33"/>
      <c r="AD159" s="33"/>
      <c r="AE159" s="33">
        <v>26</v>
      </c>
      <c r="AF159" s="33"/>
      <c r="AG159" s="33"/>
      <c r="AH159" s="33"/>
      <c r="AI159" s="33"/>
      <c r="AJ159" s="33"/>
      <c r="AK159" s="33"/>
      <c r="AL159" s="33"/>
      <c r="AM159" s="33"/>
      <c r="AN159" s="33">
        <v>2</v>
      </c>
      <c r="AO159" s="33">
        <v>4</v>
      </c>
      <c r="AP159" s="32">
        <v>5</v>
      </c>
      <c r="AQ159" s="32">
        <v>5</v>
      </c>
      <c r="AR159" s="32">
        <v>4</v>
      </c>
      <c r="AS159" s="32">
        <v>5</v>
      </c>
      <c r="AT159" s="32">
        <v>3</v>
      </c>
      <c r="AU159" s="32">
        <v>4</v>
      </c>
      <c r="AV159" s="32">
        <v>5</v>
      </c>
      <c r="AY159" s="32">
        <v>1</v>
      </c>
      <c r="BF159" s="32">
        <v>2</v>
      </c>
      <c r="BO159" s="32">
        <v>108</v>
      </c>
    </row>
    <row r="160" spans="2:67" s="32" customFormat="1" ht="24.95" customHeight="1">
      <c r="B160" s="51">
        <v>53</v>
      </c>
      <c r="C160" s="51">
        <v>3</v>
      </c>
      <c r="D160" s="67">
        <v>6</v>
      </c>
      <c r="E160" s="55">
        <v>10</v>
      </c>
      <c r="F160" s="131">
        <f>IF(ISBLANK(E160),0,IF(E160=Answers!E160,1,-1))</f>
        <v>1</v>
      </c>
      <c r="G160" s="66">
        <v>5</v>
      </c>
      <c r="H160" s="66">
        <v>5</v>
      </c>
      <c r="I160" s="66">
        <v>5</v>
      </c>
      <c r="J160" s="66">
        <v>5</v>
      </c>
      <c r="K160" s="66">
        <v>4</v>
      </c>
      <c r="L160" s="66">
        <v>5</v>
      </c>
      <c r="M160" s="66">
        <v>4</v>
      </c>
      <c r="N160" s="66">
        <v>5</v>
      </c>
      <c r="O160" s="66">
        <v>5</v>
      </c>
      <c r="P160" s="33"/>
      <c r="Q160" s="33">
        <f t="shared" si="2"/>
        <v>43</v>
      </c>
      <c r="R160" s="33"/>
      <c r="S160" s="33"/>
      <c r="T160" s="33"/>
      <c r="U160" s="33"/>
      <c r="V160" s="33"/>
      <c r="W160" s="33"/>
      <c r="X160" s="33"/>
      <c r="Y160" s="33"/>
      <c r="Z160" s="33"/>
      <c r="AA160" s="33"/>
      <c r="AB160" s="33"/>
      <c r="AC160" s="33"/>
      <c r="AD160" s="33"/>
      <c r="AE160" s="33">
        <v>35</v>
      </c>
      <c r="AF160" s="33"/>
      <c r="AG160" s="33"/>
      <c r="AH160" s="33"/>
      <c r="AI160" s="33"/>
      <c r="AJ160" s="33"/>
      <c r="AK160" s="33"/>
      <c r="AL160" s="33"/>
      <c r="AM160" s="33"/>
      <c r="AN160" s="33">
        <v>4</v>
      </c>
      <c r="AO160" s="33">
        <v>4</v>
      </c>
      <c r="AP160" s="32">
        <v>4</v>
      </c>
      <c r="AQ160" s="32">
        <v>3</v>
      </c>
      <c r="AR160" s="32">
        <v>2</v>
      </c>
      <c r="AS160" s="32">
        <v>4</v>
      </c>
      <c r="AT160" s="32">
        <v>4</v>
      </c>
      <c r="AU160" s="32">
        <v>4</v>
      </c>
      <c r="AV160" s="32">
        <v>5</v>
      </c>
      <c r="AY160" s="32">
        <v>1</v>
      </c>
      <c r="BF160" s="32">
        <v>9</v>
      </c>
      <c r="BO160" s="32">
        <v>109</v>
      </c>
    </row>
    <row r="161" spans="2:67" s="32" customFormat="1" ht="24.95" customHeight="1">
      <c r="B161" s="51">
        <v>54</v>
      </c>
      <c r="C161" s="51">
        <v>3</v>
      </c>
      <c r="D161" s="67">
        <v>6</v>
      </c>
      <c r="E161" s="55">
        <v>10</v>
      </c>
      <c r="F161" s="131">
        <f>IF(ISBLANK(E161),0,IF(E161=Answers!E161,1,-1))</f>
        <v>1</v>
      </c>
      <c r="G161" s="66">
        <v>5</v>
      </c>
      <c r="H161" s="66">
        <v>5</v>
      </c>
      <c r="I161" s="66">
        <v>3</v>
      </c>
      <c r="J161" s="66">
        <v>3</v>
      </c>
      <c r="K161" s="66">
        <v>4</v>
      </c>
      <c r="L161" s="66">
        <v>2</v>
      </c>
      <c r="M161" s="66">
        <v>5</v>
      </c>
      <c r="N161" s="66">
        <v>4</v>
      </c>
      <c r="O161" s="66">
        <v>3</v>
      </c>
      <c r="P161" s="33"/>
      <c r="Q161" s="33">
        <f t="shared" si="2"/>
        <v>34</v>
      </c>
      <c r="R161" s="33"/>
      <c r="S161" s="33"/>
      <c r="T161" s="33"/>
      <c r="U161" s="33"/>
      <c r="V161" s="33"/>
      <c r="W161" s="33"/>
      <c r="X161" s="33"/>
      <c r="Y161" s="33"/>
      <c r="Z161" s="33"/>
      <c r="AA161" s="33"/>
      <c r="AB161" s="33"/>
      <c r="AC161" s="33"/>
      <c r="AD161" s="33"/>
      <c r="AE161" s="33">
        <v>34</v>
      </c>
      <c r="AF161" s="33"/>
      <c r="AG161" s="33"/>
      <c r="AH161" s="33"/>
      <c r="AI161" s="33"/>
      <c r="AJ161" s="33"/>
      <c r="AK161" s="33"/>
      <c r="AL161" s="33"/>
      <c r="AM161" s="33"/>
      <c r="AN161" s="33">
        <v>4</v>
      </c>
      <c r="AO161" s="33">
        <v>5</v>
      </c>
      <c r="AP161" s="32">
        <v>2</v>
      </c>
      <c r="AQ161" s="32">
        <v>5</v>
      </c>
      <c r="AR161" s="32">
        <v>5</v>
      </c>
      <c r="AS161" s="32">
        <v>5</v>
      </c>
      <c r="AT161" s="32">
        <v>3</v>
      </c>
      <c r="AU161" s="32">
        <v>5</v>
      </c>
      <c r="AV161" s="32">
        <v>5</v>
      </c>
      <c r="AY161" s="32">
        <v>1</v>
      </c>
      <c r="BF161" s="32">
        <v>9</v>
      </c>
      <c r="BO161" s="32">
        <v>110</v>
      </c>
    </row>
    <row r="162" spans="2:67" s="32" customFormat="1" ht="24.95" customHeight="1">
      <c r="B162" s="51">
        <v>55</v>
      </c>
      <c r="C162" s="51">
        <v>3</v>
      </c>
      <c r="D162" s="67">
        <v>6</v>
      </c>
      <c r="E162" s="55">
        <v>10</v>
      </c>
      <c r="F162" s="131">
        <f>IF(ISBLANK(E162),0,IF(E162=Answers!E162,1,-1))</f>
        <v>1</v>
      </c>
      <c r="G162" s="66">
        <v>3</v>
      </c>
      <c r="H162" s="66">
        <v>4</v>
      </c>
      <c r="I162" s="66">
        <v>4</v>
      </c>
      <c r="J162" s="66">
        <v>5</v>
      </c>
      <c r="K162" s="66">
        <v>2</v>
      </c>
      <c r="L162" s="66">
        <v>5</v>
      </c>
      <c r="M162" s="66">
        <v>4</v>
      </c>
      <c r="N162" s="66">
        <v>2</v>
      </c>
      <c r="O162" s="66">
        <v>4</v>
      </c>
      <c r="P162" s="33"/>
      <c r="Q162" s="33">
        <f t="shared" si="2"/>
        <v>33</v>
      </c>
      <c r="R162" s="33"/>
      <c r="S162" s="33"/>
      <c r="T162" s="33"/>
      <c r="U162" s="33"/>
      <c r="V162" s="33"/>
      <c r="W162" s="33"/>
      <c r="X162" s="33"/>
      <c r="Y162" s="33"/>
      <c r="Z162" s="33"/>
      <c r="AA162" s="33"/>
      <c r="AB162" s="33"/>
      <c r="AC162" s="33"/>
      <c r="AD162" s="33"/>
      <c r="AE162" s="33">
        <v>33</v>
      </c>
      <c r="AF162" s="33"/>
      <c r="AG162" s="33"/>
      <c r="AH162" s="33"/>
      <c r="AI162" s="33"/>
      <c r="AJ162" s="33"/>
      <c r="AK162" s="33"/>
      <c r="AL162" s="33"/>
      <c r="AM162" s="33"/>
      <c r="AN162" s="33">
        <v>5</v>
      </c>
      <c r="AO162" s="33">
        <v>5</v>
      </c>
      <c r="AP162" s="32">
        <v>2</v>
      </c>
      <c r="AQ162" s="32">
        <v>2</v>
      </c>
      <c r="AR162" s="32">
        <v>4</v>
      </c>
      <c r="AS162" s="32">
        <v>3</v>
      </c>
      <c r="AT162" s="32">
        <v>3</v>
      </c>
      <c r="AU162" s="32">
        <v>2</v>
      </c>
      <c r="AV162" s="32">
        <v>4</v>
      </c>
      <c r="AY162" s="32">
        <v>3</v>
      </c>
      <c r="BF162" s="32">
        <v>6</v>
      </c>
      <c r="BO162" s="32">
        <v>111</v>
      </c>
    </row>
    <row r="163" spans="2:67" s="32" customFormat="1" ht="24.95" customHeight="1">
      <c r="B163" s="51">
        <v>56</v>
      </c>
      <c r="C163" s="51">
        <v>3</v>
      </c>
      <c r="D163" s="67">
        <v>6</v>
      </c>
      <c r="E163" s="55">
        <v>10</v>
      </c>
      <c r="F163" s="131">
        <f>IF(ISBLANK(E163),0,IF(E163=Answers!E163,1,-1))</f>
        <v>1</v>
      </c>
      <c r="G163" s="66">
        <v>2</v>
      </c>
      <c r="H163" s="66">
        <v>3</v>
      </c>
      <c r="I163" s="66">
        <v>4</v>
      </c>
      <c r="J163" s="66">
        <v>2</v>
      </c>
      <c r="K163" s="66">
        <v>5</v>
      </c>
      <c r="L163" s="66">
        <v>4</v>
      </c>
      <c r="M163" s="66">
        <v>5</v>
      </c>
      <c r="N163" s="66">
        <v>2</v>
      </c>
      <c r="O163" s="66">
        <v>5</v>
      </c>
      <c r="P163" s="33"/>
      <c r="Q163" s="33">
        <f t="shared" si="2"/>
        <v>32</v>
      </c>
      <c r="R163" s="33"/>
      <c r="S163" s="33"/>
      <c r="T163" s="33"/>
      <c r="U163" s="33"/>
      <c r="V163" s="33"/>
      <c r="W163" s="33"/>
      <c r="X163" s="33"/>
      <c r="Y163" s="33"/>
      <c r="Z163" s="33"/>
      <c r="AA163" s="33"/>
      <c r="AB163" s="33"/>
      <c r="AC163" s="33"/>
      <c r="AD163" s="33"/>
      <c r="AE163" s="33">
        <v>37</v>
      </c>
      <c r="AF163" s="33"/>
      <c r="AG163" s="33"/>
      <c r="AH163" s="33"/>
      <c r="AI163" s="33"/>
      <c r="AJ163" s="33"/>
      <c r="AK163" s="33"/>
      <c r="AL163" s="33"/>
      <c r="AM163" s="33"/>
      <c r="AN163" s="33">
        <v>3</v>
      </c>
      <c r="AO163" s="33">
        <v>5</v>
      </c>
      <c r="AP163" s="32">
        <v>5</v>
      </c>
      <c r="AQ163" s="32">
        <v>5</v>
      </c>
      <c r="AR163" s="32">
        <v>3</v>
      </c>
      <c r="AS163" s="32">
        <v>4</v>
      </c>
      <c r="AT163" s="32">
        <v>3</v>
      </c>
      <c r="AU163" s="32">
        <v>5</v>
      </c>
      <c r="AV163" s="32">
        <v>2</v>
      </c>
      <c r="AY163" s="32">
        <v>1</v>
      </c>
      <c r="BF163" s="32">
        <v>9</v>
      </c>
      <c r="BO163" s="32">
        <v>112</v>
      </c>
    </row>
    <row r="164" spans="2:67" s="32" customFormat="1" ht="24.95" customHeight="1">
      <c r="B164" s="51">
        <v>57</v>
      </c>
      <c r="C164" s="51">
        <v>3</v>
      </c>
      <c r="D164" s="67">
        <v>6</v>
      </c>
      <c r="E164" s="55">
        <v>10</v>
      </c>
      <c r="F164" s="131">
        <f>IF(ISBLANK(E164),0,IF(E164=Answers!E164,1,-1))</f>
        <v>1</v>
      </c>
      <c r="G164" s="66">
        <v>5</v>
      </c>
      <c r="H164" s="66">
        <v>4</v>
      </c>
      <c r="I164" s="66">
        <v>2</v>
      </c>
      <c r="J164" s="66">
        <v>5</v>
      </c>
      <c r="K164" s="66">
        <v>3</v>
      </c>
      <c r="L164" s="66">
        <v>4</v>
      </c>
      <c r="M164" s="66">
        <v>5</v>
      </c>
      <c r="N164" s="66">
        <v>3</v>
      </c>
      <c r="O164" s="66">
        <v>2</v>
      </c>
      <c r="P164" s="33"/>
      <c r="Q164" s="33">
        <f t="shared" si="2"/>
        <v>33</v>
      </c>
      <c r="R164" s="33"/>
      <c r="S164" s="33"/>
      <c r="T164" s="33"/>
      <c r="U164" s="33"/>
      <c r="V164" s="33"/>
      <c r="W164" s="33"/>
      <c r="X164" s="33"/>
      <c r="Y164" s="33"/>
      <c r="Z164" s="33"/>
      <c r="AA164" s="33"/>
      <c r="AB164" s="33"/>
      <c r="AC164" s="33"/>
      <c r="AD164" s="33"/>
      <c r="AE164" s="33">
        <v>32</v>
      </c>
      <c r="AF164" s="33"/>
      <c r="AG164" s="33"/>
      <c r="AH164" s="33"/>
      <c r="AI164" s="33"/>
      <c r="AJ164" s="33"/>
      <c r="AK164" s="33"/>
      <c r="AL164" s="33"/>
      <c r="AM164" s="33"/>
      <c r="AN164" s="33">
        <v>4</v>
      </c>
      <c r="AO164" s="33">
        <v>4</v>
      </c>
      <c r="AP164" s="32">
        <v>2</v>
      </c>
      <c r="AQ164" s="32">
        <v>2</v>
      </c>
      <c r="AR164" s="32">
        <v>5</v>
      </c>
      <c r="AS164" s="32">
        <v>4</v>
      </c>
      <c r="AT164" s="32">
        <v>4</v>
      </c>
      <c r="AU164" s="32">
        <v>4</v>
      </c>
      <c r="AV164" s="32">
        <v>4</v>
      </c>
      <c r="AY164" s="32">
        <v>2</v>
      </c>
      <c r="BF164" s="32">
        <v>9</v>
      </c>
      <c r="BO164" s="32">
        <v>113</v>
      </c>
    </row>
    <row r="165" spans="2:67" s="32" customFormat="1" ht="24.95" customHeight="1">
      <c r="B165" s="51">
        <v>58</v>
      </c>
      <c r="C165" s="51">
        <v>3</v>
      </c>
      <c r="D165" s="67">
        <v>6</v>
      </c>
      <c r="E165" s="55">
        <v>10</v>
      </c>
      <c r="F165" s="131">
        <f>IF(ISBLANK(E165),0,IF(E165=Answers!E165,1,-1))</f>
        <v>1</v>
      </c>
      <c r="G165" s="66">
        <v>4</v>
      </c>
      <c r="H165" s="66">
        <v>2</v>
      </c>
      <c r="I165" s="66">
        <v>5</v>
      </c>
      <c r="J165" s="66">
        <v>2</v>
      </c>
      <c r="K165" s="66">
        <v>5</v>
      </c>
      <c r="L165" s="66">
        <v>2</v>
      </c>
      <c r="M165" s="66">
        <v>4</v>
      </c>
      <c r="N165" s="66">
        <v>5</v>
      </c>
      <c r="O165" s="66">
        <v>2</v>
      </c>
      <c r="P165" s="33"/>
      <c r="Q165" s="33">
        <f t="shared" si="2"/>
        <v>31</v>
      </c>
      <c r="R165" s="33"/>
      <c r="S165" s="33"/>
      <c r="T165" s="33"/>
      <c r="U165" s="33"/>
      <c r="V165" s="33"/>
      <c r="W165" s="33"/>
      <c r="X165" s="33"/>
      <c r="Y165" s="33"/>
      <c r="Z165" s="33"/>
      <c r="AA165" s="33"/>
      <c r="AB165" s="33"/>
      <c r="AC165" s="33"/>
      <c r="AD165" s="33"/>
      <c r="AE165" s="33">
        <v>28</v>
      </c>
      <c r="AF165" s="33"/>
      <c r="AG165" s="33"/>
      <c r="AH165" s="33"/>
      <c r="AI165" s="33"/>
      <c r="AJ165" s="33"/>
      <c r="AK165" s="33"/>
      <c r="AL165" s="33"/>
      <c r="AM165" s="33"/>
      <c r="AN165" s="33">
        <v>2</v>
      </c>
      <c r="AO165" s="33">
        <v>5</v>
      </c>
      <c r="AP165" s="32">
        <v>5</v>
      </c>
      <c r="AQ165" s="32">
        <v>3</v>
      </c>
      <c r="AR165" s="32">
        <v>3</v>
      </c>
      <c r="AS165" s="32">
        <v>3</v>
      </c>
      <c r="AT165" s="32">
        <v>3</v>
      </c>
      <c r="AU165" s="32">
        <v>3</v>
      </c>
      <c r="AV165" s="32">
        <v>5</v>
      </c>
      <c r="AY165" s="32">
        <v>1</v>
      </c>
      <c r="BF165" s="32">
        <v>3</v>
      </c>
      <c r="BO165" s="32">
        <v>114</v>
      </c>
    </row>
    <row r="166" spans="2:67" s="32" customFormat="1" ht="24.95" customHeight="1">
      <c r="B166" s="51">
        <v>59</v>
      </c>
      <c r="C166" s="51">
        <v>3</v>
      </c>
      <c r="D166" s="67">
        <v>6</v>
      </c>
      <c r="E166" s="55">
        <v>9</v>
      </c>
      <c r="F166" s="131">
        <f>IF(ISBLANK(E166),0,IF(E166=Answers!E166,1,-1))</f>
        <v>1</v>
      </c>
      <c r="G166" s="66">
        <v>3</v>
      </c>
      <c r="H166" s="66">
        <v>2</v>
      </c>
      <c r="I166" s="66">
        <v>3</v>
      </c>
      <c r="J166" s="66">
        <v>3</v>
      </c>
      <c r="K166" s="66">
        <v>4</v>
      </c>
      <c r="L166" s="66">
        <v>2</v>
      </c>
      <c r="M166" s="66">
        <v>3</v>
      </c>
      <c r="N166" s="66">
        <v>2</v>
      </c>
      <c r="O166" s="66">
        <v>5</v>
      </c>
      <c r="P166" s="33"/>
      <c r="Q166" s="33">
        <f t="shared" si="2"/>
        <v>27</v>
      </c>
      <c r="R166" s="33"/>
      <c r="S166" s="33"/>
      <c r="T166" s="33"/>
      <c r="U166" s="33"/>
      <c r="V166" s="33"/>
      <c r="W166" s="33"/>
      <c r="X166" s="33"/>
      <c r="Y166" s="33"/>
      <c r="Z166" s="33"/>
      <c r="AA166" s="33"/>
      <c r="AB166" s="33"/>
      <c r="AC166" s="33"/>
      <c r="AD166" s="33"/>
      <c r="AE166" s="33">
        <v>30</v>
      </c>
      <c r="AF166" s="33"/>
      <c r="AG166" s="33"/>
      <c r="AH166" s="33"/>
      <c r="AI166" s="33"/>
      <c r="AJ166" s="33"/>
      <c r="AK166" s="33"/>
      <c r="AL166" s="33"/>
      <c r="AM166" s="33"/>
      <c r="AN166" s="33">
        <v>2</v>
      </c>
      <c r="AO166" s="33">
        <v>5</v>
      </c>
      <c r="AP166" s="32">
        <v>4</v>
      </c>
      <c r="AQ166" s="32">
        <v>5</v>
      </c>
      <c r="AR166" s="32">
        <v>2</v>
      </c>
      <c r="AS166" s="32">
        <v>2</v>
      </c>
      <c r="AT166" s="32">
        <v>2</v>
      </c>
      <c r="AU166" s="32">
        <v>2</v>
      </c>
      <c r="AV166" s="32">
        <v>5</v>
      </c>
      <c r="AY166" s="32">
        <v>5</v>
      </c>
      <c r="BF166" s="32">
        <v>9</v>
      </c>
      <c r="BO166" s="32">
        <v>115</v>
      </c>
    </row>
    <row r="167" spans="2:67" s="32" customFormat="1" ht="24.95" customHeight="1">
      <c r="B167" s="51">
        <v>60</v>
      </c>
      <c r="C167" s="51">
        <v>3</v>
      </c>
      <c r="D167" s="67">
        <v>6</v>
      </c>
      <c r="E167" s="55">
        <v>10</v>
      </c>
      <c r="F167" s="131">
        <f>IF(ISBLANK(E167),0,IF(E167=Answers!E167,1,-1))</f>
        <v>1</v>
      </c>
      <c r="G167" s="66">
        <v>5</v>
      </c>
      <c r="H167" s="66">
        <v>4</v>
      </c>
      <c r="I167" s="66">
        <v>5</v>
      </c>
      <c r="J167" s="66">
        <v>2</v>
      </c>
      <c r="K167" s="66">
        <v>2</v>
      </c>
      <c r="L167" s="66">
        <v>5</v>
      </c>
      <c r="M167" s="66">
        <v>2</v>
      </c>
      <c r="N167" s="66">
        <v>3</v>
      </c>
      <c r="O167" s="66">
        <v>5</v>
      </c>
      <c r="P167" s="33"/>
      <c r="Q167" s="33">
        <f t="shared" si="2"/>
        <v>33</v>
      </c>
      <c r="R167" s="33"/>
      <c r="S167" s="33"/>
      <c r="T167" s="33"/>
      <c r="U167" s="33"/>
      <c r="V167" s="33"/>
      <c r="W167" s="33"/>
      <c r="X167" s="33"/>
      <c r="Y167" s="33"/>
      <c r="Z167" s="33"/>
      <c r="AA167" s="33"/>
      <c r="AB167" s="33"/>
      <c r="AC167" s="33"/>
      <c r="AD167" s="33"/>
      <c r="AE167" s="33">
        <v>36</v>
      </c>
      <c r="AF167" s="33"/>
      <c r="AG167" s="33"/>
      <c r="AH167" s="33"/>
      <c r="AI167" s="33"/>
      <c r="AJ167" s="33"/>
      <c r="AK167" s="33"/>
      <c r="AL167" s="33"/>
      <c r="AM167" s="33"/>
      <c r="AN167" s="33">
        <v>5</v>
      </c>
      <c r="AO167" s="33">
        <v>3</v>
      </c>
      <c r="AP167" s="32">
        <v>2</v>
      </c>
      <c r="AQ167" s="32">
        <v>3</v>
      </c>
      <c r="AR167" s="32">
        <v>3</v>
      </c>
      <c r="AS167" s="32">
        <v>2</v>
      </c>
      <c r="AT167" s="32">
        <v>5</v>
      </c>
      <c r="AU167" s="32">
        <v>2</v>
      </c>
      <c r="AV167" s="32">
        <v>3</v>
      </c>
      <c r="AY167" s="32">
        <v>3</v>
      </c>
      <c r="BF167" s="32">
        <v>9</v>
      </c>
      <c r="BO167" s="32">
        <v>116</v>
      </c>
    </row>
    <row r="168" spans="2:67" s="32" customFormat="1" ht="15" customHeight="1" thickBot="1">
      <c r="K168" s="33"/>
      <c r="L168" s="33"/>
      <c r="M168" s="33"/>
      <c r="N168" s="33"/>
      <c r="O168" s="33"/>
      <c r="P168" s="33"/>
      <c r="Q168" s="33"/>
      <c r="R168" s="33"/>
      <c r="S168" s="33"/>
      <c r="T168" s="33"/>
      <c r="U168" s="33"/>
      <c r="V168" s="33"/>
      <c r="W168" s="33"/>
      <c r="X168" s="33"/>
      <c r="Y168" s="33"/>
      <c r="Z168" s="33"/>
      <c r="AA168" s="33"/>
      <c r="AB168" s="33"/>
      <c r="AC168" s="33"/>
      <c r="AD168" s="33"/>
      <c r="AE168" s="33">
        <v>35</v>
      </c>
      <c r="AF168" s="33"/>
      <c r="AG168" s="33"/>
      <c r="AH168" s="33"/>
      <c r="AI168" s="33"/>
      <c r="AJ168" s="33"/>
      <c r="AK168" s="33"/>
      <c r="AL168" s="33"/>
      <c r="AM168" s="33"/>
      <c r="AN168" s="33">
        <v>3</v>
      </c>
      <c r="AO168" s="33">
        <v>2</v>
      </c>
      <c r="AP168" s="32">
        <v>3</v>
      </c>
      <c r="AQ168" s="32">
        <v>4</v>
      </c>
      <c r="AR168" s="32">
        <v>2</v>
      </c>
      <c r="AS168" s="32">
        <v>5</v>
      </c>
      <c r="AT168" s="32">
        <v>5</v>
      </c>
      <c r="AU168" s="32">
        <v>5</v>
      </c>
      <c r="AV168" s="32">
        <v>4</v>
      </c>
      <c r="AY168" s="32">
        <v>2</v>
      </c>
      <c r="BF168" s="32">
        <v>3</v>
      </c>
      <c r="BO168" s="32">
        <v>117</v>
      </c>
    </row>
    <row r="169" spans="2:67" s="32" customFormat="1" ht="22.5" customHeight="1" thickBot="1">
      <c r="B169" s="57" t="s">
        <v>43</v>
      </c>
      <c r="C169" s="73" t="s">
        <v>46</v>
      </c>
      <c r="D169" s="59"/>
      <c r="K169" s="33"/>
      <c r="L169" s="33"/>
      <c r="M169" s="33"/>
      <c r="N169" s="33"/>
      <c r="O169" s="33"/>
      <c r="P169" s="33"/>
      <c r="Q169" s="33"/>
      <c r="R169" s="33"/>
      <c r="S169" s="33"/>
      <c r="T169" s="33"/>
      <c r="U169" s="33"/>
      <c r="V169" s="33"/>
      <c r="W169" s="33"/>
      <c r="X169" s="33"/>
      <c r="Y169" s="33"/>
      <c r="Z169" s="33"/>
      <c r="AA169" s="33"/>
      <c r="AB169" s="33"/>
      <c r="AC169" s="33"/>
      <c r="AD169" s="33"/>
      <c r="AE169" s="33">
        <v>32</v>
      </c>
      <c r="AF169" s="33"/>
      <c r="AG169" s="33"/>
      <c r="AH169" s="33"/>
      <c r="AI169" s="33"/>
      <c r="AJ169" s="33"/>
      <c r="AK169" s="33"/>
      <c r="AL169" s="33"/>
      <c r="AM169" s="33"/>
      <c r="AN169" s="33">
        <v>2</v>
      </c>
      <c r="AO169" s="33">
        <v>2</v>
      </c>
      <c r="AP169" s="32">
        <v>2</v>
      </c>
      <c r="AQ169" s="32">
        <v>3</v>
      </c>
      <c r="AR169" s="32">
        <v>5</v>
      </c>
      <c r="AS169" s="32">
        <v>5</v>
      </c>
      <c r="AT169" s="32">
        <v>4</v>
      </c>
      <c r="AU169" s="32">
        <v>4</v>
      </c>
      <c r="AV169" s="32">
        <v>4</v>
      </c>
      <c r="AY169" s="32">
        <v>3</v>
      </c>
      <c r="BF169" s="32">
        <v>6</v>
      </c>
      <c r="BO169" s="32">
        <v>118</v>
      </c>
    </row>
    <row r="170" spans="2:67" s="16" customFormat="1" ht="15" customHeight="1">
      <c r="I170" s="32"/>
      <c r="J170" s="32"/>
      <c r="K170" s="33"/>
      <c r="L170" s="33"/>
      <c r="M170" s="33"/>
      <c r="N170" s="50"/>
      <c r="O170" s="50"/>
      <c r="P170" s="50"/>
      <c r="Q170" s="50"/>
      <c r="R170" s="50"/>
      <c r="S170" s="50"/>
      <c r="T170" s="50"/>
      <c r="U170" s="50"/>
      <c r="V170" s="50"/>
      <c r="W170" s="50"/>
      <c r="X170" s="50"/>
      <c r="Y170" s="50"/>
      <c r="Z170" s="50"/>
      <c r="AA170" s="50"/>
      <c r="AB170" s="50"/>
      <c r="AC170" s="50"/>
      <c r="AD170" s="50"/>
      <c r="AE170" s="50">
        <v>34</v>
      </c>
      <c r="AF170" s="50"/>
      <c r="AG170" s="50"/>
      <c r="AH170" s="50"/>
      <c r="AI170" s="50"/>
      <c r="AJ170" s="50"/>
      <c r="AK170" s="50"/>
      <c r="AL170" s="50"/>
      <c r="AM170" s="50"/>
      <c r="AN170" s="50">
        <v>2</v>
      </c>
      <c r="AO170" s="50">
        <v>3</v>
      </c>
      <c r="AP170" s="16">
        <v>3</v>
      </c>
      <c r="AQ170" s="16">
        <v>5</v>
      </c>
      <c r="AR170" s="16">
        <v>3</v>
      </c>
      <c r="AS170" s="16">
        <v>2</v>
      </c>
      <c r="AT170" s="16">
        <v>4</v>
      </c>
      <c r="AU170" s="16">
        <v>3</v>
      </c>
      <c r="AV170" s="16">
        <v>3</v>
      </c>
      <c r="AY170" s="16">
        <v>2</v>
      </c>
      <c r="BF170" s="16">
        <v>6</v>
      </c>
      <c r="BO170" s="16">
        <v>119</v>
      </c>
    </row>
    <row r="171" spans="2:67" s="16" customFormat="1" ht="15" customHeight="1">
      <c r="B171" s="60" t="s">
        <v>129</v>
      </c>
      <c r="C171" s="71"/>
      <c r="I171" s="32"/>
      <c r="J171" s="32"/>
      <c r="K171" s="33"/>
      <c r="L171" s="33"/>
      <c r="M171" s="33"/>
      <c r="N171" s="50"/>
      <c r="O171" s="50"/>
      <c r="P171" s="50"/>
      <c r="Q171" s="50"/>
      <c r="R171" s="50"/>
      <c r="S171" s="50"/>
      <c r="T171" s="50"/>
      <c r="U171" s="50"/>
      <c r="V171" s="50"/>
      <c r="W171" s="50"/>
      <c r="X171" s="50"/>
      <c r="Y171" s="50"/>
      <c r="Z171" s="50"/>
      <c r="AA171" s="50"/>
      <c r="AB171" s="50"/>
      <c r="AC171" s="50"/>
      <c r="AD171" s="50"/>
      <c r="AE171" s="50">
        <v>30</v>
      </c>
      <c r="AF171" s="50"/>
      <c r="AG171" s="50"/>
      <c r="AH171" s="50"/>
      <c r="AI171" s="50"/>
      <c r="AJ171" s="50"/>
      <c r="AK171" s="50"/>
      <c r="AL171" s="50"/>
      <c r="AM171" s="50"/>
      <c r="AN171" s="50">
        <v>4</v>
      </c>
      <c r="AO171" s="50">
        <v>4</v>
      </c>
      <c r="AP171" s="16">
        <v>3</v>
      </c>
      <c r="AQ171" s="16">
        <v>5</v>
      </c>
      <c r="AR171" s="16">
        <v>4</v>
      </c>
      <c r="AS171" s="16">
        <v>2</v>
      </c>
      <c r="AT171" s="16">
        <v>4</v>
      </c>
      <c r="AU171" s="16">
        <v>4</v>
      </c>
      <c r="AV171" s="16">
        <v>4</v>
      </c>
      <c r="AY171" s="16">
        <v>1</v>
      </c>
      <c r="BF171" s="16">
        <v>9</v>
      </c>
      <c r="BO171" s="16">
        <v>120</v>
      </c>
    </row>
    <row r="172" spans="2:67" s="16" customFormat="1" ht="15" customHeight="1">
      <c r="B172" s="115" t="s">
        <v>147</v>
      </c>
      <c r="C172" s="71"/>
      <c r="I172" s="32"/>
      <c r="J172" s="32"/>
      <c r="K172" s="33"/>
      <c r="L172" s="33"/>
      <c r="M172" s="33"/>
      <c r="N172" s="50"/>
      <c r="O172" s="50"/>
      <c r="P172" s="50"/>
      <c r="Q172" s="50"/>
      <c r="R172" s="50"/>
      <c r="S172" s="50"/>
      <c r="T172" s="50"/>
      <c r="U172" s="50"/>
      <c r="V172" s="50"/>
      <c r="W172" s="50"/>
      <c r="X172" s="50"/>
      <c r="Y172" s="50"/>
      <c r="Z172" s="50"/>
      <c r="AA172" s="50"/>
      <c r="AB172" s="50"/>
      <c r="AC172" s="50"/>
      <c r="AD172" s="50"/>
      <c r="AE172" s="50">
        <v>35</v>
      </c>
      <c r="AF172" s="50"/>
      <c r="AG172" s="50"/>
      <c r="AH172" s="50"/>
      <c r="AI172" s="50"/>
      <c r="AJ172" s="50"/>
      <c r="AK172" s="50"/>
      <c r="AL172" s="50"/>
      <c r="AM172" s="50"/>
      <c r="AN172" s="50">
        <v>4</v>
      </c>
      <c r="AO172" s="50">
        <v>4</v>
      </c>
      <c r="AP172" s="16">
        <v>2</v>
      </c>
      <c r="AQ172" s="16">
        <v>5</v>
      </c>
      <c r="AR172" s="16">
        <v>2</v>
      </c>
      <c r="AS172" s="16">
        <v>4</v>
      </c>
      <c r="AT172" s="16">
        <v>5</v>
      </c>
      <c r="AU172" s="16">
        <v>5</v>
      </c>
      <c r="AV172" s="16">
        <v>4</v>
      </c>
      <c r="AY172" s="16">
        <v>2</v>
      </c>
      <c r="BF172" s="16">
        <v>95</v>
      </c>
      <c r="BO172" s="16">
        <v>121</v>
      </c>
    </row>
    <row r="173" spans="2:67" s="16" customFormat="1" ht="15" customHeight="1">
      <c r="B173" s="61"/>
      <c r="C173" s="71"/>
      <c r="I173" s="32"/>
      <c r="J173" s="32"/>
      <c r="K173" s="33"/>
      <c r="L173" s="33"/>
      <c r="M173" s="33"/>
      <c r="N173" s="50"/>
      <c r="O173" s="50"/>
      <c r="P173" s="50"/>
      <c r="Q173" s="50"/>
      <c r="R173" s="50"/>
      <c r="S173" s="50"/>
      <c r="T173" s="50"/>
      <c r="U173" s="50"/>
      <c r="V173" s="50"/>
      <c r="W173" s="50"/>
      <c r="X173" s="50"/>
      <c r="Y173" s="50"/>
      <c r="Z173" s="50"/>
      <c r="AA173" s="50"/>
      <c r="AB173" s="50"/>
      <c r="AC173" s="50"/>
      <c r="AD173" s="50"/>
      <c r="AE173" s="50">
        <v>26</v>
      </c>
      <c r="AF173" s="50"/>
      <c r="AG173" s="50"/>
      <c r="AH173" s="50"/>
      <c r="AI173" s="50"/>
      <c r="AJ173" s="50"/>
      <c r="AK173" s="50"/>
      <c r="AL173" s="50"/>
      <c r="AM173" s="50"/>
      <c r="AN173" s="50">
        <v>2</v>
      </c>
      <c r="AO173" s="50">
        <v>5</v>
      </c>
      <c r="AP173" s="16">
        <v>2</v>
      </c>
      <c r="AQ173" s="16">
        <v>3</v>
      </c>
      <c r="AR173" s="16">
        <v>2</v>
      </c>
      <c r="AS173" s="16">
        <v>2</v>
      </c>
      <c r="AT173" s="16">
        <v>2</v>
      </c>
      <c r="AU173" s="16">
        <v>3</v>
      </c>
      <c r="AV173" s="16">
        <v>5</v>
      </c>
      <c r="AY173" s="16">
        <v>5</v>
      </c>
      <c r="BF173" s="16">
        <v>89</v>
      </c>
      <c r="BO173" s="16">
        <v>122</v>
      </c>
    </row>
    <row r="174" spans="2:67" s="16" customFormat="1" ht="15" customHeight="1">
      <c r="B174" s="60" t="s">
        <v>111</v>
      </c>
      <c r="C174" s="71"/>
      <c r="K174" s="50"/>
      <c r="L174" s="50"/>
      <c r="M174" s="50"/>
      <c r="N174" s="50"/>
      <c r="O174" s="50"/>
      <c r="P174" s="50"/>
      <c r="Q174" s="50"/>
      <c r="R174" s="50"/>
      <c r="S174" s="50"/>
      <c r="T174" s="50"/>
      <c r="U174" s="50"/>
      <c r="V174" s="50"/>
      <c r="W174" s="50"/>
      <c r="X174" s="50"/>
      <c r="Y174" s="50"/>
      <c r="Z174" s="50"/>
      <c r="AA174" s="50"/>
      <c r="AB174" s="50"/>
      <c r="AC174" s="50"/>
      <c r="AD174" s="50"/>
      <c r="AE174" s="50">
        <v>28</v>
      </c>
      <c r="AF174" s="50"/>
      <c r="AG174" s="50"/>
      <c r="AH174" s="50"/>
      <c r="AI174" s="50"/>
      <c r="AJ174" s="50"/>
      <c r="AK174" s="50"/>
      <c r="AL174" s="50"/>
      <c r="AM174" s="50"/>
      <c r="AN174" s="50">
        <v>3</v>
      </c>
      <c r="AO174" s="50">
        <v>4</v>
      </c>
      <c r="AP174" s="16">
        <v>2</v>
      </c>
      <c r="AQ174" s="16">
        <v>3</v>
      </c>
      <c r="AR174" s="16">
        <v>2</v>
      </c>
      <c r="AS174" s="16">
        <v>5</v>
      </c>
      <c r="AT174" s="16">
        <v>2</v>
      </c>
      <c r="AU174" s="16">
        <v>3</v>
      </c>
      <c r="AV174" s="16">
        <v>4</v>
      </c>
      <c r="AY174" s="16">
        <v>3</v>
      </c>
      <c r="BF174" s="16">
        <v>82</v>
      </c>
      <c r="BO174" s="16">
        <v>123</v>
      </c>
    </row>
    <row r="175" spans="2:67" s="16" customFormat="1" ht="15" customHeight="1">
      <c r="B175" s="60"/>
      <c r="C175" s="71"/>
      <c r="K175" s="50"/>
      <c r="L175" s="50"/>
      <c r="M175" s="50"/>
      <c r="N175" s="50"/>
      <c r="O175" s="50"/>
      <c r="P175" s="50"/>
      <c r="Q175" s="50"/>
      <c r="R175" s="50"/>
      <c r="S175" s="50"/>
      <c r="T175" s="50"/>
      <c r="U175" s="50"/>
      <c r="V175" s="50"/>
      <c r="W175" s="50"/>
      <c r="X175" s="50"/>
      <c r="Y175" s="50"/>
      <c r="Z175" s="50"/>
      <c r="AA175" s="50"/>
      <c r="AB175" s="50"/>
      <c r="AC175" s="50"/>
      <c r="AD175" s="50"/>
      <c r="AE175" s="50">
        <v>31</v>
      </c>
      <c r="AF175" s="50"/>
      <c r="AG175" s="50"/>
      <c r="AH175" s="50"/>
      <c r="AI175" s="50"/>
      <c r="AJ175" s="50"/>
      <c r="AK175" s="50"/>
      <c r="AL175" s="50"/>
      <c r="AM175" s="50"/>
      <c r="AN175" s="50">
        <v>2</v>
      </c>
      <c r="AO175" s="50">
        <v>4</v>
      </c>
      <c r="AP175" s="16">
        <v>4</v>
      </c>
      <c r="AQ175" s="16">
        <v>2</v>
      </c>
      <c r="AR175" s="16">
        <v>5</v>
      </c>
      <c r="AS175" s="16">
        <v>4</v>
      </c>
      <c r="AT175" s="16">
        <v>4</v>
      </c>
      <c r="AU175" s="16">
        <v>4</v>
      </c>
      <c r="AV175" s="16">
        <v>2</v>
      </c>
      <c r="AY175" s="16">
        <v>3</v>
      </c>
      <c r="BF175" s="16">
        <v>82</v>
      </c>
      <c r="BO175" s="16">
        <v>124</v>
      </c>
    </row>
    <row r="176" spans="2:67" s="16" customFormat="1" ht="15" customHeight="1">
      <c r="B176" s="63" t="s">
        <v>34</v>
      </c>
      <c r="C176" s="71"/>
      <c r="K176" s="50"/>
      <c r="L176" s="50"/>
      <c r="M176" s="50"/>
      <c r="N176" s="50"/>
      <c r="O176" s="50"/>
      <c r="P176" s="50"/>
      <c r="Q176" s="50"/>
      <c r="R176" s="50"/>
      <c r="S176" s="50"/>
      <c r="T176" s="50"/>
      <c r="U176" s="50"/>
      <c r="V176" s="50"/>
      <c r="W176" s="50"/>
      <c r="X176" s="50"/>
      <c r="Y176" s="50"/>
      <c r="Z176" s="50"/>
      <c r="AA176" s="50"/>
      <c r="AB176" s="50"/>
      <c r="AC176" s="50"/>
      <c r="AD176" s="50"/>
      <c r="AE176" s="50">
        <v>35</v>
      </c>
      <c r="AF176" s="50"/>
      <c r="AG176" s="50"/>
      <c r="AH176" s="50"/>
      <c r="AI176" s="50"/>
      <c r="AJ176" s="50"/>
      <c r="AK176" s="50"/>
      <c r="AL176" s="50"/>
      <c r="AM176" s="50"/>
      <c r="AN176" s="50">
        <v>4</v>
      </c>
      <c r="AO176" s="50">
        <v>5</v>
      </c>
      <c r="AP176" s="16">
        <v>3</v>
      </c>
      <c r="AQ176" s="16">
        <v>3</v>
      </c>
      <c r="AR176" s="16">
        <v>5</v>
      </c>
      <c r="AS176" s="16">
        <v>3</v>
      </c>
      <c r="AT176" s="16">
        <v>5</v>
      </c>
      <c r="AU176" s="16">
        <v>2</v>
      </c>
      <c r="AV176" s="16">
        <v>5</v>
      </c>
      <c r="AY176" s="16">
        <v>1</v>
      </c>
      <c r="BF176" s="16">
        <v>95</v>
      </c>
      <c r="BO176" s="16">
        <v>125</v>
      </c>
    </row>
    <row r="177" spans="2:67" s="16" customFormat="1" ht="15" customHeight="1">
      <c r="B177" s="61" t="s">
        <v>108</v>
      </c>
      <c r="K177" s="50"/>
      <c r="L177" s="50"/>
      <c r="M177" s="50"/>
      <c r="N177" s="50"/>
      <c r="O177" s="50"/>
      <c r="P177" s="50"/>
      <c r="Q177" s="50"/>
      <c r="R177" s="50"/>
      <c r="S177" s="50"/>
      <c r="T177" s="50"/>
      <c r="U177" s="50"/>
      <c r="V177" s="50"/>
      <c r="W177" s="50"/>
      <c r="X177" s="50"/>
      <c r="Y177" s="50"/>
      <c r="Z177" s="50"/>
      <c r="AA177" s="50"/>
      <c r="AB177" s="50"/>
      <c r="AC177" s="50"/>
      <c r="AD177" s="50"/>
      <c r="AE177" s="50">
        <v>25</v>
      </c>
      <c r="AF177" s="50"/>
      <c r="AG177" s="50"/>
      <c r="AH177" s="50"/>
      <c r="AI177" s="50"/>
      <c r="AJ177" s="50"/>
      <c r="AK177" s="50"/>
      <c r="AL177" s="50"/>
      <c r="AM177" s="50"/>
      <c r="AN177" s="50">
        <v>2</v>
      </c>
      <c r="AO177" s="50">
        <v>4</v>
      </c>
      <c r="AP177" s="16">
        <v>2</v>
      </c>
      <c r="AQ177" s="16">
        <v>3</v>
      </c>
      <c r="AR177" s="16">
        <v>2</v>
      </c>
      <c r="AS177" s="16">
        <v>4</v>
      </c>
      <c r="AT177" s="16">
        <v>3</v>
      </c>
      <c r="AU177" s="16">
        <v>3</v>
      </c>
      <c r="AV177" s="16">
        <v>2</v>
      </c>
      <c r="AY177" s="16">
        <v>4</v>
      </c>
      <c r="BF177" s="16">
        <v>60</v>
      </c>
      <c r="BO177" s="16">
        <v>126</v>
      </c>
    </row>
    <row r="178" spans="2:67" s="16" customFormat="1" ht="15" customHeight="1">
      <c r="B178" s="61" t="s">
        <v>109</v>
      </c>
      <c r="K178" s="50"/>
      <c r="L178" s="50"/>
      <c r="M178" s="50"/>
      <c r="N178" s="50"/>
      <c r="O178" s="50"/>
      <c r="P178" s="50"/>
      <c r="Q178" s="50"/>
      <c r="R178" s="50"/>
      <c r="S178" s="50"/>
      <c r="T178" s="50"/>
      <c r="U178" s="50"/>
      <c r="V178" s="50"/>
      <c r="W178" s="50"/>
      <c r="X178" s="50"/>
      <c r="Y178" s="50"/>
      <c r="Z178" s="50"/>
      <c r="AA178" s="50"/>
      <c r="AB178" s="50"/>
      <c r="AC178" s="50"/>
      <c r="AD178" s="50"/>
      <c r="AE178" s="50">
        <v>30</v>
      </c>
      <c r="AF178" s="50"/>
      <c r="AG178" s="50"/>
      <c r="AH178" s="50"/>
      <c r="AI178" s="50"/>
      <c r="AJ178" s="50"/>
      <c r="AK178" s="50"/>
      <c r="AL178" s="50"/>
      <c r="AM178" s="50"/>
      <c r="AN178" s="50">
        <v>3</v>
      </c>
      <c r="AO178" s="50">
        <v>2</v>
      </c>
      <c r="AP178" s="16">
        <v>4</v>
      </c>
      <c r="AQ178" s="16">
        <v>2</v>
      </c>
      <c r="AR178" s="16">
        <v>5</v>
      </c>
      <c r="AS178" s="16">
        <v>4</v>
      </c>
      <c r="AT178" s="16">
        <v>2</v>
      </c>
      <c r="AU178" s="16">
        <v>3</v>
      </c>
      <c r="AV178" s="16">
        <v>5</v>
      </c>
      <c r="AY178" s="16">
        <v>3</v>
      </c>
      <c r="BF178" s="16">
        <v>92</v>
      </c>
      <c r="BO178" s="16">
        <v>127</v>
      </c>
    </row>
    <row r="179" spans="2:67" s="16" customFormat="1" ht="15" customHeight="1" thickBot="1">
      <c r="B179" s="61" t="s">
        <v>110</v>
      </c>
      <c r="K179" s="50"/>
      <c r="L179" s="50"/>
      <c r="M179" s="50"/>
      <c r="N179" s="50"/>
      <c r="O179" s="50"/>
      <c r="P179" s="50"/>
      <c r="Q179" s="50"/>
      <c r="R179" s="50"/>
      <c r="S179" s="50"/>
      <c r="T179" s="50"/>
      <c r="U179" s="50"/>
      <c r="V179" s="50"/>
      <c r="W179" s="50"/>
      <c r="X179" s="50"/>
      <c r="Y179" s="50"/>
      <c r="Z179" s="50"/>
      <c r="AA179" s="50"/>
      <c r="AB179" s="50"/>
      <c r="AC179" s="50"/>
      <c r="AD179" s="50"/>
      <c r="AE179" s="50">
        <v>32</v>
      </c>
      <c r="AF179" s="50"/>
      <c r="AG179" s="50"/>
      <c r="AH179" s="50"/>
      <c r="AI179" s="50"/>
      <c r="AJ179" s="50"/>
      <c r="AK179" s="50"/>
      <c r="AL179" s="50"/>
      <c r="AM179" s="50"/>
      <c r="AN179" s="50">
        <v>3</v>
      </c>
      <c r="AO179" s="50">
        <v>2</v>
      </c>
      <c r="AP179" s="16">
        <v>5</v>
      </c>
      <c r="AQ179" s="16">
        <v>3</v>
      </c>
      <c r="AR179" s="16">
        <v>5</v>
      </c>
      <c r="AS179" s="16">
        <v>2</v>
      </c>
      <c r="AT179" s="16">
        <v>4</v>
      </c>
      <c r="AU179" s="16">
        <v>5</v>
      </c>
      <c r="AV179" s="16">
        <v>3</v>
      </c>
      <c r="AY179" s="16">
        <v>2</v>
      </c>
      <c r="BF179" s="16">
        <v>95</v>
      </c>
      <c r="BO179" s="16">
        <v>128</v>
      </c>
    </row>
    <row r="180" spans="2:67" s="50" customFormat="1" ht="22.5" customHeight="1" thickBot="1">
      <c r="B180" s="16"/>
      <c r="C180" s="16"/>
      <c r="D180" s="16"/>
      <c r="E180" s="16"/>
      <c r="F180" s="16"/>
      <c r="G180" s="110" t="s">
        <v>90</v>
      </c>
      <c r="H180" s="111"/>
      <c r="I180" s="111"/>
      <c r="J180" s="111"/>
      <c r="K180" s="111"/>
      <c r="L180" s="111"/>
      <c r="M180" s="111"/>
      <c r="N180" s="111"/>
      <c r="O180" s="112"/>
      <c r="AE180" s="50">
        <v>34</v>
      </c>
      <c r="AN180" s="50">
        <v>5</v>
      </c>
      <c r="AO180" s="50">
        <v>5</v>
      </c>
      <c r="AP180" s="50">
        <v>3</v>
      </c>
      <c r="AQ180" s="50">
        <v>4</v>
      </c>
      <c r="AR180" s="50">
        <v>2</v>
      </c>
      <c r="AS180" s="50">
        <v>4</v>
      </c>
      <c r="AT180" s="50">
        <v>5</v>
      </c>
      <c r="AU180" s="50">
        <v>4</v>
      </c>
      <c r="AV180" s="50">
        <v>2</v>
      </c>
      <c r="AY180" s="50">
        <v>2</v>
      </c>
      <c r="BF180" s="50">
        <v>95</v>
      </c>
      <c r="BO180" s="50">
        <v>129</v>
      </c>
    </row>
    <row r="181" spans="2:67" s="50" customFormat="1" ht="22.5" customHeight="1" thickBot="1">
      <c r="B181" s="47" t="s">
        <v>8</v>
      </c>
      <c r="C181" s="48" t="s">
        <v>9</v>
      </c>
      <c r="D181" s="47" t="s">
        <v>10</v>
      </c>
      <c r="E181" s="64" t="s">
        <v>11</v>
      </c>
      <c r="F181" s="16"/>
      <c r="G181" s="47" t="s">
        <v>12</v>
      </c>
      <c r="H181" s="47" t="s">
        <v>13</v>
      </c>
      <c r="I181" s="47" t="s">
        <v>14</v>
      </c>
      <c r="J181" s="47" t="s">
        <v>15</v>
      </c>
      <c r="K181" s="47" t="s">
        <v>16</v>
      </c>
      <c r="L181" s="47" t="s">
        <v>17</v>
      </c>
      <c r="M181" s="47" t="s">
        <v>18</v>
      </c>
      <c r="N181" s="47" t="s">
        <v>19</v>
      </c>
      <c r="O181" s="47" t="s">
        <v>20</v>
      </c>
      <c r="Q181" s="47" t="s">
        <v>56</v>
      </c>
      <c r="AE181" s="50">
        <v>33</v>
      </c>
      <c r="AN181" s="50">
        <v>5</v>
      </c>
      <c r="AO181" s="50">
        <v>2</v>
      </c>
      <c r="AP181" s="50">
        <v>3</v>
      </c>
      <c r="AQ181" s="50">
        <v>5</v>
      </c>
      <c r="AR181" s="50">
        <v>3</v>
      </c>
      <c r="AS181" s="50">
        <v>4</v>
      </c>
      <c r="AT181" s="50">
        <v>5</v>
      </c>
      <c r="AU181" s="50">
        <v>4</v>
      </c>
      <c r="AV181" s="50">
        <v>2</v>
      </c>
      <c r="AY181" s="50">
        <v>2</v>
      </c>
      <c r="BF181" s="50">
        <v>95</v>
      </c>
      <c r="BO181" s="50">
        <v>130</v>
      </c>
    </row>
    <row r="182" spans="2:67">
      <c r="J182" s="33"/>
      <c r="Q182" s="69"/>
      <c r="AE182" s="33">
        <v>37</v>
      </c>
      <c r="AN182" s="33">
        <v>4</v>
      </c>
      <c r="AO182" s="33">
        <v>4</v>
      </c>
      <c r="AP182" s="33">
        <v>5</v>
      </c>
      <c r="AQ182" s="33">
        <v>2</v>
      </c>
      <c r="AR182" s="33">
        <v>4</v>
      </c>
      <c r="AS182" s="33">
        <v>5</v>
      </c>
      <c r="AT182" s="33">
        <v>5</v>
      </c>
      <c r="AU182" s="33">
        <v>3</v>
      </c>
      <c r="AV182" s="33">
        <v>5</v>
      </c>
      <c r="AY182" s="33">
        <v>1</v>
      </c>
      <c r="BF182" s="33">
        <v>95</v>
      </c>
      <c r="BO182" s="33">
        <v>131</v>
      </c>
    </row>
    <row r="183" spans="2:67" s="32" customFormat="1" ht="24.95" customHeight="1">
      <c r="B183" s="65" t="s">
        <v>44</v>
      </c>
      <c r="C183" s="51">
        <v>4</v>
      </c>
      <c r="D183" s="52">
        <v>0</v>
      </c>
      <c r="E183" s="55">
        <v>15</v>
      </c>
      <c r="F183" s="131">
        <f>IF(ISBLANK(E183),0,IF(E183=Answers!E183,1,-1))</f>
        <v>1</v>
      </c>
      <c r="G183" s="66">
        <v>3</v>
      </c>
      <c r="H183" s="66">
        <v>5</v>
      </c>
      <c r="I183" s="66">
        <v>3</v>
      </c>
      <c r="J183" s="66">
        <v>4</v>
      </c>
      <c r="K183" s="66">
        <v>3</v>
      </c>
      <c r="L183" s="66">
        <v>3</v>
      </c>
      <c r="M183" s="66">
        <v>2</v>
      </c>
      <c r="N183" s="66">
        <v>3</v>
      </c>
      <c r="O183" s="66">
        <v>3</v>
      </c>
      <c r="P183" s="33"/>
      <c r="Q183" s="68">
        <v>4</v>
      </c>
      <c r="T183" s="33"/>
      <c r="U183" s="33"/>
      <c r="V183" s="33"/>
      <c r="W183" s="33"/>
      <c r="X183" s="33"/>
      <c r="Y183" s="33"/>
      <c r="Z183" s="33"/>
      <c r="AA183" s="33"/>
      <c r="AB183" s="33"/>
      <c r="AC183" s="33"/>
      <c r="AD183" s="33"/>
      <c r="AE183" s="33">
        <v>35</v>
      </c>
      <c r="AF183" s="33"/>
      <c r="AG183" s="33"/>
      <c r="AH183" s="33"/>
      <c r="AI183" s="33"/>
      <c r="AJ183" s="33"/>
      <c r="AK183" s="33"/>
      <c r="AL183" s="33"/>
      <c r="AM183" s="33"/>
      <c r="AN183" s="33">
        <v>5</v>
      </c>
      <c r="AO183" s="33">
        <v>5</v>
      </c>
      <c r="AP183" s="32">
        <v>2</v>
      </c>
      <c r="AQ183" s="32">
        <v>3</v>
      </c>
      <c r="AR183" s="32">
        <v>4</v>
      </c>
      <c r="AS183" s="32">
        <v>5</v>
      </c>
      <c r="AT183" s="32">
        <v>4</v>
      </c>
      <c r="AU183" s="32">
        <v>5</v>
      </c>
      <c r="AV183" s="32">
        <v>2</v>
      </c>
      <c r="AY183" s="32">
        <v>2</v>
      </c>
      <c r="BF183" s="32">
        <v>95</v>
      </c>
      <c r="BO183" s="32">
        <v>132</v>
      </c>
    </row>
    <row r="184" spans="2:67" s="32" customFormat="1" ht="15" customHeight="1">
      <c r="P184" s="33"/>
      <c r="Q184" s="72"/>
      <c r="T184" s="33"/>
      <c r="U184" s="33"/>
      <c r="V184" s="33"/>
      <c r="W184" s="33"/>
      <c r="X184" s="33"/>
      <c r="Y184" s="33"/>
      <c r="Z184" s="33"/>
      <c r="AA184" s="33"/>
      <c r="AB184" s="33"/>
      <c r="AC184" s="33"/>
      <c r="AD184" s="33"/>
      <c r="AE184" s="33">
        <v>28</v>
      </c>
      <c r="AF184" s="33"/>
      <c r="AG184" s="33"/>
      <c r="AH184" s="33"/>
      <c r="AI184" s="33"/>
      <c r="AJ184" s="33"/>
      <c r="AK184" s="33"/>
      <c r="AL184" s="33"/>
      <c r="AM184" s="33"/>
      <c r="AN184" s="33">
        <v>2</v>
      </c>
      <c r="AO184" s="33">
        <v>3</v>
      </c>
      <c r="AP184" s="32">
        <v>5</v>
      </c>
      <c r="AQ184" s="32">
        <v>2</v>
      </c>
      <c r="AR184" s="32">
        <v>5</v>
      </c>
      <c r="AS184" s="32">
        <v>4</v>
      </c>
      <c r="AT184" s="32">
        <v>3</v>
      </c>
      <c r="AU184" s="32">
        <v>2</v>
      </c>
      <c r="AV184" s="32">
        <v>2</v>
      </c>
      <c r="AY184" s="32">
        <v>4</v>
      </c>
      <c r="BF184" s="32">
        <v>92</v>
      </c>
      <c r="BO184" s="32">
        <v>133</v>
      </c>
    </row>
    <row r="185" spans="2:67" s="32" customFormat="1" ht="24.95" customHeight="1">
      <c r="B185" s="51">
        <v>61</v>
      </c>
      <c r="C185" s="51">
        <v>4</v>
      </c>
      <c r="D185" s="67">
        <v>7</v>
      </c>
      <c r="E185" s="55">
        <f>SUM(_xlfn.TAKE(_xlfn._xlws.SORT(G185:O185,1,-1,1),,Q185))</f>
        <v>25</v>
      </c>
      <c r="F185" s="131">
        <f>IF(ISBLANK(E185),0,IF(E185=Answers!E185,1,-1))</f>
        <v>1</v>
      </c>
      <c r="G185" s="68">
        <v>2</v>
      </c>
      <c r="H185" s="68">
        <v>3</v>
      </c>
      <c r="I185" s="68">
        <v>4</v>
      </c>
      <c r="J185" s="68">
        <v>4</v>
      </c>
      <c r="K185" s="68">
        <v>4</v>
      </c>
      <c r="L185" s="68">
        <v>3</v>
      </c>
      <c r="M185" s="68">
        <v>5</v>
      </c>
      <c r="N185" s="68">
        <v>3</v>
      </c>
      <c r="O185" s="68">
        <v>5</v>
      </c>
      <c r="P185" s="33"/>
      <c r="Q185" s="68">
        <v>6</v>
      </c>
      <c r="T185" s="33">
        <f>SUM(G185:O185)</f>
        <v>33</v>
      </c>
      <c r="U185" s="33"/>
      <c r="V185" s="33"/>
      <c r="W185" s="33"/>
      <c r="X185" s="33"/>
      <c r="Y185" s="33"/>
      <c r="Z185" s="33"/>
      <c r="AA185" s="33"/>
      <c r="AB185" s="33"/>
      <c r="AC185" s="33"/>
      <c r="AD185" s="33"/>
      <c r="AE185" s="33">
        <v>34</v>
      </c>
      <c r="AF185" s="33"/>
      <c r="AG185" s="33"/>
      <c r="AH185" s="33"/>
      <c r="AI185" s="33"/>
      <c r="AJ185" s="33"/>
      <c r="AK185" s="33"/>
      <c r="AL185" s="33"/>
      <c r="AM185" s="33"/>
      <c r="AN185" s="33">
        <v>5</v>
      </c>
      <c r="AO185" s="33">
        <v>2</v>
      </c>
      <c r="AP185" s="32">
        <v>4</v>
      </c>
      <c r="AQ185" s="32">
        <v>2</v>
      </c>
      <c r="AR185" s="32">
        <v>5</v>
      </c>
      <c r="AS185" s="32">
        <v>3</v>
      </c>
      <c r="AT185" s="32">
        <v>4</v>
      </c>
      <c r="AU185" s="32">
        <v>5</v>
      </c>
      <c r="AV185" s="32">
        <v>4</v>
      </c>
      <c r="AY185" s="32">
        <v>2</v>
      </c>
      <c r="BF185" s="32">
        <v>95</v>
      </c>
      <c r="BO185" s="32">
        <v>134</v>
      </c>
    </row>
    <row r="186" spans="2:67" s="32" customFormat="1" ht="24.95" customHeight="1">
      <c r="B186" s="51">
        <v>62</v>
      </c>
      <c r="C186" s="51">
        <v>4</v>
      </c>
      <c r="D186" s="67">
        <v>7</v>
      </c>
      <c r="E186" s="55">
        <f t="shared" ref="E186:E204" si="3">SUM(_xlfn.TAKE(_xlfn._xlws.SORT(G186:O186,1,-1,1),,Q186))</f>
        <v>30</v>
      </c>
      <c r="F186" s="131">
        <f>IF(ISBLANK(E186),0,IF(E186=Answers!E186,1,-1))</f>
        <v>1</v>
      </c>
      <c r="G186" s="66">
        <v>5</v>
      </c>
      <c r="H186" s="66">
        <v>5</v>
      </c>
      <c r="I186" s="66">
        <v>2</v>
      </c>
      <c r="J186" s="66">
        <v>3</v>
      </c>
      <c r="K186" s="66">
        <v>2</v>
      </c>
      <c r="L186" s="66">
        <v>5</v>
      </c>
      <c r="M186" s="66">
        <v>4</v>
      </c>
      <c r="N186" s="66">
        <v>4</v>
      </c>
      <c r="O186" s="66">
        <v>4</v>
      </c>
      <c r="P186" s="33"/>
      <c r="Q186" s="68">
        <v>7</v>
      </c>
      <c r="T186" s="33">
        <f t="shared" ref="T186:T204" si="4">SUM(G186:O186)</f>
        <v>34</v>
      </c>
      <c r="U186" s="33"/>
      <c r="V186" s="33"/>
      <c r="W186" s="33"/>
      <c r="X186" s="33"/>
      <c r="Y186" s="33"/>
      <c r="Z186" s="33"/>
      <c r="AA186" s="33"/>
      <c r="AB186" s="33"/>
      <c r="AC186" s="33"/>
      <c r="AD186" s="33"/>
      <c r="AE186" s="33">
        <v>30</v>
      </c>
      <c r="AF186" s="33"/>
      <c r="AG186" s="33"/>
      <c r="AH186" s="33"/>
      <c r="AI186" s="33"/>
      <c r="AJ186" s="33"/>
      <c r="AK186" s="33"/>
      <c r="AL186" s="33"/>
      <c r="AM186" s="33"/>
      <c r="AN186" s="33">
        <v>4</v>
      </c>
      <c r="AO186" s="33">
        <v>2</v>
      </c>
      <c r="AP186" s="32">
        <v>5</v>
      </c>
      <c r="AQ186" s="32">
        <v>5</v>
      </c>
      <c r="AR186" s="32">
        <v>3</v>
      </c>
      <c r="AS186" s="32">
        <v>2</v>
      </c>
      <c r="AT186" s="32">
        <v>2</v>
      </c>
      <c r="AU186" s="32">
        <v>5</v>
      </c>
      <c r="AV186" s="32">
        <v>2</v>
      </c>
      <c r="AY186" s="32">
        <v>4</v>
      </c>
      <c r="BF186" s="32">
        <v>95</v>
      </c>
      <c r="BO186" s="32">
        <v>135</v>
      </c>
    </row>
    <row r="187" spans="2:67" s="32" customFormat="1" ht="24.95" customHeight="1">
      <c r="B187" s="51">
        <v>63</v>
      </c>
      <c r="C187" s="51">
        <v>4</v>
      </c>
      <c r="D187" s="67">
        <v>7</v>
      </c>
      <c r="E187" s="55">
        <f t="shared" si="3"/>
        <v>12</v>
      </c>
      <c r="F187" s="131">
        <f>IF(ISBLANK(E187),0,IF(E187=Answers!E187,1,-1))</f>
        <v>1</v>
      </c>
      <c r="G187" s="66">
        <v>2</v>
      </c>
      <c r="H187" s="66">
        <v>2</v>
      </c>
      <c r="I187" s="66">
        <v>2</v>
      </c>
      <c r="J187" s="66">
        <v>3</v>
      </c>
      <c r="K187" s="66">
        <v>4</v>
      </c>
      <c r="L187" s="66">
        <v>2</v>
      </c>
      <c r="M187" s="66">
        <v>5</v>
      </c>
      <c r="N187" s="66">
        <v>3</v>
      </c>
      <c r="O187" s="66">
        <v>2</v>
      </c>
      <c r="P187" s="33"/>
      <c r="Q187" s="68">
        <v>3</v>
      </c>
      <c r="T187" s="33">
        <f t="shared" si="4"/>
        <v>25</v>
      </c>
      <c r="U187" s="33"/>
      <c r="V187" s="33"/>
      <c r="W187" s="33"/>
      <c r="X187" s="33"/>
      <c r="Y187" s="33"/>
      <c r="Z187" s="33"/>
      <c r="AA187" s="33"/>
      <c r="AB187" s="33"/>
      <c r="AC187" s="33"/>
      <c r="AD187" s="33"/>
      <c r="AE187" s="33">
        <v>31</v>
      </c>
      <c r="AF187" s="33"/>
      <c r="AG187" s="33"/>
      <c r="AH187" s="33"/>
      <c r="AI187" s="33"/>
      <c r="AJ187" s="33"/>
      <c r="AK187" s="33"/>
      <c r="AL187" s="33"/>
      <c r="AM187" s="33"/>
      <c r="AN187" s="33">
        <v>4</v>
      </c>
      <c r="AO187" s="33">
        <v>3</v>
      </c>
      <c r="AP187" s="32">
        <v>4</v>
      </c>
      <c r="AQ187" s="32">
        <v>3</v>
      </c>
      <c r="AR187" s="32">
        <v>2</v>
      </c>
      <c r="AS187" s="32">
        <v>3</v>
      </c>
      <c r="AT187" s="32">
        <v>5</v>
      </c>
      <c r="AU187" s="32">
        <v>4</v>
      </c>
      <c r="AV187" s="32">
        <v>3</v>
      </c>
      <c r="AY187" s="32">
        <v>1</v>
      </c>
      <c r="BF187" s="32">
        <v>82</v>
      </c>
      <c r="BO187" s="32">
        <v>136</v>
      </c>
    </row>
    <row r="188" spans="2:67" s="32" customFormat="1" ht="24.95" customHeight="1">
      <c r="B188" s="51">
        <v>64</v>
      </c>
      <c r="C188" s="51">
        <v>4</v>
      </c>
      <c r="D188" s="67">
        <v>7</v>
      </c>
      <c r="E188" s="55">
        <f t="shared" si="3"/>
        <v>29</v>
      </c>
      <c r="F188" s="131">
        <f>IF(ISBLANK(E188),0,IF(E188=Answers!E188,1,-1))</f>
        <v>1</v>
      </c>
      <c r="G188" s="66">
        <v>5</v>
      </c>
      <c r="H188" s="66">
        <v>3</v>
      </c>
      <c r="I188" s="66">
        <v>4</v>
      </c>
      <c r="J188" s="66">
        <v>4</v>
      </c>
      <c r="K188" s="66">
        <v>5</v>
      </c>
      <c r="L188" s="66">
        <v>3</v>
      </c>
      <c r="M188" s="66">
        <v>4</v>
      </c>
      <c r="N188" s="66">
        <v>4</v>
      </c>
      <c r="O188" s="66">
        <v>2</v>
      </c>
      <c r="P188" s="33"/>
      <c r="Q188" s="68">
        <v>7</v>
      </c>
      <c r="T188" s="33">
        <f t="shared" si="4"/>
        <v>34</v>
      </c>
      <c r="U188" s="33"/>
      <c r="V188" s="33"/>
      <c r="W188" s="33"/>
      <c r="X188" s="33"/>
      <c r="Y188" s="33"/>
      <c r="Z188" s="33"/>
      <c r="AA188" s="33"/>
      <c r="AB188" s="33"/>
      <c r="AC188" s="33"/>
      <c r="AD188" s="33"/>
      <c r="AE188" s="33">
        <v>33</v>
      </c>
      <c r="AF188" s="33"/>
      <c r="AG188" s="33"/>
      <c r="AH188" s="33"/>
      <c r="AI188" s="33"/>
      <c r="AJ188" s="33"/>
      <c r="AK188" s="33"/>
      <c r="AL188" s="33"/>
      <c r="AM188" s="33"/>
      <c r="AN188" s="33">
        <v>5</v>
      </c>
      <c r="AO188" s="33">
        <v>5</v>
      </c>
      <c r="AP188" s="32">
        <v>2</v>
      </c>
      <c r="AQ188" s="32">
        <v>4</v>
      </c>
      <c r="AR188" s="32">
        <v>3</v>
      </c>
      <c r="AS188" s="32">
        <v>4</v>
      </c>
      <c r="AT188" s="32">
        <v>5</v>
      </c>
      <c r="AU188" s="32">
        <v>2</v>
      </c>
      <c r="AV188" s="32">
        <v>3</v>
      </c>
      <c r="AY188" s="32">
        <v>2</v>
      </c>
      <c r="BF188" s="32">
        <v>95</v>
      </c>
      <c r="BO188" s="32">
        <v>137</v>
      </c>
    </row>
    <row r="189" spans="2:67" s="32" customFormat="1" ht="24.95" customHeight="1">
      <c r="B189" s="51">
        <v>65</v>
      </c>
      <c r="C189" s="51">
        <v>4</v>
      </c>
      <c r="D189" s="67">
        <v>7</v>
      </c>
      <c r="E189" s="55">
        <f t="shared" si="3"/>
        <v>25</v>
      </c>
      <c r="F189" s="131">
        <f>IF(ISBLANK(E189),0,IF(E189=Answers!E189,1,-1))</f>
        <v>1</v>
      </c>
      <c r="G189" s="66">
        <v>2</v>
      </c>
      <c r="H189" s="66">
        <v>4</v>
      </c>
      <c r="I189" s="66">
        <v>4</v>
      </c>
      <c r="J189" s="66">
        <v>2</v>
      </c>
      <c r="K189" s="66">
        <v>2</v>
      </c>
      <c r="L189" s="66">
        <v>4</v>
      </c>
      <c r="M189" s="66">
        <v>4</v>
      </c>
      <c r="N189" s="66">
        <v>3</v>
      </c>
      <c r="O189" s="66">
        <v>2</v>
      </c>
      <c r="P189" s="33"/>
      <c r="Q189" s="68">
        <v>8</v>
      </c>
      <c r="T189" s="33">
        <f t="shared" si="4"/>
        <v>27</v>
      </c>
      <c r="U189" s="33"/>
      <c r="V189" s="33"/>
      <c r="W189" s="33"/>
      <c r="X189" s="33"/>
      <c r="Y189" s="33"/>
      <c r="Z189" s="33"/>
      <c r="AA189" s="33"/>
      <c r="AB189" s="33"/>
      <c r="AC189" s="33"/>
      <c r="AD189" s="33"/>
      <c r="AE189" s="33">
        <v>32</v>
      </c>
      <c r="AF189" s="33"/>
      <c r="AG189" s="33"/>
      <c r="AH189" s="33"/>
      <c r="AI189" s="33"/>
      <c r="AJ189" s="33"/>
      <c r="AK189" s="33"/>
      <c r="AL189" s="33"/>
      <c r="AM189" s="33"/>
      <c r="AN189" s="33">
        <v>3</v>
      </c>
      <c r="AO189" s="33">
        <v>3</v>
      </c>
      <c r="AP189" s="32">
        <v>2</v>
      </c>
      <c r="AQ189" s="32">
        <v>5</v>
      </c>
      <c r="AR189" s="32">
        <v>4</v>
      </c>
      <c r="AS189" s="32">
        <v>4</v>
      </c>
      <c r="AT189" s="32">
        <v>5</v>
      </c>
      <c r="AU189" s="32">
        <v>2</v>
      </c>
      <c r="AV189" s="32">
        <v>4</v>
      </c>
      <c r="AY189" s="32">
        <v>2</v>
      </c>
      <c r="BF189" s="32">
        <v>92</v>
      </c>
      <c r="BO189" s="32">
        <v>138</v>
      </c>
    </row>
    <row r="190" spans="2:67" s="32" customFormat="1" ht="24.95" customHeight="1">
      <c r="B190" s="51">
        <v>66</v>
      </c>
      <c r="C190" s="51">
        <v>4</v>
      </c>
      <c r="D190" s="67">
        <v>7</v>
      </c>
      <c r="E190" s="55">
        <f t="shared" si="3"/>
        <v>15</v>
      </c>
      <c r="F190" s="131">
        <f>IF(ISBLANK(E190),0,IF(E190=Answers!E190,1,-1))</f>
        <v>1</v>
      </c>
      <c r="G190" s="66">
        <v>4</v>
      </c>
      <c r="H190" s="66">
        <v>5</v>
      </c>
      <c r="I190" s="66">
        <v>4</v>
      </c>
      <c r="J190" s="66">
        <v>4</v>
      </c>
      <c r="K190" s="66">
        <v>3</v>
      </c>
      <c r="L190" s="66">
        <v>5</v>
      </c>
      <c r="M190" s="66">
        <v>5</v>
      </c>
      <c r="N190" s="66">
        <v>3</v>
      </c>
      <c r="O190" s="66">
        <v>5</v>
      </c>
      <c r="P190" s="33"/>
      <c r="Q190" s="68">
        <v>3</v>
      </c>
      <c r="T190" s="33">
        <f t="shared" si="4"/>
        <v>38</v>
      </c>
      <c r="U190" s="33"/>
      <c r="V190" s="33"/>
      <c r="W190" s="33"/>
      <c r="X190" s="33"/>
      <c r="Y190" s="33"/>
      <c r="Z190" s="33"/>
      <c r="AA190" s="33"/>
      <c r="AB190" s="33"/>
      <c r="AC190" s="33"/>
      <c r="AD190" s="33"/>
      <c r="AE190" s="33">
        <v>30</v>
      </c>
      <c r="AF190" s="33"/>
      <c r="AG190" s="33"/>
      <c r="AH190" s="33"/>
      <c r="AI190" s="33"/>
      <c r="AJ190" s="33"/>
      <c r="AK190" s="33"/>
      <c r="AL190" s="33"/>
      <c r="AM190" s="33"/>
      <c r="AN190" s="33">
        <v>5</v>
      </c>
      <c r="AO190" s="33">
        <v>2</v>
      </c>
      <c r="AP190" s="32">
        <v>4</v>
      </c>
      <c r="AQ190" s="32">
        <v>2</v>
      </c>
      <c r="AR190" s="32">
        <v>3</v>
      </c>
      <c r="AS190" s="32">
        <v>3</v>
      </c>
      <c r="AT190" s="32">
        <v>2</v>
      </c>
      <c r="AU190" s="32">
        <v>4</v>
      </c>
      <c r="AV190" s="32">
        <v>5</v>
      </c>
      <c r="AY190" s="32">
        <v>3</v>
      </c>
      <c r="BF190" s="32">
        <v>92</v>
      </c>
      <c r="BO190" s="32">
        <v>139</v>
      </c>
    </row>
    <row r="191" spans="2:67" s="32" customFormat="1" ht="24.95" customHeight="1">
      <c r="B191" s="51">
        <v>67</v>
      </c>
      <c r="C191" s="51">
        <v>4</v>
      </c>
      <c r="D191" s="67">
        <v>7</v>
      </c>
      <c r="E191" s="55">
        <f t="shared" si="3"/>
        <v>28</v>
      </c>
      <c r="F191" s="131">
        <f>IF(ISBLANK(E191),0,IF(E191=Answers!E191,1,-1))</f>
        <v>1</v>
      </c>
      <c r="G191" s="66">
        <v>3</v>
      </c>
      <c r="H191" s="66">
        <v>4</v>
      </c>
      <c r="I191" s="66">
        <v>3</v>
      </c>
      <c r="J191" s="66">
        <v>4</v>
      </c>
      <c r="K191" s="66">
        <v>2</v>
      </c>
      <c r="L191" s="66">
        <v>5</v>
      </c>
      <c r="M191" s="66">
        <v>4</v>
      </c>
      <c r="N191" s="66">
        <v>3</v>
      </c>
      <c r="O191" s="66">
        <v>5</v>
      </c>
      <c r="P191" s="33"/>
      <c r="Q191" s="68">
        <v>7</v>
      </c>
      <c r="T191" s="33">
        <f t="shared" si="4"/>
        <v>33</v>
      </c>
      <c r="U191" s="33"/>
      <c r="V191" s="33"/>
      <c r="W191" s="33"/>
      <c r="X191" s="33"/>
      <c r="Y191" s="33"/>
      <c r="Z191" s="33"/>
      <c r="AA191" s="33"/>
      <c r="AB191" s="33"/>
      <c r="AC191" s="33"/>
      <c r="AD191" s="33"/>
      <c r="AE191" s="33">
        <v>33</v>
      </c>
      <c r="AF191" s="33"/>
      <c r="AG191" s="33"/>
      <c r="AH191" s="33"/>
      <c r="AI191" s="33"/>
      <c r="AJ191" s="33"/>
      <c r="AK191" s="33"/>
      <c r="AL191" s="33"/>
      <c r="AM191" s="33"/>
      <c r="AN191" s="33">
        <v>2</v>
      </c>
      <c r="AO191" s="33">
        <v>5</v>
      </c>
      <c r="AP191" s="32">
        <v>5</v>
      </c>
      <c r="AQ191" s="32">
        <v>4</v>
      </c>
      <c r="AR191" s="32">
        <v>4</v>
      </c>
      <c r="AS191" s="32">
        <v>2</v>
      </c>
      <c r="AT191" s="32">
        <v>5</v>
      </c>
      <c r="AU191" s="32">
        <v>2</v>
      </c>
      <c r="AV191" s="32">
        <v>4</v>
      </c>
      <c r="AY191" s="32">
        <v>3</v>
      </c>
      <c r="BF191" s="32">
        <v>95</v>
      </c>
      <c r="BO191" s="32">
        <v>140</v>
      </c>
    </row>
    <row r="192" spans="2:67" s="32" customFormat="1" ht="24.95" customHeight="1">
      <c r="B192" s="51">
        <v>68</v>
      </c>
      <c r="C192" s="51">
        <v>4</v>
      </c>
      <c r="D192" s="67">
        <v>7</v>
      </c>
      <c r="E192" s="55">
        <f t="shared" si="3"/>
        <v>29</v>
      </c>
      <c r="F192" s="131">
        <f>IF(ISBLANK(E192),0,IF(E192=Answers!E192,1,-1))</f>
        <v>1</v>
      </c>
      <c r="G192" s="66">
        <v>4</v>
      </c>
      <c r="H192" s="66">
        <v>4</v>
      </c>
      <c r="I192" s="66">
        <v>5</v>
      </c>
      <c r="J192" s="66">
        <v>2</v>
      </c>
      <c r="K192" s="66">
        <v>4</v>
      </c>
      <c r="L192" s="66">
        <v>3</v>
      </c>
      <c r="M192" s="66">
        <v>5</v>
      </c>
      <c r="N192" s="66">
        <v>4</v>
      </c>
      <c r="O192" s="66">
        <v>2</v>
      </c>
      <c r="P192" s="33"/>
      <c r="Q192" s="68">
        <v>7</v>
      </c>
      <c r="T192" s="33">
        <f t="shared" si="4"/>
        <v>33</v>
      </c>
      <c r="U192" s="33"/>
      <c r="V192" s="33"/>
      <c r="W192" s="33"/>
      <c r="X192" s="33"/>
      <c r="Y192" s="33"/>
      <c r="Z192" s="33"/>
      <c r="AA192" s="33"/>
      <c r="AB192" s="33"/>
      <c r="AC192" s="33"/>
      <c r="AD192" s="33"/>
      <c r="AE192" s="33"/>
      <c r="AF192" s="33"/>
      <c r="AG192" s="33"/>
      <c r="AH192" s="33"/>
      <c r="AI192" s="33"/>
      <c r="AJ192" s="33"/>
      <c r="AK192" s="33"/>
      <c r="AL192" s="33"/>
      <c r="AM192" s="33"/>
      <c r="AN192" s="33"/>
      <c r="AO192" s="33"/>
    </row>
    <row r="193" spans="2:41" s="32" customFormat="1" ht="24.95" customHeight="1">
      <c r="B193" s="51">
        <v>69</v>
      </c>
      <c r="C193" s="51">
        <v>4</v>
      </c>
      <c r="D193" s="67">
        <v>7</v>
      </c>
      <c r="E193" s="55">
        <f t="shared" si="3"/>
        <v>31</v>
      </c>
      <c r="F193" s="131">
        <f>IF(ISBLANK(E193),0,IF(E193=Answers!E193,1,-1))</f>
        <v>1</v>
      </c>
      <c r="G193" s="66">
        <v>3</v>
      </c>
      <c r="H193" s="66">
        <v>2</v>
      </c>
      <c r="I193" s="66">
        <v>5</v>
      </c>
      <c r="J193" s="66">
        <v>4</v>
      </c>
      <c r="K193" s="66">
        <v>4</v>
      </c>
      <c r="L193" s="66">
        <v>2</v>
      </c>
      <c r="M193" s="66">
        <v>5</v>
      </c>
      <c r="N193" s="66">
        <v>5</v>
      </c>
      <c r="O193" s="66">
        <v>5</v>
      </c>
      <c r="P193" s="33"/>
      <c r="Q193" s="68">
        <v>7</v>
      </c>
      <c r="T193" s="33">
        <f t="shared" si="4"/>
        <v>35</v>
      </c>
      <c r="U193" s="33"/>
      <c r="V193" s="33"/>
      <c r="W193" s="33"/>
      <c r="X193" s="33"/>
      <c r="Y193" s="33"/>
      <c r="Z193" s="33"/>
      <c r="AA193" s="33"/>
      <c r="AB193" s="33"/>
      <c r="AC193" s="33"/>
      <c r="AD193" s="33"/>
      <c r="AE193" s="33"/>
      <c r="AF193" s="33"/>
      <c r="AG193" s="33"/>
      <c r="AH193" s="33"/>
      <c r="AI193" s="33"/>
      <c r="AJ193" s="33"/>
      <c r="AK193" s="33"/>
      <c r="AL193" s="33"/>
      <c r="AM193" s="33"/>
      <c r="AN193" s="33"/>
      <c r="AO193" s="33"/>
    </row>
    <row r="194" spans="2:41" s="32" customFormat="1" ht="24.95" customHeight="1">
      <c r="B194" s="51">
        <v>70</v>
      </c>
      <c r="C194" s="51">
        <v>4</v>
      </c>
      <c r="D194" s="67">
        <v>7</v>
      </c>
      <c r="E194" s="55">
        <f t="shared" si="3"/>
        <v>20</v>
      </c>
      <c r="F194" s="131">
        <f>IF(ISBLANK(E194),0,IF(E194=Answers!E194,1,-1))</f>
        <v>1</v>
      </c>
      <c r="G194" s="66">
        <v>5</v>
      </c>
      <c r="H194" s="66">
        <v>2</v>
      </c>
      <c r="I194" s="66">
        <v>4</v>
      </c>
      <c r="J194" s="66">
        <v>5</v>
      </c>
      <c r="K194" s="66">
        <v>3</v>
      </c>
      <c r="L194" s="66">
        <v>2</v>
      </c>
      <c r="M194" s="66">
        <v>2</v>
      </c>
      <c r="N194" s="66">
        <v>3</v>
      </c>
      <c r="O194" s="66">
        <v>3</v>
      </c>
      <c r="P194" s="33"/>
      <c r="Q194" s="68">
        <v>5</v>
      </c>
      <c r="T194" s="33">
        <f t="shared" si="4"/>
        <v>29</v>
      </c>
      <c r="U194" s="33"/>
      <c r="V194" s="33"/>
      <c r="W194" s="33"/>
      <c r="X194" s="33"/>
      <c r="Y194" s="33"/>
      <c r="Z194" s="33"/>
      <c r="AA194" s="33"/>
      <c r="AB194" s="33"/>
      <c r="AC194" s="33"/>
      <c r="AD194" s="33"/>
      <c r="AE194" s="33"/>
      <c r="AF194" s="33"/>
      <c r="AG194" s="33"/>
      <c r="AH194" s="33"/>
      <c r="AI194" s="33"/>
      <c r="AJ194" s="33"/>
      <c r="AK194" s="33"/>
      <c r="AL194" s="33"/>
      <c r="AM194" s="33"/>
      <c r="AN194" s="33"/>
      <c r="AO194" s="33"/>
    </row>
    <row r="195" spans="2:41" s="32" customFormat="1" ht="24.95" customHeight="1">
      <c r="B195" s="51">
        <v>71</v>
      </c>
      <c r="C195" s="51">
        <v>4</v>
      </c>
      <c r="D195" s="67">
        <v>7</v>
      </c>
      <c r="E195" s="55">
        <f t="shared" si="3"/>
        <v>19</v>
      </c>
      <c r="F195" s="131">
        <f>IF(ISBLANK(E195),0,IF(E195=Answers!E195,1,-1))</f>
        <v>1</v>
      </c>
      <c r="G195" s="66">
        <v>5</v>
      </c>
      <c r="H195" s="66">
        <v>2</v>
      </c>
      <c r="I195" s="66">
        <v>2</v>
      </c>
      <c r="J195" s="66">
        <v>4</v>
      </c>
      <c r="K195" s="66">
        <v>5</v>
      </c>
      <c r="L195" s="66">
        <v>2</v>
      </c>
      <c r="M195" s="66">
        <v>5</v>
      </c>
      <c r="N195" s="66">
        <v>4</v>
      </c>
      <c r="O195" s="66">
        <v>4</v>
      </c>
      <c r="P195" s="33"/>
      <c r="Q195" s="68">
        <v>4</v>
      </c>
      <c r="T195" s="33">
        <f t="shared" si="4"/>
        <v>33</v>
      </c>
      <c r="U195" s="33"/>
      <c r="V195" s="33"/>
      <c r="W195" s="33"/>
      <c r="X195" s="33"/>
      <c r="Y195" s="33"/>
      <c r="Z195" s="33"/>
      <c r="AA195" s="33"/>
      <c r="AB195" s="33"/>
      <c r="AC195" s="33"/>
      <c r="AD195" s="33"/>
      <c r="AE195" s="33"/>
      <c r="AF195" s="33"/>
      <c r="AG195" s="33"/>
      <c r="AH195" s="33"/>
      <c r="AI195" s="33"/>
      <c r="AJ195" s="33"/>
      <c r="AK195" s="33"/>
      <c r="AL195" s="33"/>
      <c r="AM195" s="33"/>
      <c r="AN195" s="33"/>
      <c r="AO195" s="33"/>
    </row>
    <row r="196" spans="2:41" s="32" customFormat="1" ht="24.95" customHeight="1">
      <c r="B196" s="51">
        <v>72</v>
      </c>
      <c r="C196" s="51">
        <v>4</v>
      </c>
      <c r="D196" s="67">
        <v>7</v>
      </c>
      <c r="E196" s="55">
        <f t="shared" si="3"/>
        <v>26</v>
      </c>
      <c r="F196" s="131">
        <f>IF(ISBLANK(E196),0,IF(E196=Answers!E196,1,-1))</f>
        <v>1</v>
      </c>
      <c r="G196" s="66">
        <v>2</v>
      </c>
      <c r="H196" s="66">
        <v>5</v>
      </c>
      <c r="I196" s="66">
        <v>3</v>
      </c>
      <c r="J196" s="66">
        <v>5</v>
      </c>
      <c r="K196" s="66">
        <v>3</v>
      </c>
      <c r="L196" s="66">
        <v>3</v>
      </c>
      <c r="M196" s="66">
        <v>5</v>
      </c>
      <c r="N196" s="66">
        <v>2</v>
      </c>
      <c r="O196" s="66">
        <v>2</v>
      </c>
      <c r="P196" s="33"/>
      <c r="Q196" s="68">
        <v>7</v>
      </c>
      <c r="T196" s="33">
        <f t="shared" si="4"/>
        <v>30</v>
      </c>
      <c r="U196" s="33"/>
      <c r="V196" s="33"/>
      <c r="W196" s="33"/>
      <c r="X196" s="33"/>
      <c r="Y196" s="33"/>
      <c r="Z196" s="33"/>
      <c r="AA196" s="33"/>
      <c r="AB196" s="33"/>
      <c r="AC196" s="33"/>
      <c r="AD196" s="33"/>
      <c r="AE196" s="33"/>
      <c r="AF196" s="33"/>
      <c r="AG196" s="33"/>
      <c r="AH196" s="33"/>
      <c r="AI196" s="33"/>
      <c r="AJ196" s="33"/>
      <c r="AK196" s="33"/>
      <c r="AL196" s="33"/>
      <c r="AM196" s="33"/>
      <c r="AN196" s="33"/>
      <c r="AO196" s="33"/>
    </row>
    <row r="197" spans="2:41" s="32" customFormat="1" ht="24.95" customHeight="1">
      <c r="B197" s="51">
        <v>73</v>
      </c>
      <c r="C197" s="51">
        <v>4</v>
      </c>
      <c r="D197" s="67">
        <v>7</v>
      </c>
      <c r="E197" s="55">
        <f t="shared" si="3"/>
        <v>18</v>
      </c>
      <c r="F197" s="131">
        <f>IF(ISBLANK(E197),0,IF(E197=Answers!E197,1,-1))</f>
        <v>1</v>
      </c>
      <c r="G197" s="66">
        <v>4</v>
      </c>
      <c r="H197" s="66">
        <v>4</v>
      </c>
      <c r="I197" s="66">
        <v>5</v>
      </c>
      <c r="J197" s="66">
        <v>5</v>
      </c>
      <c r="K197" s="66">
        <v>3</v>
      </c>
      <c r="L197" s="66">
        <v>3</v>
      </c>
      <c r="M197" s="66">
        <v>2</v>
      </c>
      <c r="N197" s="66">
        <v>4</v>
      </c>
      <c r="O197" s="66">
        <v>4</v>
      </c>
      <c r="P197" s="33"/>
      <c r="Q197" s="68">
        <v>4</v>
      </c>
      <c r="T197" s="33">
        <f t="shared" si="4"/>
        <v>34</v>
      </c>
      <c r="U197" s="33"/>
      <c r="V197" s="33"/>
      <c r="W197" s="33"/>
      <c r="X197" s="33"/>
      <c r="Y197" s="33"/>
      <c r="Z197" s="33"/>
      <c r="AA197" s="33"/>
      <c r="AB197" s="33"/>
      <c r="AC197" s="33"/>
      <c r="AD197" s="33"/>
      <c r="AE197" s="33"/>
      <c r="AF197" s="33"/>
      <c r="AG197" s="33"/>
      <c r="AH197" s="33"/>
      <c r="AI197" s="33"/>
      <c r="AJ197" s="33"/>
      <c r="AK197" s="33"/>
      <c r="AL197" s="33"/>
      <c r="AM197" s="33"/>
      <c r="AN197" s="33"/>
      <c r="AO197" s="33"/>
    </row>
    <row r="198" spans="2:41" s="32" customFormat="1" ht="24.95" customHeight="1">
      <c r="B198" s="51">
        <v>74</v>
      </c>
      <c r="C198" s="51">
        <v>4</v>
      </c>
      <c r="D198" s="67">
        <v>7</v>
      </c>
      <c r="E198" s="55">
        <f t="shared" si="3"/>
        <v>15</v>
      </c>
      <c r="F198" s="131">
        <f>IF(ISBLANK(E198),0,IF(E198=Answers!E198,1,-1))</f>
        <v>1</v>
      </c>
      <c r="G198" s="66">
        <v>3</v>
      </c>
      <c r="H198" s="66">
        <v>5</v>
      </c>
      <c r="I198" s="66">
        <v>3</v>
      </c>
      <c r="J198" s="66">
        <v>5</v>
      </c>
      <c r="K198" s="66">
        <v>4</v>
      </c>
      <c r="L198" s="66">
        <v>3</v>
      </c>
      <c r="M198" s="66">
        <v>2</v>
      </c>
      <c r="N198" s="66">
        <v>3</v>
      </c>
      <c r="O198" s="66">
        <v>5</v>
      </c>
      <c r="P198" s="33"/>
      <c r="Q198" s="68">
        <v>3</v>
      </c>
      <c r="T198" s="33">
        <f t="shared" si="4"/>
        <v>33</v>
      </c>
      <c r="U198" s="33"/>
      <c r="V198" s="33"/>
      <c r="W198" s="33"/>
      <c r="X198" s="33"/>
      <c r="Y198" s="33"/>
      <c r="Z198" s="33"/>
      <c r="AA198" s="33"/>
      <c r="AB198" s="33"/>
      <c r="AC198" s="33"/>
      <c r="AD198" s="33"/>
      <c r="AE198" s="33"/>
      <c r="AF198" s="33"/>
      <c r="AG198" s="33"/>
      <c r="AH198" s="33"/>
      <c r="AI198" s="33"/>
      <c r="AJ198" s="33"/>
      <c r="AK198" s="33"/>
      <c r="AL198" s="33"/>
      <c r="AM198" s="33"/>
      <c r="AN198" s="33"/>
      <c r="AO198" s="33"/>
    </row>
    <row r="199" spans="2:41" s="32" customFormat="1" ht="24.95" customHeight="1">
      <c r="B199" s="51">
        <v>75</v>
      </c>
      <c r="C199" s="51">
        <v>4</v>
      </c>
      <c r="D199" s="67">
        <v>7</v>
      </c>
      <c r="E199" s="55">
        <f t="shared" si="3"/>
        <v>15</v>
      </c>
      <c r="F199" s="131">
        <f>IF(ISBLANK(E199),0,IF(E199=Answers!E199,1,-1))</f>
        <v>1</v>
      </c>
      <c r="G199" s="66">
        <v>5</v>
      </c>
      <c r="H199" s="66">
        <v>4</v>
      </c>
      <c r="I199" s="66">
        <v>5</v>
      </c>
      <c r="J199" s="66">
        <v>5</v>
      </c>
      <c r="K199" s="66">
        <v>5</v>
      </c>
      <c r="L199" s="66">
        <v>5</v>
      </c>
      <c r="M199" s="66">
        <v>5</v>
      </c>
      <c r="N199" s="66">
        <v>4</v>
      </c>
      <c r="O199" s="66">
        <v>2</v>
      </c>
      <c r="P199" s="33"/>
      <c r="Q199" s="68">
        <v>3</v>
      </c>
      <c r="T199" s="33">
        <f t="shared" si="4"/>
        <v>40</v>
      </c>
      <c r="U199" s="33"/>
      <c r="V199" s="33"/>
      <c r="W199" s="33"/>
      <c r="X199" s="33"/>
      <c r="Y199" s="33"/>
      <c r="Z199" s="33"/>
      <c r="AA199" s="33"/>
      <c r="AB199" s="33"/>
      <c r="AC199" s="33"/>
      <c r="AD199" s="33"/>
      <c r="AE199" s="33"/>
      <c r="AF199" s="33"/>
      <c r="AG199" s="33"/>
      <c r="AH199" s="33"/>
      <c r="AI199" s="33"/>
      <c r="AJ199" s="33"/>
      <c r="AK199" s="33"/>
      <c r="AL199" s="33"/>
      <c r="AM199" s="33"/>
      <c r="AN199" s="33"/>
      <c r="AO199" s="33"/>
    </row>
    <row r="200" spans="2:41" s="32" customFormat="1" ht="24.95" customHeight="1">
      <c r="B200" s="51">
        <v>76</v>
      </c>
      <c r="C200" s="51">
        <v>4</v>
      </c>
      <c r="D200" s="67">
        <v>7</v>
      </c>
      <c r="E200" s="55">
        <f t="shared" si="3"/>
        <v>28</v>
      </c>
      <c r="F200" s="131">
        <f>IF(ISBLANK(E200),0,IF(E200=Answers!E200,1,-1))</f>
        <v>1</v>
      </c>
      <c r="G200" s="66">
        <v>4</v>
      </c>
      <c r="H200" s="66">
        <v>5</v>
      </c>
      <c r="I200" s="66">
        <v>4</v>
      </c>
      <c r="J200" s="66">
        <v>5</v>
      </c>
      <c r="K200" s="66">
        <v>5</v>
      </c>
      <c r="L200" s="66">
        <v>4</v>
      </c>
      <c r="M200" s="66">
        <v>2</v>
      </c>
      <c r="N200" s="66">
        <v>2</v>
      </c>
      <c r="O200" s="66">
        <v>5</v>
      </c>
      <c r="P200" s="33"/>
      <c r="Q200" s="68">
        <v>6</v>
      </c>
      <c r="T200" s="33">
        <f t="shared" si="4"/>
        <v>36</v>
      </c>
      <c r="U200" s="33"/>
      <c r="V200" s="33"/>
      <c r="W200" s="33"/>
      <c r="X200" s="33"/>
      <c r="Y200" s="33"/>
      <c r="Z200" s="33"/>
      <c r="AA200" s="33"/>
      <c r="AB200" s="33"/>
      <c r="AC200" s="33"/>
      <c r="AD200" s="33"/>
      <c r="AE200" s="33"/>
      <c r="AF200" s="33"/>
      <c r="AG200" s="33"/>
      <c r="AH200" s="33"/>
      <c r="AI200" s="33"/>
      <c r="AJ200" s="33"/>
      <c r="AK200" s="33"/>
      <c r="AL200" s="33"/>
      <c r="AM200" s="33"/>
      <c r="AN200" s="33"/>
      <c r="AO200" s="33"/>
    </row>
    <row r="201" spans="2:41" s="32" customFormat="1" ht="24.95" customHeight="1">
      <c r="B201" s="51">
        <v>77</v>
      </c>
      <c r="C201" s="51">
        <v>4</v>
      </c>
      <c r="D201" s="67">
        <v>7</v>
      </c>
      <c r="E201" s="55">
        <f t="shared" si="3"/>
        <v>20</v>
      </c>
      <c r="F201" s="131">
        <f>IF(ISBLANK(E201),0,IF(E201=Answers!E201,1,-1))</f>
        <v>1</v>
      </c>
      <c r="G201" s="66">
        <v>4</v>
      </c>
      <c r="H201" s="66">
        <v>4</v>
      </c>
      <c r="I201" s="66">
        <v>3</v>
      </c>
      <c r="J201" s="66">
        <v>3</v>
      </c>
      <c r="K201" s="66">
        <v>4</v>
      </c>
      <c r="L201" s="66">
        <v>5</v>
      </c>
      <c r="M201" s="66">
        <v>3</v>
      </c>
      <c r="N201" s="66">
        <v>2</v>
      </c>
      <c r="O201" s="66">
        <v>3</v>
      </c>
      <c r="P201" s="33"/>
      <c r="Q201" s="68">
        <v>5</v>
      </c>
      <c r="T201" s="33">
        <f t="shared" si="4"/>
        <v>31</v>
      </c>
      <c r="U201" s="33"/>
      <c r="V201" s="33"/>
      <c r="W201" s="33"/>
      <c r="X201" s="33"/>
      <c r="Y201" s="33"/>
      <c r="Z201" s="33"/>
      <c r="AA201" s="33"/>
      <c r="AB201" s="33"/>
      <c r="AC201" s="33"/>
      <c r="AD201" s="33"/>
      <c r="AE201" s="33"/>
      <c r="AF201" s="33"/>
      <c r="AG201" s="33"/>
      <c r="AH201" s="33"/>
      <c r="AI201" s="33"/>
      <c r="AJ201" s="33"/>
      <c r="AK201" s="33"/>
      <c r="AL201" s="33"/>
      <c r="AM201" s="33"/>
      <c r="AN201" s="33"/>
      <c r="AO201" s="33"/>
    </row>
    <row r="202" spans="2:41" s="32" customFormat="1" ht="24.95" customHeight="1">
      <c r="B202" s="51">
        <v>78</v>
      </c>
      <c r="C202" s="51">
        <v>4</v>
      </c>
      <c r="D202" s="67">
        <v>7</v>
      </c>
      <c r="E202" s="55">
        <f t="shared" si="3"/>
        <v>25</v>
      </c>
      <c r="F202" s="131">
        <f>IF(ISBLANK(E202),0,IF(E202=Answers!E202,1,-1))</f>
        <v>1</v>
      </c>
      <c r="G202" s="66">
        <v>3</v>
      </c>
      <c r="H202" s="66">
        <v>5</v>
      </c>
      <c r="I202" s="66">
        <v>5</v>
      </c>
      <c r="J202" s="66">
        <v>3</v>
      </c>
      <c r="K202" s="66">
        <v>2</v>
      </c>
      <c r="L202" s="66">
        <v>5</v>
      </c>
      <c r="M202" s="66">
        <v>2</v>
      </c>
      <c r="N202" s="66">
        <v>2</v>
      </c>
      <c r="O202" s="66">
        <v>4</v>
      </c>
      <c r="P202" s="33"/>
      <c r="Q202" s="68">
        <v>6</v>
      </c>
      <c r="T202" s="33">
        <f t="shared" si="4"/>
        <v>31</v>
      </c>
      <c r="U202" s="33"/>
      <c r="V202" s="33"/>
      <c r="W202" s="33"/>
      <c r="X202" s="33"/>
      <c r="Y202" s="33"/>
      <c r="Z202" s="33"/>
      <c r="AA202" s="33"/>
      <c r="AB202" s="33"/>
      <c r="AC202" s="33"/>
      <c r="AD202" s="33"/>
      <c r="AE202" s="33"/>
      <c r="AF202" s="33"/>
      <c r="AG202" s="33"/>
      <c r="AH202" s="33"/>
      <c r="AI202" s="33"/>
      <c r="AJ202" s="33"/>
      <c r="AK202" s="33"/>
      <c r="AL202" s="33"/>
      <c r="AM202" s="33"/>
      <c r="AN202" s="33"/>
      <c r="AO202" s="33"/>
    </row>
    <row r="203" spans="2:41" s="32" customFormat="1" ht="24.95" customHeight="1">
      <c r="B203" s="51">
        <v>79</v>
      </c>
      <c r="C203" s="51">
        <v>4</v>
      </c>
      <c r="D203" s="67">
        <v>7</v>
      </c>
      <c r="E203" s="55">
        <f t="shared" si="3"/>
        <v>26</v>
      </c>
      <c r="F203" s="131">
        <f>IF(ISBLANK(E203),0,IF(E203=Answers!E203,1,-1))</f>
        <v>1</v>
      </c>
      <c r="G203" s="66">
        <v>4</v>
      </c>
      <c r="H203" s="66">
        <v>3</v>
      </c>
      <c r="I203" s="66">
        <v>2</v>
      </c>
      <c r="J203" s="66">
        <v>4</v>
      </c>
      <c r="K203" s="66">
        <v>5</v>
      </c>
      <c r="L203" s="66">
        <v>5</v>
      </c>
      <c r="M203" s="66">
        <v>3</v>
      </c>
      <c r="N203" s="66">
        <v>2</v>
      </c>
      <c r="O203" s="66">
        <v>5</v>
      </c>
      <c r="P203" s="33"/>
      <c r="Q203" s="68">
        <v>6</v>
      </c>
      <c r="T203" s="33">
        <f t="shared" si="4"/>
        <v>33</v>
      </c>
      <c r="U203" s="33"/>
      <c r="V203" s="33"/>
      <c r="W203" s="33"/>
      <c r="X203" s="33"/>
      <c r="Y203" s="33"/>
      <c r="Z203" s="33"/>
      <c r="AA203" s="33"/>
      <c r="AB203" s="33"/>
      <c r="AC203" s="33"/>
      <c r="AD203" s="33"/>
      <c r="AE203" s="33"/>
      <c r="AF203" s="33"/>
      <c r="AG203" s="33"/>
      <c r="AH203" s="33"/>
      <c r="AI203" s="33"/>
      <c r="AJ203" s="33"/>
      <c r="AK203" s="33"/>
      <c r="AL203" s="33"/>
      <c r="AM203" s="33"/>
      <c r="AN203" s="33"/>
      <c r="AO203" s="33"/>
    </row>
    <row r="204" spans="2:41" s="32" customFormat="1" ht="24.95" customHeight="1">
      <c r="B204" s="51">
        <v>80</v>
      </c>
      <c r="C204" s="51">
        <v>4</v>
      </c>
      <c r="D204" s="67">
        <v>7</v>
      </c>
      <c r="E204" s="55">
        <f t="shared" si="3"/>
        <v>34</v>
      </c>
      <c r="F204" s="131">
        <f>IF(ISBLANK(E204),0,IF(E204=Answers!E204,1,-1))</f>
        <v>1</v>
      </c>
      <c r="G204" s="66">
        <v>5</v>
      </c>
      <c r="H204" s="66">
        <v>4</v>
      </c>
      <c r="I204" s="66">
        <v>3</v>
      </c>
      <c r="J204" s="66">
        <v>4</v>
      </c>
      <c r="K204" s="66">
        <v>5</v>
      </c>
      <c r="L204" s="66">
        <v>4</v>
      </c>
      <c r="M204" s="66">
        <v>4</v>
      </c>
      <c r="N204" s="66">
        <v>3</v>
      </c>
      <c r="O204" s="66">
        <v>5</v>
      </c>
      <c r="P204" s="33"/>
      <c r="Q204" s="68">
        <v>8</v>
      </c>
      <c r="T204" s="33">
        <f t="shared" si="4"/>
        <v>37</v>
      </c>
      <c r="U204" s="33"/>
      <c r="V204" s="33"/>
      <c r="W204" s="33"/>
      <c r="X204" s="33"/>
      <c r="Y204" s="33"/>
      <c r="Z204" s="33"/>
      <c r="AA204" s="33"/>
      <c r="AB204" s="33"/>
      <c r="AC204" s="33"/>
      <c r="AD204" s="33"/>
      <c r="AE204" s="33"/>
      <c r="AF204" s="33"/>
      <c r="AG204" s="33"/>
      <c r="AH204" s="33"/>
      <c r="AI204" s="33"/>
      <c r="AJ204" s="33"/>
      <c r="AK204" s="33"/>
      <c r="AL204" s="33"/>
      <c r="AM204" s="33"/>
      <c r="AN204" s="33"/>
      <c r="AO204" s="33"/>
    </row>
    <row r="205" spans="2:41" s="32" customFormat="1" ht="15" customHeight="1" thickBot="1">
      <c r="B205" s="16"/>
      <c r="H205" s="16"/>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row>
    <row r="206" spans="2:41" s="32" customFormat="1" ht="22.5" customHeight="1" thickBot="1">
      <c r="B206" s="57" t="s">
        <v>45</v>
      </c>
      <c r="C206" s="73" t="s">
        <v>46</v>
      </c>
      <c r="D206" s="59"/>
      <c r="H206" s="16"/>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row>
    <row r="207" spans="2:41" s="50" customFormat="1" ht="15" customHeight="1">
      <c r="B207" s="16"/>
      <c r="C207" s="16"/>
      <c r="D207" s="16"/>
      <c r="E207" s="16"/>
      <c r="F207" s="16"/>
      <c r="G207" s="16"/>
      <c r="H207" s="16"/>
    </row>
    <row r="208" spans="2:41" s="32" customFormat="1" ht="15" customHeight="1">
      <c r="B208" s="60" t="s">
        <v>113</v>
      </c>
      <c r="C208" s="61"/>
      <c r="D208" s="16"/>
      <c r="E208" s="16"/>
      <c r="F208" s="16"/>
      <c r="G208" s="16"/>
      <c r="I208" s="16"/>
      <c r="J208" s="50"/>
      <c r="K208" s="50"/>
      <c r="L208" s="50"/>
      <c r="M208" s="50"/>
      <c r="N208" s="50"/>
      <c r="O208" s="50"/>
      <c r="P208" s="50"/>
      <c r="Q208" s="50"/>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row>
    <row r="209" spans="2:41" s="32" customFormat="1" ht="15" customHeight="1">
      <c r="B209" s="61"/>
      <c r="C209" s="61"/>
      <c r="D209" s="16"/>
      <c r="E209" s="16"/>
      <c r="F209" s="16"/>
      <c r="G209" s="16"/>
      <c r="I209" s="16"/>
      <c r="J209" s="50"/>
      <c r="K209" s="50"/>
      <c r="L209" s="50"/>
      <c r="M209" s="50"/>
      <c r="N209" s="50"/>
      <c r="O209" s="50"/>
      <c r="P209" s="50"/>
      <c r="Q209" s="50"/>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row>
    <row r="210" spans="2:41" s="32" customFormat="1" ht="15" customHeight="1">
      <c r="B210" s="60" t="s">
        <v>117</v>
      </c>
      <c r="C210" s="61"/>
      <c r="D210" s="16"/>
      <c r="E210" s="16"/>
      <c r="F210" s="16"/>
      <c r="G210" s="16"/>
      <c r="I210" s="16"/>
      <c r="J210" s="50"/>
      <c r="K210" s="50"/>
      <c r="L210" s="50"/>
      <c r="M210" s="50"/>
      <c r="N210" s="50"/>
      <c r="O210" s="50"/>
      <c r="P210" s="50"/>
      <c r="Q210" s="50"/>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row>
    <row r="211" spans="2:41" s="32" customFormat="1" ht="15" customHeight="1">
      <c r="B211" s="62" t="s">
        <v>118</v>
      </c>
      <c r="C211" s="61"/>
      <c r="D211" s="16"/>
      <c r="E211" s="16"/>
      <c r="F211" s="16"/>
      <c r="G211" s="16"/>
      <c r="I211" s="16"/>
      <c r="J211" s="50"/>
      <c r="K211" s="50"/>
      <c r="L211" s="50"/>
      <c r="M211" s="50"/>
      <c r="N211" s="50"/>
      <c r="O211" s="50"/>
      <c r="P211" s="50"/>
      <c r="Q211" s="50"/>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row>
    <row r="212" spans="2:41" s="32" customFormat="1" ht="15" customHeight="1">
      <c r="B212" s="16"/>
      <c r="C212" s="16"/>
      <c r="D212" s="16"/>
      <c r="E212" s="16"/>
      <c r="F212" s="16"/>
      <c r="G212" s="16"/>
      <c r="I212" s="16"/>
      <c r="J212" s="50"/>
      <c r="K212" s="50"/>
      <c r="L212" s="50"/>
      <c r="M212" s="50"/>
      <c r="N212" s="50"/>
      <c r="O212" s="50"/>
      <c r="P212" s="50"/>
      <c r="Q212" s="50"/>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row>
    <row r="213" spans="2:41" s="32" customFormat="1" ht="15" customHeight="1">
      <c r="B213" s="63" t="s">
        <v>34</v>
      </c>
      <c r="C213" s="61"/>
      <c r="D213" s="50"/>
      <c r="E213" s="50"/>
      <c r="F213" s="50"/>
      <c r="G213" s="50"/>
      <c r="I213" s="16"/>
      <c r="J213" s="50"/>
      <c r="K213" s="50"/>
      <c r="L213" s="50"/>
      <c r="M213" s="50"/>
      <c r="N213" s="50"/>
      <c r="O213" s="50"/>
      <c r="P213" s="50"/>
      <c r="Q213" s="50"/>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row>
    <row r="214" spans="2:41" s="32" customFormat="1" ht="15" customHeight="1">
      <c r="B214" s="61" t="s">
        <v>114</v>
      </c>
      <c r="C214" s="16"/>
      <c r="D214" s="50"/>
      <c r="E214" s="50"/>
      <c r="F214" s="50"/>
      <c r="G214" s="50"/>
      <c r="I214" s="16"/>
      <c r="J214" s="50"/>
      <c r="K214" s="50"/>
      <c r="L214" s="50"/>
      <c r="M214" s="50"/>
      <c r="N214" s="50"/>
      <c r="O214" s="50"/>
      <c r="P214" s="50"/>
      <c r="Q214" s="50"/>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row>
    <row r="215" spans="2:41" s="32" customFormat="1" ht="15" customHeight="1">
      <c r="B215" s="61" t="s">
        <v>115</v>
      </c>
      <c r="C215" s="16"/>
      <c r="D215" s="50"/>
      <c r="E215" s="50"/>
      <c r="F215" s="50"/>
      <c r="G215" s="50"/>
      <c r="I215" s="16"/>
      <c r="J215" s="50"/>
      <c r="K215" s="50"/>
      <c r="L215" s="50"/>
      <c r="M215" s="50"/>
      <c r="N215" s="50"/>
      <c r="O215" s="50"/>
      <c r="P215" s="50"/>
      <c r="Q215" s="50"/>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row>
    <row r="216" spans="2:41" s="32" customFormat="1" ht="15" customHeight="1" thickBot="1">
      <c r="B216" s="61" t="s">
        <v>116</v>
      </c>
      <c r="C216" s="16"/>
      <c r="D216" s="50"/>
      <c r="E216" s="50"/>
      <c r="F216" s="50"/>
      <c r="G216" s="50"/>
      <c r="H216" s="16"/>
      <c r="I216" s="16"/>
      <c r="J216" s="16"/>
      <c r="K216" s="50"/>
      <c r="L216" s="50"/>
      <c r="M216" s="50"/>
      <c r="N216" s="50"/>
      <c r="O216" s="50"/>
      <c r="P216" s="50"/>
      <c r="Q216" s="50"/>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row>
    <row r="217" spans="2:41" s="50" customFormat="1" ht="22.5" customHeight="1" thickBot="1">
      <c r="B217" s="16"/>
      <c r="C217" s="16"/>
      <c r="D217" s="16"/>
      <c r="E217" s="16"/>
      <c r="F217" s="16"/>
      <c r="G217" s="110" t="s">
        <v>90</v>
      </c>
      <c r="H217" s="111"/>
      <c r="I217" s="111"/>
      <c r="J217" s="111"/>
      <c r="K217" s="111"/>
      <c r="L217" s="111"/>
      <c r="M217" s="111"/>
      <c r="N217" s="111"/>
      <c r="O217" s="112"/>
    </row>
    <row r="218" spans="2:41" s="50" customFormat="1" ht="22.5" customHeight="1" thickBot="1">
      <c r="B218" s="47" t="s">
        <v>8</v>
      </c>
      <c r="C218" s="48" t="s">
        <v>9</v>
      </c>
      <c r="D218" s="47" t="s">
        <v>10</v>
      </c>
      <c r="E218" s="64" t="s">
        <v>11</v>
      </c>
      <c r="F218" s="16"/>
      <c r="G218" s="47" t="s">
        <v>12</v>
      </c>
      <c r="H218" s="47" t="s">
        <v>13</v>
      </c>
      <c r="I218" s="47" t="s">
        <v>14</v>
      </c>
      <c r="J218" s="47" t="s">
        <v>15</v>
      </c>
      <c r="K218" s="47" t="s">
        <v>16</v>
      </c>
      <c r="L218" s="47" t="s">
        <v>17</v>
      </c>
      <c r="M218" s="47" t="s">
        <v>18</v>
      </c>
      <c r="N218" s="47" t="s">
        <v>19</v>
      </c>
      <c r="O218" s="47" t="s">
        <v>20</v>
      </c>
      <c r="Q218" s="47" t="s">
        <v>58</v>
      </c>
    </row>
    <row r="219" spans="2:41" s="32" customFormat="1" ht="15" customHeight="1">
      <c r="J219" s="33"/>
      <c r="K219" s="33"/>
      <c r="L219" s="33"/>
      <c r="M219" s="33"/>
      <c r="N219" s="33"/>
      <c r="O219" s="33"/>
      <c r="P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row>
    <row r="220" spans="2:41" s="32" customFormat="1" ht="24.95" customHeight="1">
      <c r="B220" s="65" t="s">
        <v>47</v>
      </c>
      <c r="C220" s="51">
        <v>5</v>
      </c>
      <c r="D220" s="52">
        <v>0</v>
      </c>
      <c r="E220" s="55">
        <v>7</v>
      </c>
      <c r="F220" s="131">
        <f>IF(ISBLANK(E220),0,IF(E220=Answers!E220,1,-1))</f>
        <v>1</v>
      </c>
      <c r="G220" s="66">
        <v>3</v>
      </c>
      <c r="H220" s="66">
        <v>5</v>
      </c>
      <c r="I220" s="66">
        <v>3</v>
      </c>
      <c r="J220" s="66">
        <v>4</v>
      </c>
      <c r="K220" s="66">
        <v>3</v>
      </c>
      <c r="L220" s="66">
        <v>3</v>
      </c>
      <c r="M220" s="66">
        <v>2</v>
      </c>
      <c r="N220" s="66">
        <v>3</v>
      </c>
      <c r="O220" s="66">
        <v>3</v>
      </c>
      <c r="P220" s="33"/>
      <c r="Q220" s="66">
        <v>4</v>
      </c>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row>
    <row r="221" spans="2:41" s="32" customFormat="1" ht="15" customHeight="1">
      <c r="P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row>
    <row r="222" spans="2:41" s="32" customFormat="1" ht="24.95" customHeight="1">
      <c r="B222" s="51">
        <v>81</v>
      </c>
      <c r="C222" s="51">
        <v>5</v>
      </c>
      <c r="D222" s="67">
        <v>8</v>
      </c>
      <c r="E222" s="55">
        <f>SUM(_xlfn.TAKE(_xlfn._xlws.SORT(G222:O222,1,-1,1),,Q222)) - 2 * Q222</f>
        <v>9</v>
      </c>
      <c r="F222" s="131">
        <f>IF(ISBLANK(E222),0,IF(E222=Answers!E222,1,-1))</f>
        <v>1</v>
      </c>
      <c r="G222" s="68">
        <v>2</v>
      </c>
      <c r="H222" s="68">
        <v>5</v>
      </c>
      <c r="I222" s="68">
        <v>4</v>
      </c>
      <c r="J222" s="68">
        <v>5</v>
      </c>
      <c r="K222" s="68">
        <v>4</v>
      </c>
      <c r="L222" s="68">
        <v>2</v>
      </c>
      <c r="M222" s="68">
        <v>3</v>
      </c>
      <c r="N222" s="68">
        <v>3</v>
      </c>
      <c r="O222" s="68">
        <v>5</v>
      </c>
      <c r="P222" s="33"/>
      <c r="Q222" s="68">
        <v>3</v>
      </c>
      <c r="T222" s="33">
        <f>SUM(G222:O222)</f>
        <v>33</v>
      </c>
      <c r="U222" s="33"/>
      <c r="V222" s="33"/>
      <c r="W222" s="33"/>
      <c r="X222" s="33"/>
      <c r="Y222" s="33"/>
      <c r="Z222" s="33"/>
      <c r="AA222" s="33"/>
      <c r="AB222" s="33"/>
      <c r="AC222" s="33"/>
      <c r="AD222" s="33"/>
      <c r="AE222" s="33"/>
      <c r="AF222" s="33"/>
      <c r="AG222" s="33"/>
      <c r="AH222" s="33"/>
      <c r="AI222" s="33"/>
      <c r="AJ222" s="33"/>
      <c r="AK222" s="33"/>
      <c r="AL222" s="33"/>
      <c r="AM222" s="33"/>
      <c r="AN222" s="33"/>
      <c r="AO222" s="33"/>
    </row>
    <row r="223" spans="2:41" s="32" customFormat="1" ht="24.95" customHeight="1">
      <c r="B223" s="51">
        <v>82</v>
      </c>
      <c r="C223" s="51">
        <v>5</v>
      </c>
      <c r="D223" s="67">
        <v>8</v>
      </c>
      <c r="E223" s="55">
        <f t="shared" ref="E223:E241" si="5">SUM(_xlfn.TAKE(_xlfn._xlws.SORT(G223:O223,1,-1,1),,Q223)) - 2 * Q223</f>
        <v>13</v>
      </c>
      <c r="F223" s="131">
        <f>IF(ISBLANK(E223),0,IF(E223=Answers!E223,1,-1))</f>
        <v>1</v>
      </c>
      <c r="G223" s="66">
        <v>2</v>
      </c>
      <c r="H223" s="66">
        <v>5</v>
      </c>
      <c r="I223" s="66">
        <v>2</v>
      </c>
      <c r="J223" s="66">
        <v>3</v>
      </c>
      <c r="K223" s="66">
        <v>4</v>
      </c>
      <c r="L223" s="66">
        <v>4</v>
      </c>
      <c r="M223" s="66">
        <v>5</v>
      </c>
      <c r="N223" s="66">
        <v>5</v>
      </c>
      <c r="O223" s="66">
        <v>2</v>
      </c>
      <c r="P223" s="33"/>
      <c r="Q223" s="68">
        <v>5</v>
      </c>
      <c r="T223" s="33">
        <f t="shared" ref="T223:T241" si="6">SUM(G223:O223)</f>
        <v>32</v>
      </c>
      <c r="U223" s="33"/>
      <c r="V223" s="33"/>
      <c r="W223" s="33"/>
      <c r="X223" s="33"/>
      <c r="Y223" s="33"/>
      <c r="Z223" s="33"/>
      <c r="AA223" s="33"/>
      <c r="AB223" s="33"/>
      <c r="AC223" s="33"/>
      <c r="AD223" s="33"/>
      <c r="AE223" s="33"/>
      <c r="AF223" s="33"/>
      <c r="AG223" s="33"/>
      <c r="AH223" s="33"/>
      <c r="AI223" s="33"/>
      <c r="AJ223" s="33"/>
      <c r="AK223" s="33"/>
      <c r="AL223" s="33"/>
      <c r="AM223" s="33"/>
      <c r="AN223" s="33"/>
      <c r="AO223" s="33"/>
    </row>
    <row r="224" spans="2:41" s="32" customFormat="1" ht="24.95" customHeight="1">
      <c r="B224" s="51">
        <v>83</v>
      </c>
      <c r="C224" s="51">
        <v>5</v>
      </c>
      <c r="D224" s="67">
        <v>8</v>
      </c>
      <c r="E224" s="55">
        <f t="shared" si="5"/>
        <v>13</v>
      </c>
      <c r="F224" s="131">
        <f>IF(ISBLANK(E224),0,IF(E224=Answers!E224,1,-1))</f>
        <v>1</v>
      </c>
      <c r="G224" s="66">
        <v>4</v>
      </c>
      <c r="H224" s="66">
        <v>2</v>
      </c>
      <c r="I224" s="66">
        <v>3</v>
      </c>
      <c r="J224" s="66">
        <v>5</v>
      </c>
      <c r="K224" s="66">
        <v>2</v>
      </c>
      <c r="L224" s="66">
        <v>4</v>
      </c>
      <c r="M224" s="66">
        <v>5</v>
      </c>
      <c r="N224" s="66">
        <v>5</v>
      </c>
      <c r="O224" s="66">
        <v>4</v>
      </c>
      <c r="P224" s="33"/>
      <c r="Q224" s="68">
        <v>5</v>
      </c>
      <c r="T224" s="33">
        <f t="shared" si="6"/>
        <v>34</v>
      </c>
      <c r="U224" s="33"/>
      <c r="V224" s="33"/>
      <c r="W224" s="33"/>
      <c r="X224" s="33"/>
      <c r="Y224" s="33"/>
      <c r="Z224" s="33"/>
      <c r="AA224" s="33"/>
      <c r="AB224" s="33"/>
      <c r="AC224" s="33"/>
      <c r="AD224" s="33"/>
      <c r="AE224" s="33"/>
      <c r="AF224" s="33"/>
      <c r="AG224" s="33"/>
      <c r="AH224" s="33"/>
      <c r="AI224" s="33"/>
      <c r="AJ224" s="33"/>
      <c r="AK224" s="33"/>
      <c r="AL224" s="33"/>
      <c r="AM224" s="33"/>
      <c r="AN224" s="33"/>
      <c r="AO224" s="33"/>
    </row>
    <row r="225" spans="2:41" s="32" customFormat="1" ht="24.95" customHeight="1">
      <c r="B225" s="51">
        <v>84</v>
      </c>
      <c r="C225" s="51">
        <v>5</v>
      </c>
      <c r="D225" s="67">
        <v>8</v>
      </c>
      <c r="E225" s="55">
        <f t="shared" si="5"/>
        <v>10</v>
      </c>
      <c r="F225" s="131">
        <f>IF(ISBLANK(E225),0,IF(E225=Answers!E225,1,-1))</f>
        <v>1</v>
      </c>
      <c r="G225" s="66">
        <v>5</v>
      </c>
      <c r="H225" s="66">
        <v>4</v>
      </c>
      <c r="I225" s="66">
        <v>4</v>
      </c>
      <c r="J225" s="66">
        <v>3</v>
      </c>
      <c r="K225" s="66">
        <v>3</v>
      </c>
      <c r="L225" s="66">
        <v>5</v>
      </c>
      <c r="M225" s="66">
        <v>4</v>
      </c>
      <c r="N225" s="66">
        <v>3</v>
      </c>
      <c r="O225" s="66">
        <v>2</v>
      </c>
      <c r="P225" s="33"/>
      <c r="Q225" s="68">
        <v>4</v>
      </c>
      <c r="T225" s="33">
        <f t="shared" si="6"/>
        <v>33</v>
      </c>
      <c r="U225" s="33"/>
      <c r="V225" s="33"/>
      <c r="W225" s="33"/>
      <c r="X225" s="33"/>
      <c r="Y225" s="33"/>
      <c r="Z225" s="33"/>
      <c r="AA225" s="33"/>
      <c r="AB225" s="33"/>
      <c r="AC225" s="33"/>
      <c r="AD225" s="33"/>
      <c r="AE225" s="33"/>
      <c r="AF225" s="33"/>
      <c r="AG225" s="33"/>
      <c r="AH225" s="33"/>
      <c r="AI225" s="33"/>
      <c r="AJ225" s="33"/>
      <c r="AK225" s="33"/>
      <c r="AL225" s="33"/>
      <c r="AM225" s="33"/>
      <c r="AN225" s="33"/>
      <c r="AO225" s="33"/>
    </row>
    <row r="226" spans="2:41" s="32" customFormat="1" ht="24.95" customHeight="1">
      <c r="B226" s="51">
        <v>85</v>
      </c>
      <c r="C226" s="51">
        <v>5</v>
      </c>
      <c r="D226" s="67">
        <v>8</v>
      </c>
      <c r="E226" s="55">
        <f t="shared" si="5"/>
        <v>6</v>
      </c>
      <c r="F226" s="131">
        <f>IF(ISBLANK(E226),0,IF(E226=Answers!E226,1,-1))</f>
        <v>1</v>
      </c>
      <c r="G226" s="66">
        <v>5</v>
      </c>
      <c r="H226" s="66">
        <v>4</v>
      </c>
      <c r="I226" s="66">
        <v>4</v>
      </c>
      <c r="J226" s="66">
        <v>2</v>
      </c>
      <c r="K226" s="66">
        <v>3</v>
      </c>
      <c r="L226" s="66">
        <v>4</v>
      </c>
      <c r="M226" s="66">
        <v>2</v>
      </c>
      <c r="N226" s="66">
        <v>3</v>
      </c>
      <c r="O226" s="66">
        <v>5</v>
      </c>
      <c r="P226" s="33"/>
      <c r="Q226" s="68">
        <v>2</v>
      </c>
      <c r="T226" s="33">
        <f t="shared" si="6"/>
        <v>32</v>
      </c>
      <c r="U226" s="33"/>
      <c r="V226" s="33"/>
      <c r="W226" s="33"/>
      <c r="X226" s="33"/>
      <c r="Y226" s="33"/>
      <c r="Z226" s="33"/>
      <c r="AA226" s="33"/>
      <c r="AB226" s="33"/>
      <c r="AC226" s="33"/>
      <c r="AD226" s="33"/>
      <c r="AE226" s="33"/>
      <c r="AF226" s="33"/>
      <c r="AG226" s="33"/>
      <c r="AH226" s="33"/>
      <c r="AI226" s="33"/>
      <c r="AJ226" s="33"/>
      <c r="AK226" s="33"/>
      <c r="AL226" s="33"/>
      <c r="AM226" s="33"/>
      <c r="AN226" s="33"/>
      <c r="AO226" s="33"/>
    </row>
    <row r="227" spans="2:41" s="32" customFormat="1" ht="24.95" customHeight="1">
      <c r="B227" s="51">
        <v>86</v>
      </c>
      <c r="C227" s="51">
        <v>5</v>
      </c>
      <c r="D227" s="67">
        <v>8</v>
      </c>
      <c r="E227" s="55">
        <f t="shared" si="5"/>
        <v>12</v>
      </c>
      <c r="F227" s="131">
        <f>IF(ISBLANK(E227),0,IF(E227=Answers!E227,1,-1))</f>
        <v>1</v>
      </c>
      <c r="G227" s="66">
        <v>5</v>
      </c>
      <c r="H227" s="66">
        <v>2</v>
      </c>
      <c r="I227" s="66">
        <v>3</v>
      </c>
      <c r="J227" s="66">
        <v>5</v>
      </c>
      <c r="K227" s="66">
        <v>3</v>
      </c>
      <c r="L227" s="66">
        <v>4</v>
      </c>
      <c r="M227" s="66">
        <v>4</v>
      </c>
      <c r="N227" s="66">
        <v>3</v>
      </c>
      <c r="O227" s="66">
        <v>4</v>
      </c>
      <c r="P227" s="33"/>
      <c r="Q227" s="68">
        <v>5</v>
      </c>
      <c r="T227" s="33">
        <f t="shared" si="6"/>
        <v>33</v>
      </c>
      <c r="U227" s="33"/>
      <c r="V227" s="33"/>
      <c r="W227" s="33"/>
      <c r="X227" s="33"/>
      <c r="Y227" s="33"/>
      <c r="Z227" s="33"/>
      <c r="AA227" s="33"/>
      <c r="AB227" s="33"/>
      <c r="AC227" s="33"/>
      <c r="AD227" s="33"/>
      <c r="AE227" s="33"/>
      <c r="AF227" s="33"/>
      <c r="AG227" s="33"/>
      <c r="AH227" s="33"/>
      <c r="AI227" s="33"/>
      <c r="AJ227" s="33"/>
      <c r="AK227" s="33"/>
      <c r="AL227" s="33"/>
      <c r="AM227" s="33"/>
      <c r="AN227" s="33"/>
      <c r="AO227" s="33"/>
    </row>
    <row r="228" spans="2:41" s="32" customFormat="1" ht="24.95" customHeight="1">
      <c r="B228" s="51">
        <v>87</v>
      </c>
      <c r="C228" s="51">
        <v>5</v>
      </c>
      <c r="D228" s="67">
        <v>8</v>
      </c>
      <c r="E228" s="55">
        <f t="shared" si="5"/>
        <v>3</v>
      </c>
      <c r="F228" s="131">
        <f>IF(ISBLANK(E228),0,IF(E228=Answers!E228,1,-1))</f>
        <v>1</v>
      </c>
      <c r="G228" s="66">
        <v>2</v>
      </c>
      <c r="H228" s="66">
        <v>2</v>
      </c>
      <c r="I228" s="66">
        <v>5</v>
      </c>
      <c r="J228" s="66">
        <v>5</v>
      </c>
      <c r="K228" s="66">
        <v>5</v>
      </c>
      <c r="L228" s="66">
        <v>3</v>
      </c>
      <c r="M228" s="66">
        <v>2</v>
      </c>
      <c r="N228" s="66">
        <v>2</v>
      </c>
      <c r="O228" s="66">
        <v>3</v>
      </c>
      <c r="P228" s="33"/>
      <c r="Q228" s="68">
        <v>1</v>
      </c>
      <c r="T228" s="33">
        <f t="shared" si="6"/>
        <v>29</v>
      </c>
      <c r="U228" s="33"/>
      <c r="V228" s="33"/>
      <c r="W228" s="33"/>
      <c r="X228" s="33"/>
      <c r="Y228" s="33"/>
      <c r="Z228" s="33"/>
      <c r="AA228" s="33"/>
      <c r="AB228" s="33"/>
      <c r="AC228" s="33"/>
      <c r="AD228" s="33"/>
      <c r="AE228" s="33"/>
      <c r="AF228" s="33"/>
      <c r="AG228" s="33"/>
      <c r="AH228" s="33"/>
      <c r="AI228" s="33"/>
      <c r="AJ228" s="33"/>
      <c r="AK228" s="33"/>
      <c r="AL228" s="33"/>
      <c r="AM228" s="33"/>
      <c r="AN228" s="33"/>
      <c r="AO228" s="33"/>
    </row>
    <row r="229" spans="2:41" s="32" customFormat="1" ht="24.95" customHeight="1">
      <c r="B229" s="51">
        <v>88</v>
      </c>
      <c r="C229" s="51">
        <v>5</v>
      </c>
      <c r="D229" s="67">
        <v>8</v>
      </c>
      <c r="E229" s="55">
        <f t="shared" si="5"/>
        <v>6</v>
      </c>
      <c r="F229" s="131">
        <f>IF(ISBLANK(E229),0,IF(E229=Answers!E229,1,-1))</f>
        <v>1</v>
      </c>
      <c r="G229" s="66">
        <v>2</v>
      </c>
      <c r="H229" s="66">
        <v>4</v>
      </c>
      <c r="I229" s="66">
        <v>5</v>
      </c>
      <c r="J229" s="66">
        <v>5</v>
      </c>
      <c r="K229" s="66">
        <v>4</v>
      </c>
      <c r="L229" s="66">
        <v>5</v>
      </c>
      <c r="M229" s="66">
        <v>3</v>
      </c>
      <c r="N229" s="66">
        <v>4</v>
      </c>
      <c r="O229" s="66">
        <v>5</v>
      </c>
      <c r="P229" s="33"/>
      <c r="Q229" s="68">
        <v>2</v>
      </c>
      <c r="T229" s="33">
        <f t="shared" si="6"/>
        <v>37</v>
      </c>
      <c r="U229" s="33"/>
      <c r="V229" s="33"/>
      <c r="W229" s="33"/>
      <c r="X229" s="33"/>
      <c r="Y229" s="33"/>
      <c r="Z229" s="33"/>
      <c r="AA229" s="33"/>
      <c r="AB229" s="33"/>
      <c r="AC229" s="33"/>
      <c r="AD229" s="33"/>
      <c r="AE229" s="33"/>
      <c r="AF229" s="33"/>
      <c r="AG229" s="33"/>
      <c r="AH229" s="33"/>
      <c r="AI229" s="33"/>
      <c r="AJ229" s="33"/>
      <c r="AK229" s="33"/>
      <c r="AL229" s="33"/>
      <c r="AM229" s="33"/>
      <c r="AN229" s="33"/>
      <c r="AO229" s="33"/>
    </row>
    <row r="230" spans="2:41" s="32" customFormat="1" ht="24.95" customHeight="1">
      <c r="B230" s="51">
        <v>89</v>
      </c>
      <c r="C230" s="51">
        <v>5</v>
      </c>
      <c r="D230" s="67">
        <v>8</v>
      </c>
      <c r="E230" s="55">
        <f t="shared" si="5"/>
        <v>9</v>
      </c>
      <c r="F230" s="131">
        <f>IF(ISBLANK(E230),0,IF(E230=Answers!E230,1,-1))</f>
        <v>1</v>
      </c>
      <c r="G230" s="66">
        <v>4</v>
      </c>
      <c r="H230" s="66">
        <v>4</v>
      </c>
      <c r="I230" s="66">
        <v>4</v>
      </c>
      <c r="J230" s="66">
        <v>3</v>
      </c>
      <c r="K230" s="66">
        <v>2</v>
      </c>
      <c r="L230" s="66">
        <v>4</v>
      </c>
      <c r="M230" s="66">
        <v>4</v>
      </c>
      <c r="N230" s="66">
        <v>4</v>
      </c>
      <c r="O230" s="66">
        <v>5</v>
      </c>
      <c r="P230" s="33"/>
      <c r="Q230" s="68">
        <v>4</v>
      </c>
      <c r="T230" s="33">
        <f t="shared" si="6"/>
        <v>34</v>
      </c>
      <c r="U230" s="33"/>
      <c r="V230" s="33"/>
      <c r="W230" s="33"/>
      <c r="X230" s="33"/>
      <c r="Y230" s="33"/>
      <c r="Z230" s="33"/>
      <c r="AA230" s="33"/>
      <c r="AB230" s="33"/>
      <c r="AC230" s="33"/>
      <c r="AD230" s="33"/>
      <c r="AE230" s="33"/>
      <c r="AF230" s="33"/>
      <c r="AG230" s="33"/>
      <c r="AH230" s="33"/>
      <c r="AI230" s="33"/>
      <c r="AJ230" s="33"/>
      <c r="AK230" s="33"/>
      <c r="AL230" s="33"/>
      <c r="AM230" s="33"/>
      <c r="AN230" s="33"/>
      <c r="AO230" s="33"/>
    </row>
    <row r="231" spans="2:41" s="32" customFormat="1" ht="24.95" customHeight="1">
      <c r="B231" s="51">
        <v>90</v>
      </c>
      <c r="C231" s="51">
        <v>5</v>
      </c>
      <c r="D231" s="67">
        <v>8</v>
      </c>
      <c r="E231" s="55">
        <f t="shared" si="5"/>
        <v>15</v>
      </c>
      <c r="F231" s="131">
        <f>IF(ISBLANK(E231),0,IF(E231=Answers!E231,1,-1))</f>
        <v>1</v>
      </c>
      <c r="G231" s="66">
        <v>4</v>
      </c>
      <c r="H231" s="66">
        <v>5</v>
      </c>
      <c r="I231" s="66">
        <v>2</v>
      </c>
      <c r="J231" s="66">
        <v>5</v>
      </c>
      <c r="K231" s="66">
        <v>5</v>
      </c>
      <c r="L231" s="66">
        <v>5</v>
      </c>
      <c r="M231" s="66">
        <v>3</v>
      </c>
      <c r="N231" s="66">
        <v>5</v>
      </c>
      <c r="O231" s="66">
        <v>5</v>
      </c>
      <c r="P231" s="33"/>
      <c r="Q231" s="68">
        <v>5</v>
      </c>
      <c r="T231" s="33">
        <f t="shared" si="6"/>
        <v>39</v>
      </c>
      <c r="U231" s="33"/>
      <c r="V231" s="33"/>
      <c r="W231" s="33"/>
      <c r="X231" s="33"/>
      <c r="Y231" s="33"/>
      <c r="Z231" s="33"/>
      <c r="AA231" s="33"/>
      <c r="AB231" s="33"/>
      <c r="AC231" s="33"/>
      <c r="AD231" s="33"/>
      <c r="AE231" s="33"/>
      <c r="AF231" s="33"/>
      <c r="AG231" s="33"/>
      <c r="AH231" s="33"/>
      <c r="AI231" s="33"/>
      <c r="AJ231" s="33"/>
      <c r="AK231" s="33"/>
      <c r="AL231" s="33"/>
      <c r="AM231" s="33"/>
      <c r="AN231" s="33"/>
      <c r="AO231" s="33"/>
    </row>
    <row r="232" spans="2:41" s="32" customFormat="1" ht="24.95" customHeight="1">
      <c r="B232" s="51">
        <v>91</v>
      </c>
      <c r="C232" s="51">
        <v>5</v>
      </c>
      <c r="D232" s="67">
        <v>8</v>
      </c>
      <c r="E232" s="55">
        <f t="shared" si="5"/>
        <v>6</v>
      </c>
      <c r="F232" s="131">
        <f>IF(ISBLANK(E232),0,IF(E232=Answers!E232,1,-1))</f>
        <v>1</v>
      </c>
      <c r="G232" s="66">
        <v>5</v>
      </c>
      <c r="H232" s="66">
        <v>5</v>
      </c>
      <c r="I232" s="66">
        <v>2</v>
      </c>
      <c r="J232" s="66">
        <v>2</v>
      </c>
      <c r="K232" s="66">
        <v>4</v>
      </c>
      <c r="L232" s="66">
        <v>3</v>
      </c>
      <c r="M232" s="66">
        <v>3</v>
      </c>
      <c r="N232" s="66">
        <v>2</v>
      </c>
      <c r="O232" s="66">
        <v>4</v>
      </c>
      <c r="P232" s="33"/>
      <c r="Q232" s="68">
        <v>2</v>
      </c>
      <c r="T232" s="33">
        <f t="shared" si="6"/>
        <v>30</v>
      </c>
      <c r="U232" s="33"/>
      <c r="V232" s="33"/>
      <c r="W232" s="33"/>
      <c r="X232" s="33"/>
      <c r="Y232" s="33"/>
      <c r="Z232" s="33"/>
      <c r="AA232" s="33"/>
      <c r="AB232" s="33"/>
      <c r="AC232" s="33"/>
      <c r="AD232" s="33"/>
      <c r="AE232" s="33"/>
      <c r="AF232" s="33"/>
      <c r="AG232" s="33"/>
      <c r="AH232" s="33"/>
      <c r="AI232" s="33"/>
      <c r="AJ232" s="33"/>
      <c r="AK232" s="33"/>
      <c r="AL232" s="33"/>
      <c r="AM232" s="33"/>
      <c r="AN232" s="33"/>
      <c r="AO232" s="33"/>
    </row>
    <row r="233" spans="2:41" s="32" customFormat="1" ht="24.95" customHeight="1">
      <c r="B233" s="51">
        <v>92</v>
      </c>
      <c r="C233" s="51">
        <v>5</v>
      </c>
      <c r="D233" s="67">
        <v>8</v>
      </c>
      <c r="E233" s="55">
        <f t="shared" si="5"/>
        <v>15</v>
      </c>
      <c r="F233" s="131">
        <f>IF(ISBLANK(E233),0,IF(E233=Answers!E233,1,-1))</f>
        <v>1</v>
      </c>
      <c r="G233" s="66">
        <v>3</v>
      </c>
      <c r="H233" s="66">
        <v>5</v>
      </c>
      <c r="I233" s="66">
        <v>5</v>
      </c>
      <c r="J233" s="66">
        <v>5</v>
      </c>
      <c r="K233" s="66">
        <v>3</v>
      </c>
      <c r="L233" s="66">
        <v>4</v>
      </c>
      <c r="M233" s="66">
        <v>3</v>
      </c>
      <c r="N233" s="66">
        <v>5</v>
      </c>
      <c r="O233" s="66">
        <v>2</v>
      </c>
      <c r="P233" s="33"/>
      <c r="Q233" s="68">
        <v>6</v>
      </c>
      <c r="T233" s="33">
        <f t="shared" si="6"/>
        <v>35</v>
      </c>
      <c r="U233" s="33"/>
      <c r="V233" s="33"/>
      <c r="W233" s="33"/>
      <c r="X233" s="33"/>
      <c r="Y233" s="33"/>
      <c r="Z233" s="33"/>
      <c r="AA233" s="33"/>
      <c r="AB233" s="33"/>
      <c r="AC233" s="33"/>
      <c r="AD233" s="33"/>
      <c r="AE233" s="33"/>
      <c r="AF233" s="33"/>
      <c r="AG233" s="33"/>
      <c r="AH233" s="33"/>
      <c r="AI233" s="33"/>
      <c r="AJ233" s="33"/>
      <c r="AK233" s="33"/>
      <c r="AL233" s="33"/>
      <c r="AM233" s="33"/>
      <c r="AN233" s="33"/>
      <c r="AO233" s="33"/>
    </row>
    <row r="234" spans="2:41" s="32" customFormat="1" ht="24.95" customHeight="1">
      <c r="B234" s="51">
        <v>93</v>
      </c>
      <c r="C234" s="51">
        <v>5</v>
      </c>
      <c r="D234" s="67">
        <v>8</v>
      </c>
      <c r="E234" s="55">
        <f t="shared" si="5"/>
        <v>11</v>
      </c>
      <c r="F234" s="131">
        <f>IF(ISBLANK(E234),0,IF(E234=Answers!E234,1,-1))</f>
        <v>1</v>
      </c>
      <c r="G234" s="66">
        <v>4</v>
      </c>
      <c r="H234" s="66">
        <v>4</v>
      </c>
      <c r="I234" s="66">
        <v>2</v>
      </c>
      <c r="J234" s="66">
        <v>2</v>
      </c>
      <c r="K234" s="66">
        <v>5</v>
      </c>
      <c r="L234" s="66">
        <v>4</v>
      </c>
      <c r="M234" s="66">
        <v>4</v>
      </c>
      <c r="N234" s="66">
        <v>4</v>
      </c>
      <c r="O234" s="66">
        <v>4</v>
      </c>
      <c r="P234" s="33"/>
      <c r="Q234" s="68">
        <v>5</v>
      </c>
      <c r="T234" s="33">
        <f t="shared" si="6"/>
        <v>33</v>
      </c>
      <c r="U234" s="33"/>
      <c r="V234" s="33"/>
      <c r="W234" s="33"/>
      <c r="X234" s="33"/>
      <c r="Y234" s="33"/>
      <c r="Z234" s="33"/>
      <c r="AA234" s="33"/>
      <c r="AB234" s="33"/>
      <c r="AC234" s="33"/>
      <c r="AD234" s="33"/>
      <c r="AE234" s="33"/>
      <c r="AF234" s="33"/>
      <c r="AG234" s="33"/>
      <c r="AH234" s="33"/>
      <c r="AI234" s="33"/>
      <c r="AJ234" s="33"/>
      <c r="AK234" s="33"/>
      <c r="AL234" s="33"/>
      <c r="AM234" s="33"/>
      <c r="AN234" s="33"/>
      <c r="AO234" s="33"/>
    </row>
    <row r="235" spans="2:41" s="32" customFormat="1" ht="24.95" customHeight="1">
      <c r="B235" s="51">
        <v>94</v>
      </c>
      <c r="C235" s="51">
        <v>5</v>
      </c>
      <c r="D235" s="67">
        <v>8</v>
      </c>
      <c r="E235" s="55">
        <f t="shared" si="5"/>
        <v>9</v>
      </c>
      <c r="F235" s="131">
        <f>IF(ISBLANK(E235),0,IF(E235=Answers!E235,1,-1))</f>
        <v>1</v>
      </c>
      <c r="G235" s="66">
        <v>2</v>
      </c>
      <c r="H235" s="66">
        <v>5</v>
      </c>
      <c r="I235" s="66">
        <v>5</v>
      </c>
      <c r="J235" s="66">
        <v>3</v>
      </c>
      <c r="K235" s="66">
        <v>3</v>
      </c>
      <c r="L235" s="66">
        <v>3</v>
      </c>
      <c r="M235" s="66">
        <v>3</v>
      </c>
      <c r="N235" s="66">
        <v>3</v>
      </c>
      <c r="O235" s="66">
        <v>5</v>
      </c>
      <c r="P235" s="33"/>
      <c r="Q235" s="68">
        <v>3</v>
      </c>
      <c r="T235" s="33">
        <f t="shared" si="6"/>
        <v>32</v>
      </c>
      <c r="U235" s="33"/>
      <c r="V235" s="33"/>
      <c r="W235" s="33"/>
      <c r="X235" s="33"/>
      <c r="Y235" s="33"/>
      <c r="Z235" s="33"/>
      <c r="AA235" s="33"/>
      <c r="AB235" s="33"/>
      <c r="AC235" s="33"/>
      <c r="AD235" s="33"/>
      <c r="AE235" s="33"/>
      <c r="AF235" s="33"/>
      <c r="AG235" s="33"/>
      <c r="AH235" s="33"/>
      <c r="AI235" s="33"/>
      <c r="AJ235" s="33"/>
      <c r="AK235" s="33"/>
      <c r="AL235" s="33"/>
      <c r="AM235" s="33"/>
      <c r="AN235" s="33"/>
      <c r="AO235" s="33"/>
    </row>
    <row r="236" spans="2:41" s="32" customFormat="1" ht="24.95" customHeight="1">
      <c r="B236" s="51">
        <v>95</v>
      </c>
      <c r="C236" s="51">
        <v>5</v>
      </c>
      <c r="D236" s="67">
        <v>8</v>
      </c>
      <c r="E236" s="55">
        <f t="shared" si="5"/>
        <v>11</v>
      </c>
      <c r="F236" s="131">
        <f>IF(ISBLANK(E236),0,IF(E236=Answers!E236,1,-1))</f>
        <v>1</v>
      </c>
      <c r="G236" s="66">
        <v>2</v>
      </c>
      <c r="H236" s="66">
        <v>5</v>
      </c>
      <c r="I236" s="66">
        <v>4</v>
      </c>
      <c r="J236" s="66">
        <v>5</v>
      </c>
      <c r="K236" s="66">
        <v>2</v>
      </c>
      <c r="L236" s="66">
        <v>2</v>
      </c>
      <c r="M236" s="66">
        <v>2</v>
      </c>
      <c r="N236" s="66">
        <v>2</v>
      </c>
      <c r="O236" s="66">
        <v>5</v>
      </c>
      <c r="P236" s="33"/>
      <c r="Q236" s="68">
        <v>4</v>
      </c>
      <c r="T236" s="33">
        <f t="shared" si="6"/>
        <v>29</v>
      </c>
      <c r="U236" s="33"/>
      <c r="V236" s="33"/>
      <c r="W236" s="33"/>
      <c r="X236" s="33"/>
      <c r="Y236" s="33"/>
      <c r="Z236" s="33"/>
      <c r="AA236" s="33"/>
      <c r="AB236" s="33"/>
      <c r="AC236" s="33"/>
      <c r="AD236" s="33"/>
      <c r="AE236" s="33"/>
      <c r="AF236" s="33"/>
      <c r="AG236" s="33"/>
      <c r="AH236" s="33"/>
      <c r="AI236" s="33"/>
      <c r="AJ236" s="33"/>
      <c r="AK236" s="33"/>
      <c r="AL236" s="33"/>
      <c r="AM236" s="33"/>
      <c r="AN236" s="33"/>
      <c r="AO236" s="33"/>
    </row>
    <row r="237" spans="2:41" s="32" customFormat="1" ht="24.95" customHeight="1">
      <c r="B237" s="51">
        <v>96</v>
      </c>
      <c r="C237" s="51">
        <v>5</v>
      </c>
      <c r="D237" s="67">
        <v>8</v>
      </c>
      <c r="E237" s="55">
        <f t="shared" si="5"/>
        <v>3</v>
      </c>
      <c r="F237" s="131">
        <f>IF(ISBLANK(E237),0,IF(E237=Answers!E237,1,-1))</f>
        <v>1</v>
      </c>
      <c r="G237" s="66">
        <v>5</v>
      </c>
      <c r="H237" s="66">
        <v>3</v>
      </c>
      <c r="I237" s="66">
        <v>2</v>
      </c>
      <c r="J237" s="66">
        <v>3</v>
      </c>
      <c r="K237" s="66">
        <v>3</v>
      </c>
      <c r="L237" s="66">
        <v>2</v>
      </c>
      <c r="M237" s="66">
        <v>5</v>
      </c>
      <c r="N237" s="66">
        <v>2</v>
      </c>
      <c r="O237" s="66">
        <v>3</v>
      </c>
      <c r="P237" s="33"/>
      <c r="Q237" s="68">
        <v>1</v>
      </c>
      <c r="T237" s="33">
        <f t="shared" si="6"/>
        <v>28</v>
      </c>
      <c r="U237" s="33"/>
      <c r="V237" s="33"/>
      <c r="W237" s="33"/>
      <c r="X237" s="33"/>
      <c r="Y237" s="33"/>
      <c r="Z237" s="33"/>
      <c r="AA237" s="33"/>
      <c r="AB237" s="33"/>
      <c r="AC237" s="33"/>
      <c r="AD237" s="33"/>
      <c r="AE237" s="33"/>
      <c r="AF237" s="33"/>
      <c r="AG237" s="33"/>
      <c r="AH237" s="33"/>
      <c r="AI237" s="33"/>
      <c r="AJ237" s="33"/>
      <c r="AK237" s="33"/>
      <c r="AL237" s="33"/>
      <c r="AM237" s="33"/>
      <c r="AN237" s="33"/>
      <c r="AO237" s="33"/>
    </row>
    <row r="238" spans="2:41" s="32" customFormat="1" ht="24.95" customHeight="1">
      <c r="B238" s="51">
        <v>97</v>
      </c>
      <c r="C238" s="51">
        <v>5</v>
      </c>
      <c r="D238" s="67">
        <v>8</v>
      </c>
      <c r="E238" s="55">
        <f t="shared" si="5"/>
        <v>6</v>
      </c>
      <c r="F238" s="131">
        <f>IF(ISBLANK(E238),0,IF(E238=Answers!E238,1,-1))</f>
        <v>1</v>
      </c>
      <c r="G238" s="66">
        <v>3</v>
      </c>
      <c r="H238" s="66">
        <v>2</v>
      </c>
      <c r="I238" s="66">
        <v>3</v>
      </c>
      <c r="J238" s="66">
        <v>4</v>
      </c>
      <c r="K238" s="66">
        <v>2</v>
      </c>
      <c r="L238" s="66">
        <v>5</v>
      </c>
      <c r="M238" s="66">
        <v>5</v>
      </c>
      <c r="N238" s="66">
        <v>5</v>
      </c>
      <c r="O238" s="66">
        <v>4</v>
      </c>
      <c r="P238" s="33"/>
      <c r="Q238" s="68">
        <v>2</v>
      </c>
      <c r="T238" s="33">
        <f t="shared" si="6"/>
        <v>33</v>
      </c>
      <c r="U238" s="33"/>
      <c r="V238" s="33"/>
      <c r="W238" s="33"/>
      <c r="X238" s="33"/>
      <c r="Y238" s="33"/>
      <c r="Z238" s="33"/>
      <c r="AA238" s="33"/>
      <c r="AB238" s="33"/>
      <c r="AC238" s="33"/>
      <c r="AD238" s="33"/>
      <c r="AE238" s="33"/>
      <c r="AF238" s="33"/>
      <c r="AG238" s="33"/>
      <c r="AH238" s="33"/>
      <c r="AI238" s="33"/>
      <c r="AJ238" s="33"/>
      <c r="AK238" s="33"/>
      <c r="AL238" s="33"/>
      <c r="AM238" s="33"/>
      <c r="AN238" s="33"/>
      <c r="AO238" s="33"/>
    </row>
    <row r="239" spans="2:41" s="32" customFormat="1" ht="24.95" customHeight="1">
      <c r="B239" s="51">
        <v>98</v>
      </c>
      <c r="C239" s="51">
        <v>5</v>
      </c>
      <c r="D239" s="67">
        <v>8</v>
      </c>
      <c r="E239" s="55">
        <f t="shared" si="5"/>
        <v>10</v>
      </c>
      <c r="F239" s="131">
        <f>IF(ISBLANK(E239),0,IF(E239=Answers!E239,1,-1))</f>
        <v>1</v>
      </c>
      <c r="G239" s="66">
        <v>2</v>
      </c>
      <c r="H239" s="66">
        <v>2</v>
      </c>
      <c r="I239" s="66">
        <v>2</v>
      </c>
      <c r="J239" s="66">
        <v>3</v>
      </c>
      <c r="K239" s="66">
        <v>5</v>
      </c>
      <c r="L239" s="66">
        <v>5</v>
      </c>
      <c r="M239" s="66">
        <v>4</v>
      </c>
      <c r="N239" s="66">
        <v>4</v>
      </c>
      <c r="O239" s="66">
        <v>4</v>
      </c>
      <c r="P239" s="33"/>
      <c r="Q239" s="68">
        <v>4</v>
      </c>
      <c r="T239" s="33">
        <f t="shared" si="6"/>
        <v>31</v>
      </c>
      <c r="U239" s="33"/>
      <c r="V239" s="33"/>
      <c r="W239" s="33"/>
      <c r="X239" s="33"/>
      <c r="Y239" s="33"/>
      <c r="Z239" s="33"/>
      <c r="AA239" s="33"/>
      <c r="AB239" s="33"/>
      <c r="AC239" s="33"/>
      <c r="AD239" s="33"/>
      <c r="AE239" s="33"/>
      <c r="AF239" s="33"/>
      <c r="AG239" s="33"/>
      <c r="AH239" s="33"/>
      <c r="AI239" s="33"/>
      <c r="AJ239" s="33"/>
      <c r="AK239" s="33"/>
      <c r="AL239" s="33"/>
      <c r="AM239" s="33"/>
      <c r="AN239" s="33"/>
      <c r="AO239" s="33"/>
    </row>
    <row r="240" spans="2:41" s="32" customFormat="1" ht="24.95" customHeight="1">
      <c r="B240" s="51">
        <v>99</v>
      </c>
      <c r="C240" s="51">
        <v>5</v>
      </c>
      <c r="D240" s="67">
        <v>8</v>
      </c>
      <c r="E240" s="55">
        <f t="shared" si="5"/>
        <v>3</v>
      </c>
      <c r="F240" s="131">
        <f>IF(ISBLANK(E240),0,IF(E240=Answers!E240,1,-1))</f>
        <v>1</v>
      </c>
      <c r="G240" s="66">
        <v>2</v>
      </c>
      <c r="H240" s="66">
        <v>3</v>
      </c>
      <c r="I240" s="66">
        <v>3</v>
      </c>
      <c r="J240" s="66">
        <v>5</v>
      </c>
      <c r="K240" s="66">
        <v>3</v>
      </c>
      <c r="L240" s="66">
        <v>2</v>
      </c>
      <c r="M240" s="66">
        <v>4</v>
      </c>
      <c r="N240" s="66">
        <v>3</v>
      </c>
      <c r="O240" s="66">
        <v>3</v>
      </c>
      <c r="P240" s="33"/>
      <c r="Q240" s="68">
        <v>1</v>
      </c>
      <c r="T240" s="33">
        <f t="shared" si="6"/>
        <v>28</v>
      </c>
      <c r="U240" s="33"/>
      <c r="V240" s="33"/>
      <c r="W240" s="33"/>
      <c r="X240" s="33"/>
      <c r="Y240" s="33"/>
      <c r="Z240" s="33"/>
      <c r="AA240" s="33"/>
      <c r="AB240" s="33"/>
      <c r="AC240" s="33"/>
      <c r="AD240" s="33"/>
      <c r="AE240" s="33"/>
      <c r="AF240" s="33"/>
      <c r="AG240" s="33"/>
      <c r="AH240" s="33"/>
      <c r="AI240" s="33"/>
      <c r="AJ240" s="33"/>
      <c r="AK240" s="33"/>
      <c r="AL240" s="33"/>
      <c r="AM240" s="33"/>
      <c r="AN240" s="33"/>
      <c r="AO240" s="33"/>
    </row>
    <row r="241" spans="2:90" s="32" customFormat="1" ht="24.95" customHeight="1">
      <c r="B241" s="51">
        <v>100</v>
      </c>
      <c r="C241" s="51">
        <v>5</v>
      </c>
      <c r="D241" s="67">
        <v>8</v>
      </c>
      <c r="E241" s="55">
        <f t="shared" si="5"/>
        <v>3</v>
      </c>
      <c r="F241" s="131">
        <f>IF(ISBLANK(E241),0,IF(E241=Answers!E241,1,-1))</f>
        <v>1</v>
      </c>
      <c r="G241" s="66">
        <v>4</v>
      </c>
      <c r="H241" s="66">
        <v>4</v>
      </c>
      <c r="I241" s="66">
        <v>3</v>
      </c>
      <c r="J241" s="66">
        <v>5</v>
      </c>
      <c r="K241" s="66">
        <v>4</v>
      </c>
      <c r="L241" s="66">
        <v>2</v>
      </c>
      <c r="M241" s="66">
        <v>4</v>
      </c>
      <c r="N241" s="66">
        <v>4</v>
      </c>
      <c r="O241" s="66">
        <v>4</v>
      </c>
      <c r="P241" s="33"/>
      <c r="Q241" s="68">
        <v>1</v>
      </c>
      <c r="T241" s="33">
        <f t="shared" si="6"/>
        <v>34</v>
      </c>
      <c r="U241" s="33"/>
      <c r="V241" s="33"/>
      <c r="W241" s="33"/>
      <c r="X241" s="33"/>
      <c r="Y241" s="33"/>
      <c r="Z241" s="33"/>
      <c r="AA241" s="33"/>
      <c r="AB241" s="33"/>
      <c r="AC241" s="33"/>
      <c r="AD241" s="33"/>
      <c r="AE241" s="33"/>
      <c r="AF241" s="33"/>
      <c r="AG241" s="33"/>
      <c r="AH241" s="33"/>
      <c r="AI241" s="33"/>
      <c r="AJ241" s="33"/>
      <c r="AK241" s="33"/>
      <c r="AL241" s="33"/>
      <c r="AM241" s="33"/>
      <c r="AN241" s="33"/>
      <c r="AO241" s="33"/>
    </row>
    <row r="242" spans="2:90" s="32" customFormat="1" ht="16.5" thickBot="1">
      <c r="H242" s="16"/>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row>
    <row r="243" spans="2:90" s="32" customFormat="1" ht="22.5" customHeight="1" thickBot="1">
      <c r="B243" s="57" t="s">
        <v>48</v>
      </c>
      <c r="C243" s="74" t="s">
        <v>49</v>
      </c>
      <c r="D243" s="75"/>
      <c r="H243" s="16"/>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row>
    <row r="244" spans="2:90" s="32" customFormat="1" ht="15" customHeight="1">
      <c r="H244" s="16"/>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row>
    <row r="245" spans="2:90" s="32" customFormat="1" ht="15" customHeight="1">
      <c r="B245" s="60" t="s">
        <v>135</v>
      </c>
      <c r="C245" s="71"/>
      <c r="H245" s="16"/>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row>
    <row r="246" spans="2:90" s="32" customFormat="1" ht="15" customHeight="1">
      <c r="B246" s="62" t="s">
        <v>119</v>
      </c>
      <c r="C246" s="71"/>
      <c r="H246" s="16"/>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row>
    <row r="247" spans="2:90" s="32" customFormat="1" ht="15" customHeight="1">
      <c r="B247" s="60"/>
      <c r="C247" s="71"/>
      <c r="H247" s="16"/>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row>
    <row r="248" spans="2:90" s="32" customFormat="1" ht="15" customHeight="1">
      <c r="B248" s="60" t="s">
        <v>120</v>
      </c>
      <c r="C248" s="62"/>
      <c r="H248" s="16"/>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row>
    <row r="249" spans="2:90" s="32" customFormat="1" ht="15" customHeight="1">
      <c r="B249" s="76" t="s">
        <v>121</v>
      </c>
      <c r="H249" s="16"/>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row>
    <row r="250" spans="2:90" s="32" customFormat="1" ht="15" customHeight="1">
      <c r="B250" s="60"/>
      <c r="C250" s="71"/>
      <c r="H250" s="16"/>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row>
    <row r="251" spans="2:90" s="32" customFormat="1" ht="15" customHeight="1">
      <c r="B251" s="63" t="s">
        <v>34</v>
      </c>
      <c r="H251" s="16"/>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row>
    <row r="252" spans="2:90" s="32" customFormat="1" ht="15" customHeight="1">
      <c r="B252" s="61" t="s">
        <v>122</v>
      </c>
      <c r="H252" s="16"/>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row>
    <row r="253" spans="2:90" s="32" customFormat="1" ht="15" customHeight="1">
      <c r="B253" s="61" t="s">
        <v>136</v>
      </c>
      <c r="H253" s="16"/>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row>
    <row r="254" spans="2:90" s="32" customFormat="1" ht="15" customHeight="1" thickBot="1">
      <c r="B254" s="61" t="s">
        <v>127</v>
      </c>
      <c r="C254" s="61"/>
      <c r="D254" s="50"/>
      <c r="E254" s="33"/>
      <c r="F254" s="33"/>
      <c r="G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row>
    <row r="255" spans="2:90" s="50" customFormat="1" ht="22.5" customHeight="1" thickBot="1">
      <c r="B255" s="16"/>
      <c r="C255" s="16"/>
      <c r="D255" s="16"/>
      <c r="E255" s="16"/>
      <c r="F255" s="16"/>
      <c r="G255" s="110" t="s">
        <v>90</v>
      </c>
      <c r="H255" s="111"/>
      <c r="I255" s="111"/>
      <c r="J255" s="111"/>
      <c r="K255" s="111"/>
      <c r="L255" s="111"/>
      <c r="M255" s="111"/>
      <c r="N255" s="111"/>
      <c r="O255" s="112"/>
    </row>
    <row r="256" spans="2:90" s="50" customFormat="1" ht="22.5" customHeight="1" thickBot="1">
      <c r="B256" s="47" t="s">
        <v>8</v>
      </c>
      <c r="C256" s="48" t="s">
        <v>9</v>
      </c>
      <c r="D256" s="47" t="s">
        <v>10</v>
      </c>
      <c r="E256" s="64" t="s">
        <v>11</v>
      </c>
      <c r="F256" s="16"/>
      <c r="G256" s="47" t="s">
        <v>12</v>
      </c>
      <c r="H256" s="47" t="s">
        <v>13</v>
      </c>
      <c r="I256" s="47" t="s">
        <v>14</v>
      </c>
      <c r="J256" s="47" t="s">
        <v>15</v>
      </c>
      <c r="K256" s="47" t="s">
        <v>16</v>
      </c>
      <c r="L256" s="47" t="s">
        <v>17</v>
      </c>
      <c r="M256" s="47" t="s">
        <v>18</v>
      </c>
      <c r="N256" s="47" t="s">
        <v>19</v>
      </c>
      <c r="O256" s="47" t="s">
        <v>20</v>
      </c>
      <c r="P256" s="77"/>
      <c r="Q256" s="47" t="s">
        <v>57</v>
      </c>
      <c r="T256" s="77"/>
      <c r="U256" s="77"/>
      <c r="V256" s="77"/>
      <c r="W256" s="77"/>
      <c r="X256" s="77"/>
      <c r="Y256" s="77"/>
      <c r="Z256" s="77"/>
      <c r="AA256" s="77"/>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c r="BF256" s="77"/>
      <c r="BG256" s="77"/>
      <c r="BH256" s="77"/>
      <c r="BI256" s="77"/>
      <c r="BJ256" s="77"/>
      <c r="BK256" s="77"/>
      <c r="BL256" s="77"/>
      <c r="BM256" s="77"/>
      <c r="BN256" s="77"/>
      <c r="BO256" s="77"/>
      <c r="BP256" s="77"/>
      <c r="BQ256" s="77"/>
      <c r="BR256" s="77"/>
      <c r="BS256" s="77"/>
      <c r="BT256" s="77"/>
      <c r="BU256" s="77"/>
      <c r="BV256" s="77"/>
      <c r="BW256" s="77"/>
      <c r="BX256" s="77"/>
      <c r="BY256" s="77"/>
      <c r="BZ256" s="77"/>
      <c r="CA256" s="77"/>
      <c r="CB256" s="77"/>
      <c r="CC256" s="77"/>
      <c r="CD256" s="77"/>
      <c r="CE256" s="77"/>
      <c r="CF256" s="77"/>
      <c r="CG256" s="77"/>
      <c r="CH256" s="77"/>
      <c r="CI256" s="77"/>
      <c r="CJ256" s="77"/>
      <c r="CK256" s="77"/>
      <c r="CL256" s="77"/>
    </row>
    <row r="257" spans="2:90" s="32" customFormat="1" ht="15" customHeight="1">
      <c r="J257" s="33"/>
      <c r="K257" s="33"/>
      <c r="L257" s="33"/>
      <c r="M257" s="33"/>
      <c r="N257" s="33"/>
      <c r="O257" s="33"/>
      <c r="P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row>
    <row r="258" spans="2:90" s="32" customFormat="1" ht="24.95" customHeight="1">
      <c r="B258" s="65" t="s">
        <v>50</v>
      </c>
      <c r="C258" s="51">
        <v>6</v>
      </c>
      <c r="D258" s="52">
        <v>0</v>
      </c>
      <c r="E258" s="55">
        <v>9</v>
      </c>
      <c r="F258" s="131">
        <f>IF(ISBLANK(E258),0,IF(E258=Answers!E258,1,-1))</f>
        <v>1</v>
      </c>
      <c r="G258" s="66">
        <v>3</v>
      </c>
      <c r="H258" s="66">
        <v>5</v>
      </c>
      <c r="I258" s="66">
        <v>3</v>
      </c>
      <c r="J258" s="66">
        <v>4</v>
      </c>
      <c r="K258" s="66">
        <v>3</v>
      </c>
      <c r="L258" s="66">
        <v>3</v>
      </c>
      <c r="M258" s="66">
        <v>2</v>
      </c>
      <c r="N258" s="66">
        <v>3</v>
      </c>
      <c r="O258" s="66">
        <v>3</v>
      </c>
      <c r="P258" s="78"/>
      <c r="Q258" s="66">
        <v>3</v>
      </c>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row>
    <row r="259" spans="2:90" s="32" customFormat="1" ht="15" customHeight="1">
      <c r="P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row>
    <row r="260" spans="2:90" s="32" customFormat="1" ht="24.95" customHeight="1">
      <c r="B260" s="51">
        <v>101</v>
      </c>
      <c r="C260" s="51">
        <v>6</v>
      </c>
      <c r="D260" s="67">
        <v>9</v>
      </c>
      <c r="E260" s="55">
        <f xml:space="preserve"> (MAX(G260:O260) - 2) * Q260</f>
        <v>3</v>
      </c>
      <c r="F260" s="131">
        <f>IF(ISBLANK(E260),0,IF(E260=Answers!E260,1,-1))</f>
        <v>1</v>
      </c>
      <c r="G260" s="68">
        <v>3</v>
      </c>
      <c r="H260" s="68">
        <v>2</v>
      </c>
      <c r="I260" s="68">
        <v>2</v>
      </c>
      <c r="J260" s="68">
        <v>4</v>
      </c>
      <c r="K260" s="68">
        <v>3</v>
      </c>
      <c r="L260" s="68">
        <v>3</v>
      </c>
      <c r="M260" s="68">
        <v>5</v>
      </c>
      <c r="N260" s="68">
        <v>5</v>
      </c>
      <c r="O260" s="68">
        <v>5</v>
      </c>
      <c r="P260" s="78"/>
      <c r="Q260" s="68">
        <v>1</v>
      </c>
      <c r="T260" s="33">
        <f>SUM(G260:O260)</f>
        <v>32</v>
      </c>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row>
    <row r="261" spans="2:90" s="32" customFormat="1" ht="24.95" customHeight="1">
      <c r="B261" s="51">
        <v>102</v>
      </c>
      <c r="C261" s="51">
        <v>6</v>
      </c>
      <c r="D261" s="67">
        <v>9</v>
      </c>
      <c r="E261" s="55">
        <f t="shared" ref="E261:E279" si="7" xml:space="preserve"> (MAX(G261:O261) - 2) * Q261</f>
        <v>9</v>
      </c>
      <c r="F261" s="131">
        <f>IF(ISBLANK(E261),0,IF(E261=Answers!E261,1,-1))</f>
        <v>1</v>
      </c>
      <c r="G261" s="66">
        <v>2</v>
      </c>
      <c r="H261" s="66">
        <v>5</v>
      </c>
      <c r="I261" s="66">
        <v>4</v>
      </c>
      <c r="J261" s="66">
        <v>3</v>
      </c>
      <c r="K261" s="66">
        <v>5</v>
      </c>
      <c r="L261" s="66">
        <v>3</v>
      </c>
      <c r="M261" s="66">
        <v>3</v>
      </c>
      <c r="N261" s="66">
        <v>2</v>
      </c>
      <c r="O261" s="66">
        <v>2</v>
      </c>
      <c r="P261" s="78"/>
      <c r="Q261" s="68">
        <v>3</v>
      </c>
      <c r="T261" s="33">
        <f t="shared" ref="T261:T279" si="8">SUM(G261:O261)</f>
        <v>29</v>
      </c>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row>
    <row r="262" spans="2:90" s="32" customFormat="1" ht="24.95" customHeight="1">
      <c r="B262" s="51">
        <v>103</v>
      </c>
      <c r="C262" s="51">
        <v>6</v>
      </c>
      <c r="D262" s="67">
        <v>9</v>
      </c>
      <c r="E262" s="55">
        <f t="shared" si="7"/>
        <v>6</v>
      </c>
      <c r="F262" s="131">
        <f>IF(ISBLANK(E262),0,IF(E262=Answers!E262,1,-1))</f>
        <v>1</v>
      </c>
      <c r="G262" s="66">
        <v>4</v>
      </c>
      <c r="H262" s="66">
        <v>4</v>
      </c>
      <c r="I262" s="66">
        <v>5</v>
      </c>
      <c r="J262" s="66">
        <v>2</v>
      </c>
      <c r="K262" s="66">
        <v>5</v>
      </c>
      <c r="L262" s="66">
        <v>5</v>
      </c>
      <c r="M262" s="66">
        <v>4</v>
      </c>
      <c r="N262" s="66">
        <v>5</v>
      </c>
      <c r="O262" s="66">
        <v>5</v>
      </c>
      <c r="P262" s="78"/>
      <c r="Q262" s="68">
        <v>2</v>
      </c>
      <c r="T262" s="33">
        <f t="shared" si="8"/>
        <v>39</v>
      </c>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row>
    <row r="263" spans="2:90" s="32" customFormat="1" ht="24.95" customHeight="1">
      <c r="B263" s="51">
        <v>104</v>
      </c>
      <c r="C263" s="51">
        <v>6</v>
      </c>
      <c r="D263" s="67">
        <v>9</v>
      </c>
      <c r="E263" s="55">
        <f t="shared" si="7"/>
        <v>9</v>
      </c>
      <c r="F263" s="131">
        <f>IF(ISBLANK(E263),0,IF(E263=Answers!E263,1,-1))</f>
        <v>1</v>
      </c>
      <c r="G263" s="66">
        <v>3</v>
      </c>
      <c r="H263" s="66">
        <v>3</v>
      </c>
      <c r="I263" s="66">
        <v>2</v>
      </c>
      <c r="J263" s="66">
        <v>4</v>
      </c>
      <c r="K263" s="66">
        <v>5</v>
      </c>
      <c r="L263" s="66">
        <v>4</v>
      </c>
      <c r="M263" s="66">
        <v>4</v>
      </c>
      <c r="N263" s="66">
        <v>4</v>
      </c>
      <c r="O263" s="66">
        <v>4</v>
      </c>
      <c r="P263" s="78"/>
      <c r="Q263" s="68">
        <v>3</v>
      </c>
      <c r="T263" s="33">
        <f t="shared" si="8"/>
        <v>33</v>
      </c>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row>
    <row r="264" spans="2:90" s="32" customFormat="1" ht="24.95" customHeight="1">
      <c r="B264" s="51">
        <v>105</v>
      </c>
      <c r="C264" s="51">
        <v>6</v>
      </c>
      <c r="D264" s="67">
        <v>9</v>
      </c>
      <c r="E264" s="55">
        <f t="shared" si="7"/>
        <v>3</v>
      </c>
      <c r="F264" s="131">
        <f>IF(ISBLANK(E264),0,IF(E264=Answers!E264,1,-1))</f>
        <v>1</v>
      </c>
      <c r="G264" s="66">
        <v>4</v>
      </c>
      <c r="H264" s="66">
        <v>5</v>
      </c>
      <c r="I264" s="66">
        <v>4</v>
      </c>
      <c r="J264" s="66">
        <v>5</v>
      </c>
      <c r="K264" s="66">
        <v>4</v>
      </c>
      <c r="L264" s="66">
        <v>3</v>
      </c>
      <c r="M264" s="66">
        <v>3</v>
      </c>
      <c r="N264" s="66">
        <v>3</v>
      </c>
      <c r="O264" s="66">
        <v>3</v>
      </c>
      <c r="P264" s="78"/>
      <c r="Q264" s="68">
        <v>1</v>
      </c>
      <c r="T264" s="33">
        <f t="shared" si="8"/>
        <v>34</v>
      </c>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row>
    <row r="265" spans="2:90" s="32" customFormat="1" ht="24.95" customHeight="1">
      <c r="B265" s="51">
        <v>106</v>
      </c>
      <c r="C265" s="51">
        <v>6</v>
      </c>
      <c r="D265" s="67">
        <v>9</v>
      </c>
      <c r="E265" s="55">
        <f t="shared" si="7"/>
        <v>3</v>
      </c>
      <c r="F265" s="131">
        <f>IF(ISBLANK(E265),0,IF(E265=Answers!E265,1,-1))</f>
        <v>1</v>
      </c>
      <c r="G265" s="66">
        <v>3</v>
      </c>
      <c r="H265" s="66">
        <v>4</v>
      </c>
      <c r="I265" s="66">
        <v>4</v>
      </c>
      <c r="J265" s="66">
        <v>5</v>
      </c>
      <c r="K265" s="66">
        <v>5</v>
      </c>
      <c r="L265" s="66">
        <v>5</v>
      </c>
      <c r="M265" s="66">
        <v>3</v>
      </c>
      <c r="N265" s="66">
        <v>5</v>
      </c>
      <c r="O265" s="66">
        <v>2</v>
      </c>
      <c r="P265" s="78"/>
      <c r="Q265" s="68">
        <v>1</v>
      </c>
      <c r="T265" s="33">
        <f t="shared" si="8"/>
        <v>36</v>
      </c>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row>
    <row r="266" spans="2:90" s="32" customFormat="1" ht="24.95" customHeight="1">
      <c r="B266" s="51">
        <v>107</v>
      </c>
      <c r="C266" s="51">
        <v>6</v>
      </c>
      <c r="D266" s="67">
        <v>9</v>
      </c>
      <c r="E266" s="55">
        <f t="shared" si="7"/>
        <v>9</v>
      </c>
      <c r="F266" s="131">
        <f>IF(ISBLANK(E266),0,IF(E266=Answers!E266,1,-1))</f>
        <v>1</v>
      </c>
      <c r="G266" s="66">
        <v>5</v>
      </c>
      <c r="H266" s="66">
        <v>2</v>
      </c>
      <c r="I266" s="66">
        <v>4</v>
      </c>
      <c r="J266" s="66">
        <v>4</v>
      </c>
      <c r="K266" s="66">
        <v>3</v>
      </c>
      <c r="L266" s="66">
        <v>5</v>
      </c>
      <c r="M266" s="66">
        <v>4</v>
      </c>
      <c r="N266" s="66">
        <v>3</v>
      </c>
      <c r="O266" s="66">
        <v>3</v>
      </c>
      <c r="P266" s="78"/>
      <c r="Q266" s="68">
        <v>3</v>
      </c>
      <c r="T266" s="33">
        <f t="shared" si="8"/>
        <v>33</v>
      </c>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row>
    <row r="267" spans="2:90" s="32" customFormat="1" ht="24.95" customHeight="1">
      <c r="B267" s="51">
        <v>108</v>
      </c>
      <c r="C267" s="51">
        <v>6</v>
      </c>
      <c r="D267" s="67">
        <v>9</v>
      </c>
      <c r="E267" s="55">
        <f t="shared" si="7"/>
        <v>2</v>
      </c>
      <c r="F267" s="131">
        <f>IF(ISBLANK(E267),0,IF(E267=Answers!E267,1,-1))</f>
        <v>1</v>
      </c>
      <c r="G267" s="66">
        <v>4</v>
      </c>
      <c r="H267" s="66">
        <v>2</v>
      </c>
      <c r="I267" s="66">
        <v>4</v>
      </c>
      <c r="J267" s="66">
        <v>2</v>
      </c>
      <c r="K267" s="66">
        <v>3</v>
      </c>
      <c r="L267" s="66">
        <v>4</v>
      </c>
      <c r="M267" s="66">
        <v>3</v>
      </c>
      <c r="N267" s="66">
        <v>2</v>
      </c>
      <c r="O267" s="66">
        <v>2</v>
      </c>
      <c r="P267" s="78"/>
      <c r="Q267" s="68">
        <v>1</v>
      </c>
      <c r="T267" s="33">
        <f t="shared" si="8"/>
        <v>26</v>
      </c>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row>
    <row r="268" spans="2:90" s="32" customFormat="1" ht="24.95" customHeight="1">
      <c r="B268" s="51">
        <v>109</v>
      </c>
      <c r="C268" s="51">
        <v>6</v>
      </c>
      <c r="D268" s="67">
        <v>9</v>
      </c>
      <c r="E268" s="55">
        <f t="shared" si="7"/>
        <v>9</v>
      </c>
      <c r="F268" s="131">
        <f>IF(ISBLANK(E268),0,IF(E268=Answers!E268,1,-1))</f>
        <v>1</v>
      </c>
      <c r="G268" s="66">
        <v>5</v>
      </c>
      <c r="H268" s="66">
        <v>5</v>
      </c>
      <c r="I268" s="66">
        <v>3</v>
      </c>
      <c r="J268" s="66">
        <v>3</v>
      </c>
      <c r="K268" s="66">
        <v>5</v>
      </c>
      <c r="L268" s="66">
        <v>2</v>
      </c>
      <c r="M268" s="66">
        <v>5</v>
      </c>
      <c r="N268" s="66">
        <v>2</v>
      </c>
      <c r="O268" s="66">
        <v>5</v>
      </c>
      <c r="P268" s="78"/>
      <c r="Q268" s="68">
        <v>3</v>
      </c>
      <c r="T268" s="33">
        <f t="shared" si="8"/>
        <v>35</v>
      </c>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row>
    <row r="269" spans="2:90" s="32" customFormat="1" ht="24.95" customHeight="1">
      <c r="B269" s="51">
        <v>110</v>
      </c>
      <c r="C269" s="51">
        <v>6</v>
      </c>
      <c r="D269" s="67">
        <v>9</v>
      </c>
      <c r="E269" s="55">
        <f t="shared" si="7"/>
        <v>9</v>
      </c>
      <c r="F269" s="131">
        <f>IF(ISBLANK(E269),0,IF(E269=Answers!E269,1,-1))</f>
        <v>1</v>
      </c>
      <c r="G269" s="66">
        <v>5</v>
      </c>
      <c r="H269" s="66">
        <v>4</v>
      </c>
      <c r="I269" s="66">
        <v>3</v>
      </c>
      <c r="J269" s="66">
        <v>3</v>
      </c>
      <c r="K269" s="66">
        <v>4</v>
      </c>
      <c r="L269" s="66">
        <v>5</v>
      </c>
      <c r="M269" s="66">
        <v>5</v>
      </c>
      <c r="N269" s="66">
        <v>3</v>
      </c>
      <c r="O269" s="66">
        <v>2</v>
      </c>
      <c r="P269" s="78"/>
      <c r="Q269" s="68">
        <v>3</v>
      </c>
      <c r="T269" s="33">
        <f t="shared" si="8"/>
        <v>34</v>
      </c>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row>
    <row r="270" spans="2:90" s="32" customFormat="1" ht="24.95" customHeight="1">
      <c r="B270" s="51">
        <v>111</v>
      </c>
      <c r="C270" s="51">
        <v>6</v>
      </c>
      <c r="D270" s="67">
        <v>9</v>
      </c>
      <c r="E270" s="55">
        <f t="shared" si="7"/>
        <v>6</v>
      </c>
      <c r="F270" s="131">
        <f>IF(ISBLANK(E270),0,IF(E270=Answers!E270,1,-1))</f>
        <v>1</v>
      </c>
      <c r="G270" s="66">
        <v>5</v>
      </c>
      <c r="H270" s="66">
        <v>2</v>
      </c>
      <c r="I270" s="66">
        <v>3</v>
      </c>
      <c r="J270" s="66">
        <v>3</v>
      </c>
      <c r="K270" s="66">
        <v>5</v>
      </c>
      <c r="L270" s="66">
        <v>3</v>
      </c>
      <c r="M270" s="66">
        <v>5</v>
      </c>
      <c r="N270" s="66">
        <v>3</v>
      </c>
      <c r="O270" s="66">
        <v>4</v>
      </c>
      <c r="P270" s="78"/>
      <c r="Q270" s="68">
        <v>2</v>
      </c>
      <c r="T270" s="33">
        <f t="shared" si="8"/>
        <v>33</v>
      </c>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row>
    <row r="271" spans="2:90" s="32" customFormat="1" ht="24.95" customHeight="1">
      <c r="B271" s="51">
        <v>112</v>
      </c>
      <c r="C271" s="51">
        <v>6</v>
      </c>
      <c r="D271" s="67">
        <v>9</v>
      </c>
      <c r="E271" s="55">
        <f t="shared" si="7"/>
        <v>9</v>
      </c>
      <c r="F271" s="131">
        <f>IF(ISBLANK(E271),0,IF(E271=Answers!E271,1,-1))</f>
        <v>1</v>
      </c>
      <c r="G271" s="66">
        <v>5</v>
      </c>
      <c r="H271" s="66">
        <v>5</v>
      </c>
      <c r="I271" s="66">
        <v>4</v>
      </c>
      <c r="J271" s="66">
        <v>4</v>
      </c>
      <c r="K271" s="66">
        <v>3</v>
      </c>
      <c r="L271" s="66">
        <v>4</v>
      </c>
      <c r="M271" s="66">
        <v>4</v>
      </c>
      <c r="N271" s="66">
        <v>5</v>
      </c>
      <c r="O271" s="66">
        <v>3</v>
      </c>
      <c r="P271" s="78"/>
      <c r="Q271" s="68">
        <v>3</v>
      </c>
      <c r="T271" s="33">
        <f t="shared" si="8"/>
        <v>37</v>
      </c>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row>
    <row r="272" spans="2:90" s="32" customFormat="1" ht="24.95" customHeight="1">
      <c r="B272" s="51">
        <v>113</v>
      </c>
      <c r="C272" s="51">
        <v>6</v>
      </c>
      <c r="D272" s="67">
        <v>9</v>
      </c>
      <c r="E272" s="55">
        <f t="shared" si="7"/>
        <v>9</v>
      </c>
      <c r="F272" s="131">
        <f>IF(ISBLANK(E272),0,IF(E272=Answers!E272,1,-1))</f>
        <v>1</v>
      </c>
      <c r="G272" s="66">
        <v>4</v>
      </c>
      <c r="H272" s="66">
        <v>4</v>
      </c>
      <c r="I272" s="66">
        <v>5</v>
      </c>
      <c r="J272" s="66">
        <v>3</v>
      </c>
      <c r="K272" s="66">
        <v>5</v>
      </c>
      <c r="L272" s="66">
        <v>2</v>
      </c>
      <c r="M272" s="66">
        <v>3</v>
      </c>
      <c r="N272" s="66">
        <v>2</v>
      </c>
      <c r="O272" s="66">
        <v>4</v>
      </c>
      <c r="P272" s="78"/>
      <c r="Q272" s="68">
        <v>3</v>
      </c>
      <c r="T272" s="33">
        <f t="shared" si="8"/>
        <v>32</v>
      </c>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row>
    <row r="273" spans="2:90" s="32" customFormat="1" ht="24.95" customHeight="1">
      <c r="B273" s="51">
        <v>114</v>
      </c>
      <c r="C273" s="51">
        <v>6</v>
      </c>
      <c r="D273" s="67">
        <v>9</v>
      </c>
      <c r="E273" s="55">
        <f t="shared" si="7"/>
        <v>3</v>
      </c>
      <c r="F273" s="131">
        <f>IF(ISBLANK(E273),0,IF(E273=Answers!E273,1,-1))</f>
        <v>1</v>
      </c>
      <c r="G273" s="66">
        <v>2</v>
      </c>
      <c r="H273" s="66">
        <v>3</v>
      </c>
      <c r="I273" s="66">
        <v>5</v>
      </c>
      <c r="J273" s="66">
        <v>5</v>
      </c>
      <c r="K273" s="66">
        <v>2</v>
      </c>
      <c r="L273" s="66">
        <v>2</v>
      </c>
      <c r="M273" s="66">
        <v>2</v>
      </c>
      <c r="N273" s="66">
        <v>2</v>
      </c>
      <c r="O273" s="66">
        <v>5</v>
      </c>
      <c r="P273" s="78"/>
      <c r="Q273" s="68">
        <v>1</v>
      </c>
      <c r="T273" s="33">
        <f t="shared" si="8"/>
        <v>28</v>
      </c>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row>
    <row r="274" spans="2:90" s="32" customFormat="1" ht="24.95" customHeight="1">
      <c r="B274" s="51">
        <v>115</v>
      </c>
      <c r="C274" s="51">
        <v>6</v>
      </c>
      <c r="D274" s="67">
        <v>9</v>
      </c>
      <c r="E274" s="55">
        <f t="shared" si="7"/>
        <v>9</v>
      </c>
      <c r="F274" s="131">
        <f>IF(ISBLANK(E274),0,IF(E274=Answers!E274,1,-1))</f>
        <v>1</v>
      </c>
      <c r="G274" s="66">
        <v>3</v>
      </c>
      <c r="H274" s="66">
        <v>5</v>
      </c>
      <c r="I274" s="66">
        <v>2</v>
      </c>
      <c r="J274" s="66">
        <v>2</v>
      </c>
      <c r="K274" s="66">
        <v>5</v>
      </c>
      <c r="L274" s="66">
        <v>3</v>
      </c>
      <c r="M274" s="66">
        <v>2</v>
      </c>
      <c r="N274" s="66">
        <v>4</v>
      </c>
      <c r="O274" s="66">
        <v>4</v>
      </c>
      <c r="P274" s="78"/>
      <c r="Q274" s="68">
        <v>3</v>
      </c>
      <c r="T274" s="33">
        <f t="shared" si="8"/>
        <v>30</v>
      </c>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row>
    <row r="275" spans="2:90" s="32" customFormat="1" ht="24.95" customHeight="1">
      <c r="B275" s="51">
        <v>116</v>
      </c>
      <c r="C275" s="51">
        <v>6</v>
      </c>
      <c r="D275" s="67">
        <v>9</v>
      </c>
      <c r="E275" s="55">
        <f t="shared" si="7"/>
        <v>9</v>
      </c>
      <c r="F275" s="131">
        <f>IF(ISBLANK(E275),0,IF(E275=Answers!E275,1,-1))</f>
        <v>1</v>
      </c>
      <c r="G275" s="66">
        <v>5</v>
      </c>
      <c r="H275" s="66">
        <v>5</v>
      </c>
      <c r="I275" s="66">
        <v>3</v>
      </c>
      <c r="J275" s="66">
        <v>2</v>
      </c>
      <c r="K275" s="66">
        <v>4</v>
      </c>
      <c r="L275" s="66">
        <v>4</v>
      </c>
      <c r="M275" s="66">
        <v>5</v>
      </c>
      <c r="N275" s="66">
        <v>3</v>
      </c>
      <c r="O275" s="66">
        <v>5</v>
      </c>
      <c r="P275" s="78"/>
      <c r="Q275" s="68">
        <v>3</v>
      </c>
      <c r="T275" s="33">
        <f t="shared" si="8"/>
        <v>36</v>
      </c>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row>
    <row r="276" spans="2:90" s="32" customFormat="1" ht="24.95" customHeight="1">
      <c r="B276" s="51">
        <v>117</v>
      </c>
      <c r="C276" s="51">
        <v>6</v>
      </c>
      <c r="D276" s="67">
        <v>9</v>
      </c>
      <c r="E276" s="55">
        <f t="shared" si="7"/>
        <v>3</v>
      </c>
      <c r="F276" s="131">
        <f>IF(ISBLANK(E276),0,IF(E276=Answers!E276,1,-1))</f>
        <v>1</v>
      </c>
      <c r="G276" s="66">
        <v>2</v>
      </c>
      <c r="H276" s="66">
        <v>5</v>
      </c>
      <c r="I276" s="66">
        <v>4</v>
      </c>
      <c r="J276" s="66">
        <v>3</v>
      </c>
      <c r="K276" s="66">
        <v>3</v>
      </c>
      <c r="L276" s="66">
        <v>5</v>
      </c>
      <c r="M276" s="66">
        <v>5</v>
      </c>
      <c r="N276" s="66">
        <v>5</v>
      </c>
      <c r="O276" s="66">
        <v>3</v>
      </c>
      <c r="P276" s="78"/>
      <c r="Q276" s="68">
        <v>1</v>
      </c>
      <c r="T276" s="33">
        <f t="shared" si="8"/>
        <v>35</v>
      </c>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row>
    <row r="277" spans="2:90" s="32" customFormat="1" ht="24.95" customHeight="1">
      <c r="B277" s="51">
        <v>118</v>
      </c>
      <c r="C277" s="51">
        <v>6</v>
      </c>
      <c r="D277" s="67">
        <v>9</v>
      </c>
      <c r="E277" s="55">
        <f t="shared" si="7"/>
        <v>6</v>
      </c>
      <c r="F277" s="131">
        <f>IF(ISBLANK(E277),0,IF(E277=Answers!E277,1,-1))</f>
        <v>1</v>
      </c>
      <c r="G277" s="66">
        <v>5</v>
      </c>
      <c r="H277" s="66">
        <v>2</v>
      </c>
      <c r="I277" s="66">
        <v>3</v>
      </c>
      <c r="J277" s="66">
        <v>5</v>
      </c>
      <c r="K277" s="66">
        <v>3</v>
      </c>
      <c r="L277" s="66">
        <v>2</v>
      </c>
      <c r="M277" s="66">
        <v>5</v>
      </c>
      <c r="N277" s="66">
        <v>4</v>
      </c>
      <c r="O277" s="66">
        <v>3</v>
      </c>
      <c r="P277" s="78"/>
      <c r="Q277" s="68">
        <v>2</v>
      </c>
      <c r="T277" s="33">
        <f t="shared" si="8"/>
        <v>32</v>
      </c>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row>
    <row r="278" spans="2:90" s="32" customFormat="1" ht="24.95" customHeight="1">
      <c r="B278" s="51">
        <v>119</v>
      </c>
      <c r="C278" s="51">
        <v>6</v>
      </c>
      <c r="D278" s="67">
        <v>9</v>
      </c>
      <c r="E278" s="55">
        <f t="shared" si="7"/>
        <v>6</v>
      </c>
      <c r="F278" s="131">
        <f>IF(ISBLANK(E278),0,IF(E278=Answers!E278,1,-1))</f>
        <v>1</v>
      </c>
      <c r="G278" s="66">
        <v>4</v>
      </c>
      <c r="H278" s="66">
        <v>2</v>
      </c>
      <c r="I278" s="66">
        <v>3</v>
      </c>
      <c r="J278" s="66">
        <v>3</v>
      </c>
      <c r="K278" s="66">
        <v>5</v>
      </c>
      <c r="L278" s="66">
        <v>4</v>
      </c>
      <c r="M278" s="66">
        <v>3</v>
      </c>
      <c r="N278" s="66">
        <v>5</v>
      </c>
      <c r="O278" s="66">
        <v>5</v>
      </c>
      <c r="P278" s="78"/>
      <c r="Q278" s="68">
        <v>2</v>
      </c>
      <c r="T278" s="33">
        <f t="shared" si="8"/>
        <v>34</v>
      </c>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row>
    <row r="279" spans="2:90" s="32" customFormat="1" ht="24.95" customHeight="1">
      <c r="B279" s="51">
        <v>120</v>
      </c>
      <c r="C279" s="51">
        <v>6</v>
      </c>
      <c r="D279" s="67">
        <v>9</v>
      </c>
      <c r="E279" s="55">
        <f t="shared" si="7"/>
        <v>9</v>
      </c>
      <c r="F279" s="131">
        <f>IF(ISBLANK(E279),0,IF(E279=Answers!E279,1,-1))</f>
        <v>1</v>
      </c>
      <c r="G279" s="66">
        <v>2</v>
      </c>
      <c r="H279" s="66">
        <v>5</v>
      </c>
      <c r="I279" s="66">
        <v>3</v>
      </c>
      <c r="J279" s="66">
        <v>3</v>
      </c>
      <c r="K279" s="66">
        <v>4</v>
      </c>
      <c r="L279" s="66">
        <v>2</v>
      </c>
      <c r="M279" s="66">
        <v>3</v>
      </c>
      <c r="N279" s="66">
        <v>3</v>
      </c>
      <c r="O279" s="66">
        <v>5</v>
      </c>
      <c r="P279" s="78"/>
      <c r="Q279" s="68">
        <v>3</v>
      </c>
      <c r="T279" s="33">
        <f t="shared" si="8"/>
        <v>30</v>
      </c>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row>
    <row r="280" spans="2:90" s="32" customFormat="1" ht="15.75" thickBot="1">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row>
    <row r="281" spans="2:90" s="32" customFormat="1" ht="22.5" customHeight="1" thickBot="1">
      <c r="B281" s="57" t="s">
        <v>51</v>
      </c>
      <c r="C281" s="79" t="s">
        <v>52</v>
      </c>
      <c r="D281" s="59"/>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row>
    <row r="282" spans="2:90" s="32" customFormat="1" ht="15" customHeight="1">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row>
    <row r="283" spans="2:90" s="32" customFormat="1" ht="15" customHeight="1">
      <c r="B283" s="60" t="s">
        <v>137</v>
      </c>
      <c r="C283" s="71"/>
      <c r="D283" s="16"/>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row>
    <row r="284" spans="2:90" s="32" customFormat="1" ht="15" customHeight="1">
      <c r="B284" s="62" t="s">
        <v>138</v>
      </c>
      <c r="C284" s="71"/>
      <c r="D284" s="16"/>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row>
    <row r="285" spans="2:90" s="32" customFormat="1" ht="15" customHeight="1">
      <c r="B285" s="62" t="s">
        <v>139</v>
      </c>
      <c r="C285" s="71"/>
      <c r="D285" s="16"/>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row>
    <row r="286" spans="2:90" s="32" customFormat="1" ht="15" customHeight="1">
      <c r="B286" s="62"/>
      <c r="C286" s="71"/>
      <c r="D286" s="16"/>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row>
    <row r="287" spans="2:90" s="32" customFormat="1" ht="15" customHeight="1">
      <c r="B287" s="60" t="s">
        <v>140</v>
      </c>
      <c r="C287" s="71"/>
      <c r="D287" s="16"/>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row>
    <row r="288" spans="2:90" s="32" customFormat="1" ht="15" customHeight="1">
      <c r="B288" s="62" t="s">
        <v>142</v>
      </c>
      <c r="C288" s="71"/>
      <c r="D288" s="16"/>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row>
    <row r="289" spans="2:141" s="32" customFormat="1" ht="15" customHeight="1">
      <c r="B289" s="76" t="s">
        <v>141</v>
      </c>
      <c r="C289" s="71"/>
      <c r="D289" s="16"/>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row>
    <row r="290" spans="2:141" s="32" customFormat="1" ht="15" customHeight="1">
      <c r="B290" s="62" t="s">
        <v>143</v>
      </c>
      <c r="C290" s="71"/>
      <c r="D290" s="16"/>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row>
    <row r="291" spans="2:141" s="32" customFormat="1" ht="15" customHeight="1">
      <c r="B291" s="62" t="s">
        <v>144</v>
      </c>
      <c r="C291" s="71"/>
      <c r="D291" s="16"/>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row>
    <row r="292" spans="2:141" s="32" customFormat="1" ht="15" customHeight="1">
      <c r="C292" s="62"/>
      <c r="D292" s="16"/>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row>
    <row r="293" spans="2:141" s="83" customFormat="1" ht="15" customHeight="1">
      <c r="B293" s="63" t="s">
        <v>34</v>
      </c>
      <c r="C293" s="80"/>
      <c r="D293" s="81"/>
      <c r="E293" s="82"/>
      <c r="F293" s="82"/>
      <c r="G293" s="82"/>
    </row>
    <row r="294" spans="2:141" s="32" customFormat="1" ht="15" customHeight="1">
      <c r="B294" s="61" t="s">
        <v>123</v>
      </c>
      <c r="D294" s="50"/>
      <c r="E294" s="33"/>
      <c r="F294" s="33"/>
      <c r="G294" s="33"/>
      <c r="K294" s="8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row>
    <row r="295" spans="2:141" s="32" customFormat="1" ht="15" customHeight="1">
      <c r="B295" s="61" t="s">
        <v>124</v>
      </c>
      <c r="D295" s="50"/>
      <c r="E295" s="33"/>
      <c r="F295" s="33"/>
      <c r="G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row>
    <row r="296" spans="2:141" s="32" customFormat="1" ht="15" customHeight="1" thickBot="1">
      <c r="B296" s="61" t="s">
        <v>125</v>
      </c>
      <c r="D296" s="50"/>
      <c r="E296" s="33"/>
      <c r="F296" s="33"/>
      <c r="G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row>
    <row r="297" spans="2:141" s="50" customFormat="1" ht="22.5" customHeight="1" thickBot="1">
      <c r="B297" s="16"/>
      <c r="C297" s="16"/>
      <c r="D297" s="16"/>
      <c r="E297" s="16"/>
      <c r="F297" s="16"/>
      <c r="G297" s="110" t="s">
        <v>90</v>
      </c>
      <c r="H297" s="111"/>
      <c r="I297" s="111"/>
      <c r="J297" s="111"/>
      <c r="K297" s="111"/>
      <c r="L297" s="111"/>
      <c r="M297" s="111"/>
      <c r="N297" s="111"/>
      <c r="O297" s="112"/>
      <c r="Q297" s="33"/>
      <c r="R297" s="33"/>
      <c r="S297" s="33"/>
      <c r="T297" s="33"/>
      <c r="U297" s="33"/>
      <c r="V297" s="33"/>
      <c r="W297" s="33"/>
      <c r="X297" s="33"/>
      <c r="Y297" s="33"/>
      <c r="Z297" s="33"/>
      <c r="AA297" s="33"/>
      <c r="AB297" s="33"/>
      <c r="AC297" s="33"/>
      <c r="AD297" s="33"/>
      <c r="AE297" s="33"/>
      <c r="AF297" s="33"/>
      <c r="AG297" s="33"/>
      <c r="AH297" s="33"/>
    </row>
    <row r="298" spans="2:141" s="50" customFormat="1" ht="22.5" customHeight="1" thickBot="1">
      <c r="B298" s="47" t="s">
        <v>8</v>
      </c>
      <c r="C298" s="48" t="s">
        <v>9</v>
      </c>
      <c r="D298" s="47" t="s">
        <v>10</v>
      </c>
      <c r="E298" s="64" t="s">
        <v>11</v>
      </c>
      <c r="F298" s="16"/>
      <c r="G298" s="47" t="s">
        <v>12</v>
      </c>
      <c r="H298" s="47" t="s">
        <v>13</v>
      </c>
      <c r="I298" s="47" t="s">
        <v>14</v>
      </c>
      <c r="J298" s="47" t="s">
        <v>15</v>
      </c>
      <c r="K298" s="47" t="s">
        <v>16</v>
      </c>
      <c r="L298" s="47" t="s">
        <v>17</v>
      </c>
      <c r="M298" s="47" t="s">
        <v>18</v>
      </c>
      <c r="N298" s="47" t="s">
        <v>19</v>
      </c>
      <c r="O298" s="47" t="s">
        <v>20</v>
      </c>
      <c r="P298" s="33"/>
      <c r="Q298" s="33"/>
      <c r="R298" s="33"/>
      <c r="S298" s="33" t="s">
        <v>58</v>
      </c>
      <c r="T298" s="33"/>
      <c r="U298" s="33"/>
      <c r="V298" s="33"/>
      <c r="W298" s="33"/>
      <c r="X298" s="33"/>
      <c r="Y298" s="33"/>
      <c r="Z298" s="33"/>
      <c r="AA298" s="33"/>
      <c r="AB298" s="33"/>
      <c r="AC298" s="33"/>
      <c r="AD298" s="33"/>
      <c r="AE298" s="32" t="s">
        <v>156</v>
      </c>
      <c r="AF298" s="32"/>
      <c r="AG298" s="32"/>
      <c r="AH298" s="32"/>
      <c r="AI298" s="32"/>
      <c r="AJ298" s="32"/>
      <c r="AK298" s="32"/>
      <c r="AL298" s="32"/>
      <c r="AM298" s="32"/>
      <c r="AN298" s="32"/>
      <c r="AO298" s="32"/>
      <c r="AP298" s="32"/>
      <c r="AQ298" s="32"/>
      <c r="BC298" s="32"/>
      <c r="BD298" s="32"/>
      <c r="BE298" s="32"/>
      <c r="BF298" s="32"/>
      <c r="BG298" s="32"/>
      <c r="BH298" s="32"/>
      <c r="BI298" s="32"/>
      <c r="BJ298" s="32"/>
      <c r="BK298" s="32"/>
      <c r="BL298" s="32"/>
      <c r="BM298" s="32"/>
      <c r="BN298" s="32"/>
      <c r="BO298" s="32"/>
      <c r="BP298" s="32"/>
      <c r="BQ298" s="32"/>
      <c r="BR298" s="32"/>
      <c r="BS298" s="32"/>
      <c r="BT298" s="32"/>
      <c r="BU298" s="32"/>
      <c r="BV298" s="32"/>
      <c r="BW298" s="32"/>
      <c r="BX298" s="32"/>
      <c r="BY298" s="32"/>
      <c r="BZ298" s="32"/>
      <c r="CA298" s="32"/>
      <c r="CB298" s="32"/>
      <c r="CC298" s="32"/>
      <c r="CD298" s="32"/>
      <c r="CE298" s="32"/>
      <c r="CF298" s="32"/>
      <c r="CG298" s="32"/>
      <c r="CH298" s="32"/>
      <c r="CI298" s="32"/>
      <c r="CJ298" s="32"/>
      <c r="CK298" s="32"/>
      <c r="CL298" s="32"/>
      <c r="CM298" s="32"/>
      <c r="CN298" s="32"/>
      <c r="CO298" s="32"/>
      <c r="CP298" s="32"/>
      <c r="CQ298" s="32"/>
      <c r="CR298" s="32"/>
      <c r="CS298" s="32"/>
      <c r="CT298" s="32"/>
      <c r="CU298" s="32"/>
      <c r="CV298" s="32"/>
      <c r="CW298" s="32"/>
      <c r="CX298" s="32"/>
      <c r="CY298" s="32"/>
      <c r="CZ298" s="32"/>
      <c r="DA298" s="32"/>
      <c r="DB298" s="32"/>
      <c r="DC298" s="32"/>
      <c r="DD298" s="32"/>
      <c r="DE298" s="32"/>
      <c r="DF298" s="32"/>
      <c r="DG298" s="32"/>
      <c r="DH298" s="32"/>
      <c r="DI298" s="32"/>
      <c r="DJ298" s="32"/>
      <c r="DK298" s="32"/>
      <c r="DL298" s="32"/>
      <c r="DM298" s="32"/>
      <c r="DN298" s="32"/>
      <c r="DO298" s="32"/>
      <c r="DP298" s="32"/>
      <c r="DQ298" s="32"/>
      <c r="DR298" s="32"/>
      <c r="DS298" s="32"/>
      <c r="DT298" s="32"/>
      <c r="DU298" s="32"/>
      <c r="DV298" s="32"/>
      <c r="DW298" s="32"/>
      <c r="DX298" s="32"/>
      <c r="DY298" s="32"/>
      <c r="DZ298" s="32"/>
      <c r="EA298" s="32"/>
      <c r="EB298" s="32"/>
      <c r="EC298" s="32"/>
      <c r="ED298" s="32"/>
      <c r="EE298" s="32"/>
      <c r="EF298" s="32"/>
      <c r="EG298" s="32"/>
      <c r="EH298" s="32"/>
      <c r="EI298" s="32"/>
      <c r="EJ298" s="32"/>
      <c r="EK298" s="32"/>
    </row>
    <row r="299" spans="2:141" s="32" customFormat="1" ht="15" customHeight="1">
      <c r="J299" s="33"/>
      <c r="K299" s="33"/>
      <c r="L299" s="33"/>
      <c r="M299" s="33"/>
      <c r="N299" s="33"/>
      <c r="O299" s="33"/>
      <c r="P299" s="33"/>
      <c r="Q299" s="33"/>
      <c r="R299" s="33"/>
      <c r="S299" s="33"/>
      <c r="T299" s="33"/>
      <c r="U299" s="33"/>
      <c r="V299" s="33"/>
      <c r="W299" s="33"/>
      <c r="X299" s="33"/>
      <c r="Y299" s="33"/>
      <c r="Z299" s="33"/>
      <c r="AA299" s="33"/>
      <c r="AB299" s="33"/>
      <c r="AC299" s="33"/>
      <c r="AD299" s="33"/>
    </row>
    <row r="300" spans="2:141" s="32" customFormat="1" ht="24.95" customHeight="1">
      <c r="B300" s="65" t="s">
        <v>53</v>
      </c>
      <c r="C300" s="51">
        <v>7</v>
      </c>
      <c r="D300" s="52">
        <v>0</v>
      </c>
      <c r="E300" s="55">
        <v>80</v>
      </c>
      <c r="F300" s="131">
        <f>IF(ISBLANK(E300),0,IF(E300=Answers!E300,1,-1))</f>
        <v>1</v>
      </c>
      <c r="G300" s="66">
        <v>3</v>
      </c>
      <c r="H300" s="66">
        <v>5</v>
      </c>
      <c r="I300" s="66">
        <v>3</v>
      </c>
      <c r="J300" s="66">
        <v>4</v>
      </c>
      <c r="K300" s="66">
        <v>3</v>
      </c>
      <c r="L300" s="66">
        <v>3</v>
      </c>
      <c r="M300" s="66">
        <v>2</v>
      </c>
      <c r="N300" s="66">
        <v>3</v>
      </c>
      <c r="O300" s="66">
        <v>3</v>
      </c>
      <c r="P300" s="33"/>
      <c r="Q300" s="33"/>
      <c r="R300" s="33"/>
      <c r="S300" s="33">
        <v>0</v>
      </c>
      <c r="T300" s="33">
        <v>1</v>
      </c>
      <c r="U300" s="33">
        <v>2</v>
      </c>
      <c r="V300" s="33">
        <v>3</v>
      </c>
      <c r="W300" s="33">
        <v>4</v>
      </c>
      <c r="X300" s="33">
        <v>5</v>
      </c>
      <c r="Y300" s="33">
        <v>6</v>
      </c>
      <c r="Z300" s="33">
        <v>7</v>
      </c>
      <c r="AA300" s="33">
        <v>8</v>
      </c>
      <c r="AB300" s="33">
        <v>9</v>
      </c>
      <c r="AC300" s="33">
        <v>10</v>
      </c>
      <c r="AD300" s="33"/>
      <c r="AE300" s="33">
        <v>0</v>
      </c>
      <c r="AF300" s="33">
        <v>1</v>
      </c>
      <c r="AG300" s="33">
        <v>2</v>
      </c>
      <c r="AH300" s="33">
        <v>3</v>
      </c>
      <c r="AI300" s="33">
        <v>4</v>
      </c>
      <c r="AJ300" s="33">
        <v>5</v>
      </c>
      <c r="AK300" s="33">
        <v>6</v>
      </c>
      <c r="AL300" s="33">
        <v>7</v>
      </c>
      <c r="AM300" s="33">
        <v>8</v>
      </c>
      <c r="AN300" s="33">
        <v>9</v>
      </c>
      <c r="AO300" s="33">
        <v>10</v>
      </c>
    </row>
    <row r="301" spans="2:141">
      <c r="K301" s="32"/>
      <c r="L301" s="32"/>
      <c r="M301" s="32"/>
      <c r="N301" s="32"/>
      <c r="O301" s="32"/>
      <c r="AE301" s="32"/>
      <c r="AF301" s="32"/>
      <c r="AG301" s="32"/>
      <c r="AH301" s="32"/>
      <c r="AI301" s="32"/>
      <c r="AJ301" s="32"/>
      <c r="AK301" s="32"/>
      <c r="AL301" s="32"/>
      <c r="AM301" s="32"/>
      <c r="AN301" s="32"/>
      <c r="AO301" s="32"/>
      <c r="AP301" s="32"/>
      <c r="AQ301" s="32"/>
      <c r="BC301" s="32"/>
      <c r="BD301" s="32"/>
      <c r="BE301" s="32"/>
      <c r="BF301" s="32"/>
      <c r="BG301" s="32"/>
      <c r="BH301" s="32"/>
      <c r="BI301" s="32"/>
      <c r="BJ301" s="32"/>
      <c r="BK301" s="32"/>
      <c r="BL301" s="32"/>
      <c r="BM301" s="32"/>
      <c r="BN301" s="32"/>
      <c r="BO301" s="32"/>
      <c r="BP301" s="32"/>
      <c r="BQ301" s="32"/>
      <c r="BR301" s="32"/>
      <c r="BS301" s="32"/>
      <c r="BT301" s="32"/>
      <c r="BU301" s="32"/>
      <c r="BV301" s="32"/>
      <c r="BW301" s="32"/>
      <c r="BX301" s="32"/>
      <c r="BY301" s="32"/>
      <c r="BZ301" s="32"/>
      <c r="CA301" s="32"/>
      <c r="CB301" s="32"/>
      <c r="CC301" s="32"/>
      <c r="CD301" s="32"/>
      <c r="CE301" s="32"/>
      <c r="CF301" s="32"/>
      <c r="CG301" s="32"/>
      <c r="CH301" s="32"/>
      <c r="CI301" s="32"/>
      <c r="CJ301" s="32"/>
      <c r="CK301" s="32"/>
      <c r="CL301" s="32"/>
      <c r="CM301" s="32"/>
      <c r="CN301" s="32"/>
      <c r="CO301" s="32"/>
      <c r="CP301" s="32"/>
      <c r="CQ301" s="32"/>
      <c r="CR301" s="32"/>
      <c r="CS301" s="32"/>
      <c r="CT301" s="32"/>
      <c r="CU301" s="32"/>
      <c r="CV301" s="32"/>
      <c r="CW301" s="32"/>
      <c r="CX301" s="32"/>
      <c r="CY301" s="32"/>
      <c r="CZ301" s="32"/>
      <c r="DA301" s="32"/>
      <c r="DB301" s="32"/>
      <c r="DC301" s="32"/>
      <c r="DD301" s="32"/>
      <c r="DE301" s="32"/>
      <c r="DF301" s="32"/>
      <c r="DG301" s="32"/>
      <c r="DH301" s="32"/>
      <c r="DI301" s="32"/>
      <c r="DJ301" s="32"/>
      <c r="DK301" s="32"/>
      <c r="DL301" s="32"/>
      <c r="DM301" s="32"/>
      <c r="DN301" s="32"/>
      <c r="DO301" s="32"/>
      <c r="DP301" s="32"/>
      <c r="DQ301" s="32"/>
      <c r="DR301" s="32"/>
      <c r="DS301" s="32"/>
      <c r="DT301" s="32"/>
      <c r="DU301" s="32"/>
      <c r="DV301" s="32"/>
      <c r="DW301" s="32"/>
      <c r="DX301" s="32"/>
      <c r="DY301" s="32"/>
      <c r="DZ301" s="32"/>
      <c r="EA301" s="32"/>
      <c r="EB301" s="32"/>
      <c r="EC301" s="32"/>
      <c r="ED301" s="32"/>
      <c r="EE301" s="32"/>
      <c r="EF301" s="32"/>
      <c r="EG301" s="32"/>
      <c r="EH301" s="32"/>
      <c r="EI301" s="32"/>
      <c r="EJ301" s="32"/>
      <c r="EK301" s="32"/>
    </row>
    <row r="302" spans="2:141" s="32" customFormat="1" ht="24.95" customHeight="1">
      <c r="B302" s="51">
        <v>121</v>
      </c>
      <c r="C302" s="51">
        <v>7</v>
      </c>
      <c r="D302" s="67">
        <v>11</v>
      </c>
      <c r="E302" s="55">
        <f>SUM(AR302:BA302)</f>
        <v>95</v>
      </c>
      <c r="F302" s="131">
        <f>IF(ISBLANK(E302),0,IF(E302=Answers!E302,1,-1))</f>
        <v>1</v>
      </c>
      <c r="G302" s="68">
        <v>4</v>
      </c>
      <c r="H302" s="68">
        <v>4</v>
      </c>
      <c r="I302" s="68">
        <v>2</v>
      </c>
      <c r="J302" s="68">
        <v>5</v>
      </c>
      <c r="K302" s="68">
        <v>2</v>
      </c>
      <c r="L302" s="68">
        <v>4</v>
      </c>
      <c r="M302" s="68">
        <v>5</v>
      </c>
      <c r="N302" s="68">
        <v>5</v>
      </c>
      <c r="O302" s="68">
        <v>4</v>
      </c>
      <c r="P302" s="33"/>
      <c r="Q302" s="33">
        <f>SUM(G302:O302)</f>
        <v>35</v>
      </c>
      <c r="R302" s="33"/>
      <c r="S302" s="33">
        <v>1</v>
      </c>
      <c r="T302" s="33">
        <f>IF(AE302&gt;=(10*S302),S302+1,S302)</f>
        <v>1</v>
      </c>
      <c r="U302" s="33">
        <f t="shared" ref="U302:AC302" si="9">IF(AF302&gt;=(10*T302),T302+1,T302)</f>
        <v>1</v>
      </c>
      <c r="V302" s="33">
        <f t="shared" si="9"/>
        <v>1</v>
      </c>
      <c r="W302" s="33">
        <f t="shared" si="9"/>
        <v>1</v>
      </c>
      <c r="X302" s="33">
        <f t="shared" si="9"/>
        <v>2</v>
      </c>
      <c r="Y302" s="33">
        <f t="shared" si="9"/>
        <v>2</v>
      </c>
      <c r="Z302" s="33">
        <f t="shared" si="9"/>
        <v>2</v>
      </c>
      <c r="AA302" s="33">
        <f t="shared" si="9"/>
        <v>3</v>
      </c>
      <c r="AB302" s="33">
        <f t="shared" si="9"/>
        <v>3</v>
      </c>
      <c r="AC302" s="33">
        <f t="shared" si="9"/>
        <v>3</v>
      </c>
      <c r="AD302" s="33"/>
      <c r="AE302" s="32">
        <v>0</v>
      </c>
      <c r="AF302" s="32">
        <f>IF(T302&gt;S302,AE302-10*S302,AE302)+SUM(_xlfn.TAKE(_xlfn._xlws.SORT($G302:$O302,,-1,1),1,T302))-2*T302</f>
        <v>3</v>
      </c>
      <c r="AG302" s="32">
        <f t="shared" ref="AG302:AO317" si="10">IF(U302&gt;T302,AF302-10*T302,AF302)+SUM(_xlfn.TAKE(_xlfn._xlws.SORT($G302:$O302,,-1,1),1,U302))-2*U302</f>
        <v>6</v>
      </c>
      <c r="AH302" s="32">
        <f t="shared" si="10"/>
        <v>9</v>
      </c>
      <c r="AI302" s="32">
        <f t="shared" si="10"/>
        <v>12</v>
      </c>
      <c r="AJ302" s="32">
        <f t="shared" si="10"/>
        <v>8</v>
      </c>
      <c r="AK302" s="32">
        <f t="shared" si="10"/>
        <v>14</v>
      </c>
      <c r="AL302" s="32">
        <f t="shared" si="10"/>
        <v>20</v>
      </c>
      <c r="AM302" s="32">
        <f t="shared" si="10"/>
        <v>9</v>
      </c>
      <c r="AN302" s="32">
        <f t="shared" si="10"/>
        <v>18</v>
      </c>
      <c r="AO302" s="32">
        <f t="shared" si="10"/>
        <v>27</v>
      </c>
      <c r="AR302" s="32">
        <f>SUM(_xlfn.TAKE(_xlfn._xlws.SORT($G302:$O302,,-1,1),1,T302))</f>
        <v>5</v>
      </c>
      <c r="AS302" s="32">
        <f t="shared" ref="AS302:BB302" si="11">SUM(_xlfn.TAKE(_xlfn._xlws.SORT($G302:$O302,,-1,1),1,U302))</f>
        <v>5</v>
      </c>
      <c r="AT302" s="32">
        <f t="shared" si="11"/>
        <v>5</v>
      </c>
      <c r="AU302" s="32">
        <f t="shared" si="11"/>
        <v>5</v>
      </c>
      <c r="AV302" s="32">
        <f t="shared" si="11"/>
        <v>10</v>
      </c>
      <c r="AW302" s="32">
        <f t="shared" si="11"/>
        <v>10</v>
      </c>
      <c r="AX302" s="32">
        <f t="shared" si="11"/>
        <v>10</v>
      </c>
      <c r="AY302" s="32">
        <f t="shared" si="11"/>
        <v>15</v>
      </c>
      <c r="AZ302" s="32">
        <f t="shared" si="11"/>
        <v>15</v>
      </c>
      <c r="BA302" s="32">
        <f t="shared" si="11"/>
        <v>15</v>
      </c>
    </row>
    <row r="303" spans="2:141" s="32" customFormat="1" ht="24.95" customHeight="1">
      <c r="B303" s="51">
        <v>122</v>
      </c>
      <c r="C303" s="51">
        <v>7</v>
      </c>
      <c r="D303" s="67">
        <v>11</v>
      </c>
      <c r="E303" s="55">
        <f>SUM(AR303:BA303)</f>
        <v>89</v>
      </c>
      <c r="F303" s="131">
        <f>IF(ISBLANK(E303),0,IF(E303=Answers!E303,1,-1))</f>
        <v>1</v>
      </c>
      <c r="G303" s="66">
        <v>2</v>
      </c>
      <c r="H303" s="66">
        <v>5</v>
      </c>
      <c r="I303" s="66">
        <v>2</v>
      </c>
      <c r="J303" s="66">
        <v>3</v>
      </c>
      <c r="K303" s="66">
        <v>2</v>
      </c>
      <c r="L303" s="66">
        <v>2</v>
      </c>
      <c r="M303" s="66">
        <v>2</v>
      </c>
      <c r="N303" s="66">
        <v>3</v>
      </c>
      <c r="O303" s="66">
        <v>5</v>
      </c>
      <c r="P303" s="33"/>
      <c r="Q303" s="33">
        <f t="shared" ref="Q303:Q321" si="12">SUM(G303:O303)</f>
        <v>26</v>
      </c>
      <c r="R303" s="33"/>
      <c r="S303" s="33">
        <v>1</v>
      </c>
      <c r="T303" s="33">
        <f t="shared" ref="T303:T321" si="13">IF(AE303&gt;=(10*S303),S303+1,S303)</f>
        <v>1</v>
      </c>
      <c r="U303" s="33">
        <f t="shared" ref="U303:U321" si="14">IF(AF303&gt;=(10*T303),T303+1,T303)</f>
        <v>1</v>
      </c>
      <c r="V303" s="33">
        <f t="shared" ref="V303:V321" si="15">IF(AG303&gt;=(10*U303),U303+1,U303)</f>
        <v>1</v>
      </c>
      <c r="W303" s="33">
        <f t="shared" ref="W303:W321" si="16">IF(AH303&gt;=(10*V303),V303+1,V303)</f>
        <v>1</v>
      </c>
      <c r="X303" s="33">
        <f t="shared" ref="X303:X321" si="17">IF(AI303&gt;=(10*W303),W303+1,W303)</f>
        <v>2</v>
      </c>
      <c r="Y303" s="33">
        <f t="shared" ref="Y303:Y321" si="18">IF(AJ303&gt;=(10*X303),X303+1,X303)</f>
        <v>2</v>
      </c>
      <c r="Z303" s="33">
        <f t="shared" ref="Z303:Z321" si="19">IF(AK303&gt;=(10*Y303),Y303+1,Y303)</f>
        <v>2</v>
      </c>
      <c r="AA303" s="33">
        <f t="shared" ref="AA303:AA321" si="20">IF(AL303&gt;=(10*Z303),Z303+1,Z303)</f>
        <v>3</v>
      </c>
      <c r="AB303" s="33">
        <f t="shared" ref="AB303:AB321" si="21">IF(AM303&gt;=(10*AA303),AA303+1,AA303)</f>
        <v>3</v>
      </c>
      <c r="AC303" s="33">
        <f t="shared" ref="AC303:AC321" si="22">IF(AN303&gt;=(10*AB303),AB303+1,AB303)</f>
        <v>3</v>
      </c>
      <c r="AD303" s="33"/>
      <c r="AE303" s="32">
        <v>0</v>
      </c>
      <c r="AF303" s="32">
        <f t="shared" ref="AF303:AF321" si="23">IF(T303&gt;S303,AE303-10*S303,AE303)+SUM(_xlfn.TAKE(_xlfn._xlws.SORT($G303:$O303,,-1,1),1,T303))-2*T303</f>
        <v>3</v>
      </c>
      <c r="AG303" s="32">
        <f t="shared" si="10"/>
        <v>6</v>
      </c>
      <c r="AH303" s="32">
        <f t="shared" si="10"/>
        <v>9</v>
      </c>
      <c r="AI303" s="32">
        <f t="shared" si="10"/>
        <v>12</v>
      </c>
      <c r="AJ303" s="32">
        <f t="shared" si="10"/>
        <v>8</v>
      </c>
      <c r="AK303" s="32">
        <f t="shared" si="10"/>
        <v>14</v>
      </c>
      <c r="AL303" s="32">
        <f t="shared" si="10"/>
        <v>20</v>
      </c>
      <c r="AM303" s="32">
        <f t="shared" si="10"/>
        <v>7</v>
      </c>
      <c r="AN303" s="32">
        <f t="shared" si="10"/>
        <v>14</v>
      </c>
      <c r="AO303" s="32">
        <f t="shared" si="10"/>
        <v>21</v>
      </c>
      <c r="AR303" s="32">
        <f t="shared" ref="AR303:AR321" si="24">SUM(_xlfn.TAKE(_xlfn._xlws.SORT($G303:$O303,,-1,1),1,T303))</f>
        <v>5</v>
      </c>
      <c r="AS303" s="32">
        <f t="shared" ref="AS303:AS321" si="25">SUM(_xlfn.TAKE(_xlfn._xlws.SORT($G303:$O303,,-1,1),1,U303))</f>
        <v>5</v>
      </c>
      <c r="AT303" s="32">
        <f t="shared" ref="AT303:AT321" si="26">SUM(_xlfn.TAKE(_xlfn._xlws.SORT($G303:$O303,,-1,1),1,V303))</f>
        <v>5</v>
      </c>
      <c r="AU303" s="32">
        <f t="shared" ref="AU303:AU321" si="27">SUM(_xlfn.TAKE(_xlfn._xlws.SORT($G303:$O303,,-1,1),1,W303))</f>
        <v>5</v>
      </c>
      <c r="AV303" s="32">
        <f t="shared" ref="AV303:AV321" si="28">SUM(_xlfn.TAKE(_xlfn._xlws.SORT($G303:$O303,,-1,1),1,X303))</f>
        <v>10</v>
      </c>
      <c r="AW303" s="32">
        <f t="shared" ref="AW303:AW321" si="29">SUM(_xlfn.TAKE(_xlfn._xlws.SORT($G303:$O303,,-1,1),1,Y303))</f>
        <v>10</v>
      </c>
      <c r="AX303" s="32">
        <f t="shared" ref="AX303:AX321" si="30">SUM(_xlfn.TAKE(_xlfn._xlws.SORT($G303:$O303,,-1,1),1,Z303))</f>
        <v>10</v>
      </c>
      <c r="AY303" s="32">
        <f t="shared" ref="AY303:AY321" si="31">SUM(_xlfn.TAKE(_xlfn._xlws.SORT($G303:$O303,,-1,1),1,AA303))</f>
        <v>13</v>
      </c>
      <c r="AZ303" s="32">
        <f t="shared" ref="AZ303:AZ321" si="32">SUM(_xlfn.TAKE(_xlfn._xlws.SORT($G303:$O303,,-1,1),1,AB303))</f>
        <v>13</v>
      </c>
      <c r="BA303" s="32">
        <f t="shared" ref="BA303:BA321" si="33">SUM(_xlfn.TAKE(_xlfn._xlws.SORT($G303:$O303,,-1,1),1,AC303))</f>
        <v>13</v>
      </c>
    </row>
    <row r="304" spans="2:141" s="32" customFormat="1" ht="24.95" customHeight="1">
      <c r="B304" s="51">
        <v>123</v>
      </c>
      <c r="C304" s="51">
        <v>7</v>
      </c>
      <c r="D304" s="67">
        <v>11</v>
      </c>
      <c r="E304" s="55">
        <f t="shared" ref="E303:E321" si="34">SUM(AR304:BA304)</f>
        <v>82</v>
      </c>
      <c r="F304" s="131">
        <f>IF(ISBLANK(E304),0,IF(E304=Answers!E304,1,-1))</f>
        <v>1</v>
      </c>
      <c r="G304" s="66">
        <v>3</v>
      </c>
      <c r="H304" s="66">
        <v>4</v>
      </c>
      <c r="I304" s="66">
        <v>2</v>
      </c>
      <c r="J304" s="66">
        <v>3</v>
      </c>
      <c r="K304" s="66">
        <v>2</v>
      </c>
      <c r="L304" s="66">
        <v>5</v>
      </c>
      <c r="M304" s="66">
        <v>2</v>
      </c>
      <c r="N304" s="66">
        <v>3</v>
      </c>
      <c r="O304" s="66">
        <v>4</v>
      </c>
      <c r="P304" s="33"/>
      <c r="Q304" s="33">
        <f t="shared" si="12"/>
        <v>28</v>
      </c>
      <c r="R304" s="33"/>
      <c r="S304" s="33">
        <v>1</v>
      </c>
      <c r="T304" s="33">
        <f t="shared" si="13"/>
        <v>1</v>
      </c>
      <c r="U304" s="33">
        <f t="shared" si="14"/>
        <v>1</v>
      </c>
      <c r="V304" s="33">
        <f t="shared" si="15"/>
        <v>1</v>
      </c>
      <c r="W304" s="33">
        <f t="shared" si="16"/>
        <v>1</v>
      </c>
      <c r="X304" s="33">
        <f t="shared" si="17"/>
        <v>2</v>
      </c>
      <c r="Y304" s="33">
        <f t="shared" si="18"/>
        <v>2</v>
      </c>
      <c r="Z304" s="33">
        <f t="shared" si="19"/>
        <v>2</v>
      </c>
      <c r="AA304" s="33">
        <f t="shared" si="20"/>
        <v>2</v>
      </c>
      <c r="AB304" s="33">
        <f t="shared" si="21"/>
        <v>3</v>
      </c>
      <c r="AC304" s="33">
        <f t="shared" si="22"/>
        <v>3</v>
      </c>
      <c r="AD304" s="33"/>
      <c r="AE304" s="32">
        <v>0</v>
      </c>
      <c r="AF304" s="32">
        <f t="shared" si="23"/>
        <v>3</v>
      </c>
      <c r="AG304" s="32">
        <f t="shared" si="10"/>
        <v>6</v>
      </c>
      <c r="AH304" s="32">
        <f t="shared" si="10"/>
        <v>9</v>
      </c>
      <c r="AI304" s="32">
        <f t="shared" si="10"/>
        <v>12</v>
      </c>
      <c r="AJ304" s="32">
        <f t="shared" si="10"/>
        <v>7</v>
      </c>
      <c r="AK304" s="32">
        <f t="shared" si="10"/>
        <v>12</v>
      </c>
      <c r="AL304" s="32">
        <f t="shared" si="10"/>
        <v>17</v>
      </c>
      <c r="AM304" s="32">
        <f t="shared" si="10"/>
        <v>22</v>
      </c>
      <c r="AN304" s="32">
        <f t="shared" si="10"/>
        <v>9</v>
      </c>
      <c r="AO304" s="32">
        <f t="shared" si="10"/>
        <v>16</v>
      </c>
      <c r="AR304" s="32">
        <f t="shared" si="24"/>
        <v>5</v>
      </c>
      <c r="AS304" s="32">
        <f t="shared" si="25"/>
        <v>5</v>
      </c>
      <c r="AT304" s="32">
        <f t="shared" si="26"/>
        <v>5</v>
      </c>
      <c r="AU304" s="32">
        <f t="shared" si="27"/>
        <v>5</v>
      </c>
      <c r="AV304" s="32">
        <f t="shared" si="28"/>
        <v>9</v>
      </c>
      <c r="AW304" s="32">
        <f t="shared" si="29"/>
        <v>9</v>
      </c>
      <c r="AX304" s="32">
        <f t="shared" si="30"/>
        <v>9</v>
      </c>
      <c r="AY304" s="32">
        <f t="shared" si="31"/>
        <v>9</v>
      </c>
      <c r="AZ304" s="32">
        <f t="shared" si="32"/>
        <v>13</v>
      </c>
      <c r="BA304" s="32">
        <f t="shared" si="33"/>
        <v>13</v>
      </c>
    </row>
    <row r="305" spans="2:53" s="32" customFormat="1" ht="24.95" customHeight="1">
      <c r="B305" s="51">
        <v>124</v>
      </c>
      <c r="C305" s="51">
        <v>7</v>
      </c>
      <c r="D305" s="67">
        <v>11</v>
      </c>
      <c r="E305" s="55">
        <f t="shared" si="34"/>
        <v>82</v>
      </c>
      <c r="F305" s="131">
        <f>IF(ISBLANK(E305),0,IF(E305=Answers!E305,1,-1))</f>
        <v>1</v>
      </c>
      <c r="G305" s="66">
        <v>2</v>
      </c>
      <c r="H305" s="66">
        <v>4</v>
      </c>
      <c r="I305" s="66">
        <v>4</v>
      </c>
      <c r="J305" s="66">
        <v>2</v>
      </c>
      <c r="K305" s="66">
        <v>5</v>
      </c>
      <c r="L305" s="66">
        <v>4</v>
      </c>
      <c r="M305" s="66">
        <v>4</v>
      </c>
      <c r="N305" s="66">
        <v>4</v>
      </c>
      <c r="O305" s="66">
        <v>2</v>
      </c>
      <c r="P305" s="33"/>
      <c r="Q305" s="33">
        <f t="shared" si="12"/>
        <v>31</v>
      </c>
      <c r="R305" s="33"/>
      <c r="S305" s="33">
        <v>1</v>
      </c>
      <c r="T305" s="33">
        <f t="shared" si="13"/>
        <v>1</v>
      </c>
      <c r="U305" s="33">
        <f t="shared" si="14"/>
        <v>1</v>
      </c>
      <c r="V305" s="33">
        <f t="shared" si="15"/>
        <v>1</v>
      </c>
      <c r="W305" s="33">
        <f t="shared" si="16"/>
        <v>1</v>
      </c>
      <c r="X305" s="33">
        <f t="shared" si="17"/>
        <v>2</v>
      </c>
      <c r="Y305" s="33">
        <f t="shared" si="18"/>
        <v>2</v>
      </c>
      <c r="Z305" s="33">
        <f t="shared" si="19"/>
        <v>2</v>
      </c>
      <c r="AA305" s="33">
        <f t="shared" si="20"/>
        <v>2</v>
      </c>
      <c r="AB305" s="33">
        <f t="shared" si="21"/>
        <v>3</v>
      </c>
      <c r="AC305" s="33">
        <f t="shared" si="22"/>
        <v>3</v>
      </c>
      <c r="AD305" s="33"/>
      <c r="AE305" s="32">
        <v>0</v>
      </c>
      <c r="AF305" s="32">
        <f t="shared" si="23"/>
        <v>3</v>
      </c>
      <c r="AG305" s="32">
        <f t="shared" si="10"/>
        <v>6</v>
      </c>
      <c r="AH305" s="32">
        <f t="shared" si="10"/>
        <v>9</v>
      </c>
      <c r="AI305" s="32">
        <f t="shared" si="10"/>
        <v>12</v>
      </c>
      <c r="AJ305" s="32">
        <f t="shared" si="10"/>
        <v>7</v>
      </c>
      <c r="AK305" s="32">
        <f t="shared" si="10"/>
        <v>12</v>
      </c>
      <c r="AL305" s="32">
        <f t="shared" si="10"/>
        <v>17</v>
      </c>
      <c r="AM305" s="32">
        <f t="shared" si="10"/>
        <v>22</v>
      </c>
      <c r="AN305" s="32">
        <f t="shared" si="10"/>
        <v>9</v>
      </c>
      <c r="AO305" s="32">
        <f t="shared" si="10"/>
        <v>16</v>
      </c>
      <c r="AR305" s="32">
        <f t="shared" si="24"/>
        <v>5</v>
      </c>
      <c r="AS305" s="32">
        <f t="shared" si="25"/>
        <v>5</v>
      </c>
      <c r="AT305" s="32">
        <f t="shared" si="26"/>
        <v>5</v>
      </c>
      <c r="AU305" s="32">
        <f t="shared" si="27"/>
        <v>5</v>
      </c>
      <c r="AV305" s="32">
        <f t="shared" si="28"/>
        <v>9</v>
      </c>
      <c r="AW305" s="32">
        <f t="shared" si="29"/>
        <v>9</v>
      </c>
      <c r="AX305" s="32">
        <f t="shared" si="30"/>
        <v>9</v>
      </c>
      <c r="AY305" s="32">
        <f t="shared" si="31"/>
        <v>9</v>
      </c>
      <c r="AZ305" s="32">
        <f t="shared" si="32"/>
        <v>13</v>
      </c>
      <c r="BA305" s="32">
        <f t="shared" si="33"/>
        <v>13</v>
      </c>
    </row>
    <row r="306" spans="2:53" s="32" customFormat="1" ht="24.95" customHeight="1">
      <c r="B306" s="51">
        <v>125</v>
      </c>
      <c r="C306" s="51">
        <v>7</v>
      </c>
      <c r="D306" s="67">
        <v>11</v>
      </c>
      <c r="E306" s="55">
        <f t="shared" si="34"/>
        <v>95</v>
      </c>
      <c r="F306" s="131">
        <f>IF(ISBLANK(E306),0,IF(E306=Answers!E306,1,-1))</f>
        <v>1</v>
      </c>
      <c r="G306" s="66">
        <v>4</v>
      </c>
      <c r="H306" s="66">
        <v>5</v>
      </c>
      <c r="I306" s="66">
        <v>3</v>
      </c>
      <c r="J306" s="66">
        <v>3</v>
      </c>
      <c r="K306" s="66">
        <v>5</v>
      </c>
      <c r="L306" s="66">
        <v>3</v>
      </c>
      <c r="M306" s="66">
        <v>5</v>
      </c>
      <c r="N306" s="66">
        <v>2</v>
      </c>
      <c r="O306" s="66">
        <v>5</v>
      </c>
      <c r="P306" s="33"/>
      <c r="Q306" s="33">
        <f t="shared" si="12"/>
        <v>35</v>
      </c>
      <c r="R306" s="33"/>
      <c r="S306" s="33">
        <v>1</v>
      </c>
      <c r="T306" s="33">
        <f t="shared" si="13"/>
        <v>1</v>
      </c>
      <c r="U306" s="33">
        <f t="shared" si="14"/>
        <v>1</v>
      </c>
      <c r="V306" s="33">
        <f t="shared" si="15"/>
        <v>1</v>
      </c>
      <c r="W306" s="33">
        <f t="shared" si="16"/>
        <v>1</v>
      </c>
      <c r="X306" s="33">
        <f t="shared" si="17"/>
        <v>2</v>
      </c>
      <c r="Y306" s="33">
        <f t="shared" si="18"/>
        <v>2</v>
      </c>
      <c r="Z306" s="33">
        <f t="shared" si="19"/>
        <v>2</v>
      </c>
      <c r="AA306" s="33">
        <f t="shared" si="20"/>
        <v>3</v>
      </c>
      <c r="AB306" s="33">
        <f t="shared" si="21"/>
        <v>3</v>
      </c>
      <c r="AC306" s="33">
        <f t="shared" si="22"/>
        <v>3</v>
      </c>
      <c r="AD306" s="33"/>
      <c r="AE306" s="32">
        <v>0</v>
      </c>
      <c r="AF306" s="32">
        <f t="shared" si="23"/>
        <v>3</v>
      </c>
      <c r="AG306" s="32">
        <f t="shared" si="10"/>
        <v>6</v>
      </c>
      <c r="AH306" s="32">
        <f t="shared" si="10"/>
        <v>9</v>
      </c>
      <c r="AI306" s="32">
        <f t="shared" si="10"/>
        <v>12</v>
      </c>
      <c r="AJ306" s="32">
        <f t="shared" si="10"/>
        <v>8</v>
      </c>
      <c r="AK306" s="32">
        <f t="shared" si="10"/>
        <v>14</v>
      </c>
      <c r="AL306" s="32">
        <f t="shared" si="10"/>
        <v>20</v>
      </c>
      <c r="AM306" s="32">
        <f t="shared" si="10"/>
        <v>9</v>
      </c>
      <c r="AN306" s="32">
        <f t="shared" si="10"/>
        <v>18</v>
      </c>
      <c r="AO306" s="32">
        <f t="shared" si="10"/>
        <v>27</v>
      </c>
      <c r="AR306" s="32">
        <f t="shared" si="24"/>
        <v>5</v>
      </c>
      <c r="AS306" s="32">
        <f t="shared" si="25"/>
        <v>5</v>
      </c>
      <c r="AT306" s="32">
        <f t="shared" si="26"/>
        <v>5</v>
      </c>
      <c r="AU306" s="32">
        <f t="shared" si="27"/>
        <v>5</v>
      </c>
      <c r="AV306" s="32">
        <f t="shared" si="28"/>
        <v>10</v>
      </c>
      <c r="AW306" s="32">
        <f t="shared" si="29"/>
        <v>10</v>
      </c>
      <c r="AX306" s="32">
        <f t="shared" si="30"/>
        <v>10</v>
      </c>
      <c r="AY306" s="32">
        <f t="shared" si="31"/>
        <v>15</v>
      </c>
      <c r="AZ306" s="32">
        <f t="shared" si="32"/>
        <v>15</v>
      </c>
      <c r="BA306" s="32">
        <f t="shared" si="33"/>
        <v>15</v>
      </c>
    </row>
    <row r="307" spans="2:53" s="32" customFormat="1" ht="24.95" customHeight="1">
      <c r="B307" s="51">
        <v>126</v>
      </c>
      <c r="C307" s="51">
        <v>7</v>
      </c>
      <c r="D307" s="67">
        <v>11</v>
      </c>
      <c r="E307" s="55">
        <f t="shared" si="34"/>
        <v>60</v>
      </c>
      <c r="F307" s="131">
        <f>IF(ISBLANK(E307),0,IF(E307=Answers!E307,1,-1))</f>
        <v>1</v>
      </c>
      <c r="G307" s="66">
        <v>2</v>
      </c>
      <c r="H307" s="66">
        <v>4</v>
      </c>
      <c r="I307" s="66">
        <v>2</v>
      </c>
      <c r="J307" s="66">
        <v>3</v>
      </c>
      <c r="K307" s="66">
        <v>2</v>
      </c>
      <c r="L307" s="66">
        <v>4</v>
      </c>
      <c r="M307" s="66">
        <v>3</v>
      </c>
      <c r="N307" s="66">
        <v>3</v>
      </c>
      <c r="O307" s="66">
        <v>2</v>
      </c>
      <c r="P307" s="33"/>
      <c r="Q307" s="33">
        <f t="shared" si="12"/>
        <v>25</v>
      </c>
      <c r="R307" s="33"/>
      <c r="S307" s="33">
        <v>1</v>
      </c>
      <c r="T307" s="33">
        <f t="shared" si="13"/>
        <v>1</v>
      </c>
      <c r="U307" s="33">
        <f t="shared" si="14"/>
        <v>1</v>
      </c>
      <c r="V307" s="33">
        <f t="shared" si="15"/>
        <v>1</v>
      </c>
      <c r="W307" s="33">
        <f t="shared" si="16"/>
        <v>1</v>
      </c>
      <c r="X307" s="33">
        <f t="shared" si="17"/>
        <v>1</v>
      </c>
      <c r="Y307" s="33">
        <f t="shared" si="18"/>
        <v>2</v>
      </c>
      <c r="Z307" s="33">
        <f t="shared" si="19"/>
        <v>2</v>
      </c>
      <c r="AA307" s="33">
        <f t="shared" si="20"/>
        <v>2</v>
      </c>
      <c r="AB307" s="33">
        <f t="shared" si="21"/>
        <v>2</v>
      </c>
      <c r="AC307" s="33">
        <f t="shared" si="22"/>
        <v>2</v>
      </c>
      <c r="AD307" s="33"/>
      <c r="AE307" s="32">
        <v>0</v>
      </c>
      <c r="AF307" s="32">
        <f t="shared" si="23"/>
        <v>2</v>
      </c>
      <c r="AG307" s="32">
        <f t="shared" si="10"/>
        <v>4</v>
      </c>
      <c r="AH307" s="32">
        <f t="shared" si="10"/>
        <v>6</v>
      </c>
      <c r="AI307" s="32">
        <f t="shared" si="10"/>
        <v>8</v>
      </c>
      <c r="AJ307" s="32">
        <f t="shared" si="10"/>
        <v>10</v>
      </c>
      <c r="AK307" s="32">
        <f t="shared" si="10"/>
        <v>4</v>
      </c>
      <c r="AL307" s="32">
        <f t="shared" si="10"/>
        <v>8</v>
      </c>
      <c r="AM307" s="32">
        <f t="shared" si="10"/>
        <v>12</v>
      </c>
      <c r="AN307" s="32">
        <f t="shared" si="10"/>
        <v>16</v>
      </c>
      <c r="AO307" s="32">
        <f t="shared" si="10"/>
        <v>20</v>
      </c>
      <c r="AR307" s="32">
        <f t="shared" si="24"/>
        <v>4</v>
      </c>
      <c r="AS307" s="32">
        <f t="shared" si="25"/>
        <v>4</v>
      </c>
      <c r="AT307" s="32">
        <f t="shared" si="26"/>
        <v>4</v>
      </c>
      <c r="AU307" s="32">
        <f t="shared" si="27"/>
        <v>4</v>
      </c>
      <c r="AV307" s="32">
        <f t="shared" si="28"/>
        <v>4</v>
      </c>
      <c r="AW307" s="32">
        <f t="shared" si="29"/>
        <v>8</v>
      </c>
      <c r="AX307" s="32">
        <f t="shared" si="30"/>
        <v>8</v>
      </c>
      <c r="AY307" s="32">
        <f t="shared" si="31"/>
        <v>8</v>
      </c>
      <c r="AZ307" s="32">
        <f t="shared" si="32"/>
        <v>8</v>
      </c>
      <c r="BA307" s="32">
        <f t="shared" si="33"/>
        <v>8</v>
      </c>
    </row>
    <row r="308" spans="2:53" s="32" customFormat="1" ht="24.95" customHeight="1">
      <c r="B308" s="51">
        <v>127</v>
      </c>
      <c r="C308" s="51">
        <v>7</v>
      </c>
      <c r="D308" s="67">
        <v>11</v>
      </c>
      <c r="E308" s="55">
        <f t="shared" si="34"/>
        <v>92</v>
      </c>
      <c r="F308" s="131">
        <f>IF(ISBLANK(E308),0,IF(E308=Answers!E308,1,-1))</f>
        <v>1</v>
      </c>
      <c r="G308" s="66">
        <v>3</v>
      </c>
      <c r="H308" s="66">
        <v>2</v>
      </c>
      <c r="I308" s="66">
        <v>4</v>
      </c>
      <c r="J308" s="66">
        <v>2</v>
      </c>
      <c r="K308" s="66">
        <v>5</v>
      </c>
      <c r="L308" s="66">
        <v>4</v>
      </c>
      <c r="M308" s="66">
        <v>2</v>
      </c>
      <c r="N308" s="66">
        <v>3</v>
      </c>
      <c r="O308" s="66">
        <v>5</v>
      </c>
      <c r="P308" s="33"/>
      <c r="Q308" s="33">
        <f t="shared" si="12"/>
        <v>30</v>
      </c>
      <c r="R308" s="33"/>
      <c r="S308" s="33">
        <v>1</v>
      </c>
      <c r="T308" s="33">
        <f t="shared" si="13"/>
        <v>1</v>
      </c>
      <c r="U308" s="33">
        <f t="shared" si="14"/>
        <v>1</v>
      </c>
      <c r="V308" s="33">
        <f t="shared" si="15"/>
        <v>1</v>
      </c>
      <c r="W308" s="33">
        <f t="shared" si="16"/>
        <v>1</v>
      </c>
      <c r="X308" s="33">
        <f t="shared" si="17"/>
        <v>2</v>
      </c>
      <c r="Y308" s="33">
        <f t="shared" si="18"/>
        <v>2</v>
      </c>
      <c r="Z308" s="33">
        <f t="shared" si="19"/>
        <v>2</v>
      </c>
      <c r="AA308" s="33">
        <f t="shared" si="20"/>
        <v>3</v>
      </c>
      <c r="AB308" s="33">
        <f t="shared" si="21"/>
        <v>3</v>
      </c>
      <c r="AC308" s="33">
        <f t="shared" si="22"/>
        <v>3</v>
      </c>
      <c r="AD308" s="33"/>
      <c r="AE308" s="32">
        <v>0</v>
      </c>
      <c r="AF308" s="32">
        <f t="shared" si="23"/>
        <v>3</v>
      </c>
      <c r="AG308" s="32">
        <f t="shared" si="10"/>
        <v>6</v>
      </c>
      <c r="AH308" s="32">
        <f t="shared" si="10"/>
        <v>9</v>
      </c>
      <c r="AI308" s="32">
        <f t="shared" si="10"/>
        <v>12</v>
      </c>
      <c r="AJ308" s="32">
        <f t="shared" si="10"/>
        <v>8</v>
      </c>
      <c r="AK308" s="32">
        <f t="shared" si="10"/>
        <v>14</v>
      </c>
      <c r="AL308" s="32">
        <f t="shared" si="10"/>
        <v>20</v>
      </c>
      <c r="AM308" s="32">
        <f t="shared" si="10"/>
        <v>8</v>
      </c>
      <c r="AN308" s="32">
        <f t="shared" si="10"/>
        <v>16</v>
      </c>
      <c r="AO308" s="32">
        <f t="shared" si="10"/>
        <v>24</v>
      </c>
      <c r="AR308" s="32">
        <f t="shared" si="24"/>
        <v>5</v>
      </c>
      <c r="AS308" s="32">
        <f t="shared" si="25"/>
        <v>5</v>
      </c>
      <c r="AT308" s="32">
        <f t="shared" si="26"/>
        <v>5</v>
      </c>
      <c r="AU308" s="32">
        <f t="shared" si="27"/>
        <v>5</v>
      </c>
      <c r="AV308" s="32">
        <f t="shared" si="28"/>
        <v>10</v>
      </c>
      <c r="AW308" s="32">
        <f t="shared" si="29"/>
        <v>10</v>
      </c>
      <c r="AX308" s="32">
        <f t="shared" si="30"/>
        <v>10</v>
      </c>
      <c r="AY308" s="32">
        <f t="shared" si="31"/>
        <v>14</v>
      </c>
      <c r="AZ308" s="32">
        <f t="shared" si="32"/>
        <v>14</v>
      </c>
      <c r="BA308" s="32">
        <f t="shared" si="33"/>
        <v>14</v>
      </c>
    </row>
    <row r="309" spans="2:53" s="32" customFormat="1" ht="24.95" customHeight="1">
      <c r="B309" s="51">
        <v>128</v>
      </c>
      <c r="C309" s="51">
        <v>7</v>
      </c>
      <c r="D309" s="67">
        <v>11</v>
      </c>
      <c r="E309" s="55">
        <f t="shared" si="34"/>
        <v>95</v>
      </c>
      <c r="F309" s="131">
        <f>IF(ISBLANK(E309),0,IF(E309=Answers!E309,1,-1))</f>
        <v>1</v>
      </c>
      <c r="G309" s="66">
        <v>3</v>
      </c>
      <c r="H309" s="66">
        <v>2</v>
      </c>
      <c r="I309" s="66">
        <v>5</v>
      </c>
      <c r="J309" s="66">
        <v>3</v>
      </c>
      <c r="K309" s="66">
        <v>5</v>
      </c>
      <c r="L309" s="66">
        <v>2</v>
      </c>
      <c r="M309" s="66">
        <v>4</v>
      </c>
      <c r="N309" s="66">
        <v>5</v>
      </c>
      <c r="O309" s="66">
        <v>3</v>
      </c>
      <c r="P309" s="33"/>
      <c r="Q309" s="33">
        <f t="shared" si="12"/>
        <v>32</v>
      </c>
      <c r="R309" s="33"/>
      <c r="S309" s="33">
        <v>1</v>
      </c>
      <c r="T309" s="33">
        <f t="shared" si="13"/>
        <v>1</v>
      </c>
      <c r="U309" s="33">
        <f t="shared" si="14"/>
        <v>1</v>
      </c>
      <c r="V309" s="33">
        <f t="shared" si="15"/>
        <v>1</v>
      </c>
      <c r="W309" s="33">
        <f t="shared" si="16"/>
        <v>1</v>
      </c>
      <c r="X309" s="33">
        <f t="shared" si="17"/>
        <v>2</v>
      </c>
      <c r="Y309" s="33">
        <f t="shared" si="18"/>
        <v>2</v>
      </c>
      <c r="Z309" s="33">
        <f t="shared" si="19"/>
        <v>2</v>
      </c>
      <c r="AA309" s="33">
        <f t="shared" si="20"/>
        <v>3</v>
      </c>
      <c r="AB309" s="33">
        <f t="shared" si="21"/>
        <v>3</v>
      </c>
      <c r="AC309" s="33">
        <f t="shared" si="22"/>
        <v>3</v>
      </c>
      <c r="AD309" s="33"/>
      <c r="AE309" s="32">
        <v>0</v>
      </c>
      <c r="AF309" s="32">
        <f t="shared" si="23"/>
        <v>3</v>
      </c>
      <c r="AG309" s="32">
        <f t="shared" si="10"/>
        <v>6</v>
      </c>
      <c r="AH309" s="32">
        <f t="shared" si="10"/>
        <v>9</v>
      </c>
      <c r="AI309" s="32">
        <f t="shared" si="10"/>
        <v>12</v>
      </c>
      <c r="AJ309" s="32">
        <f t="shared" si="10"/>
        <v>8</v>
      </c>
      <c r="AK309" s="32">
        <f t="shared" si="10"/>
        <v>14</v>
      </c>
      <c r="AL309" s="32">
        <f t="shared" si="10"/>
        <v>20</v>
      </c>
      <c r="AM309" s="32">
        <f t="shared" si="10"/>
        <v>9</v>
      </c>
      <c r="AN309" s="32">
        <f t="shared" si="10"/>
        <v>18</v>
      </c>
      <c r="AO309" s="32">
        <f t="shared" si="10"/>
        <v>27</v>
      </c>
      <c r="AR309" s="32">
        <f t="shared" si="24"/>
        <v>5</v>
      </c>
      <c r="AS309" s="32">
        <f t="shared" si="25"/>
        <v>5</v>
      </c>
      <c r="AT309" s="32">
        <f t="shared" si="26"/>
        <v>5</v>
      </c>
      <c r="AU309" s="32">
        <f t="shared" si="27"/>
        <v>5</v>
      </c>
      <c r="AV309" s="32">
        <f t="shared" si="28"/>
        <v>10</v>
      </c>
      <c r="AW309" s="32">
        <f t="shared" si="29"/>
        <v>10</v>
      </c>
      <c r="AX309" s="32">
        <f t="shared" si="30"/>
        <v>10</v>
      </c>
      <c r="AY309" s="32">
        <f t="shared" si="31"/>
        <v>15</v>
      </c>
      <c r="AZ309" s="32">
        <f t="shared" si="32"/>
        <v>15</v>
      </c>
      <c r="BA309" s="32">
        <f t="shared" si="33"/>
        <v>15</v>
      </c>
    </row>
    <row r="310" spans="2:53" s="32" customFormat="1" ht="24.95" customHeight="1">
      <c r="B310" s="51">
        <v>129</v>
      </c>
      <c r="C310" s="51">
        <v>7</v>
      </c>
      <c r="D310" s="67">
        <v>11</v>
      </c>
      <c r="E310" s="55">
        <f t="shared" si="34"/>
        <v>95</v>
      </c>
      <c r="F310" s="131">
        <f>IF(ISBLANK(E310),0,IF(E310=Answers!E310,1,-1))</f>
        <v>1</v>
      </c>
      <c r="G310" s="66">
        <v>5</v>
      </c>
      <c r="H310" s="66">
        <v>5</v>
      </c>
      <c r="I310" s="66">
        <v>3</v>
      </c>
      <c r="J310" s="66">
        <v>4</v>
      </c>
      <c r="K310" s="66">
        <v>2</v>
      </c>
      <c r="L310" s="66">
        <v>4</v>
      </c>
      <c r="M310" s="66">
        <v>5</v>
      </c>
      <c r="N310" s="66">
        <v>4</v>
      </c>
      <c r="O310" s="66">
        <v>2</v>
      </c>
      <c r="P310" s="33"/>
      <c r="Q310" s="33">
        <f t="shared" si="12"/>
        <v>34</v>
      </c>
      <c r="R310" s="33"/>
      <c r="S310" s="33">
        <v>1</v>
      </c>
      <c r="T310" s="33">
        <f t="shared" si="13"/>
        <v>1</v>
      </c>
      <c r="U310" s="33">
        <f t="shared" si="14"/>
        <v>1</v>
      </c>
      <c r="V310" s="33">
        <f t="shared" si="15"/>
        <v>1</v>
      </c>
      <c r="W310" s="33">
        <f t="shared" si="16"/>
        <v>1</v>
      </c>
      <c r="X310" s="33">
        <f t="shared" si="17"/>
        <v>2</v>
      </c>
      <c r="Y310" s="33">
        <f t="shared" si="18"/>
        <v>2</v>
      </c>
      <c r="Z310" s="33">
        <f t="shared" si="19"/>
        <v>2</v>
      </c>
      <c r="AA310" s="33">
        <f t="shared" si="20"/>
        <v>3</v>
      </c>
      <c r="AB310" s="33">
        <f t="shared" si="21"/>
        <v>3</v>
      </c>
      <c r="AC310" s="33">
        <f t="shared" si="22"/>
        <v>3</v>
      </c>
      <c r="AD310" s="33"/>
      <c r="AE310" s="32">
        <v>0</v>
      </c>
      <c r="AF310" s="32">
        <f t="shared" si="23"/>
        <v>3</v>
      </c>
      <c r="AG310" s="32">
        <f t="shared" si="10"/>
        <v>6</v>
      </c>
      <c r="AH310" s="32">
        <f t="shared" si="10"/>
        <v>9</v>
      </c>
      <c r="AI310" s="32">
        <f t="shared" si="10"/>
        <v>12</v>
      </c>
      <c r="AJ310" s="32">
        <f t="shared" si="10"/>
        <v>8</v>
      </c>
      <c r="AK310" s="32">
        <f t="shared" si="10"/>
        <v>14</v>
      </c>
      <c r="AL310" s="32">
        <f t="shared" si="10"/>
        <v>20</v>
      </c>
      <c r="AM310" s="32">
        <f t="shared" si="10"/>
        <v>9</v>
      </c>
      <c r="AN310" s="32">
        <f t="shared" si="10"/>
        <v>18</v>
      </c>
      <c r="AO310" s="32">
        <f t="shared" si="10"/>
        <v>27</v>
      </c>
      <c r="AR310" s="32">
        <f t="shared" si="24"/>
        <v>5</v>
      </c>
      <c r="AS310" s="32">
        <f t="shared" si="25"/>
        <v>5</v>
      </c>
      <c r="AT310" s="32">
        <f t="shared" si="26"/>
        <v>5</v>
      </c>
      <c r="AU310" s="32">
        <f t="shared" si="27"/>
        <v>5</v>
      </c>
      <c r="AV310" s="32">
        <f t="shared" si="28"/>
        <v>10</v>
      </c>
      <c r="AW310" s="32">
        <f t="shared" si="29"/>
        <v>10</v>
      </c>
      <c r="AX310" s="32">
        <f t="shared" si="30"/>
        <v>10</v>
      </c>
      <c r="AY310" s="32">
        <f t="shared" si="31"/>
        <v>15</v>
      </c>
      <c r="AZ310" s="32">
        <f t="shared" si="32"/>
        <v>15</v>
      </c>
      <c r="BA310" s="32">
        <f t="shared" si="33"/>
        <v>15</v>
      </c>
    </row>
    <row r="311" spans="2:53" s="32" customFormat="1" ht="24.95" customHeight="1">
      <c r="B311" s="51">
        <v>130</v>
      </c>
      <c r="C311" s="51">
        <v>7</v>
      </c>
      <c r="D311" s="67">
        <v>11</v>
      </c>
      <c r="E311" s="55">
        <f t="shared" si="34"/>
        <v>95</v>
      </c>
      <c r="F311" s="131">
        <f>IF(ISBLANK(E311),0,IF(E311=Answers!E311,1,-1))</f>
        <v>1</v>
      </c>
      <c r="G311" s="66">
        <v>5</v>
      </c>
      <c r="H311" s="66">
        <v>2</v>
      </c>
      <c r="I311" s="66">
        <v>3</v>
      </c>
      <c r="J311" s="66">
        <v>5</v>
      </c>
      <c r="K311" s="66">
        <v>3</v>
      </c>
      <c r="L311" s="66">
        <v>4</v>
      </c>
      <c r="M311" s="66">
        <v>5</v>
      </c>
      <c r="N311" s="66">
        <v>4</v>
      </c>
      <c r="O311" s="66">
        <v>2</v>
      </c>
      <c r="P311" s="33"/>
      <c r="Q311" s="33">
        <f t="shared" si="12"/>
        <v>33</v>
      </c>
      <c r="R311" s="33"/>
      <c r="S311" s="33">
        <v>1</v>
      </c>
      <c r="T311" s="33">
        <f t="shared" si="13"/>
        <v>1</v>
      </c>
      <c r="U311" s="33">
        <f t="shared" si="14"/>
        <v>1</v>
      </c>
      <c r="V311" s="33">
        <f t="shared" si="15"/>
        <v>1</v>
      </c>
      <c r="W311" s="33">
        <f t="shared" si="16"/>
        <v>1</v>
      </c>
      <c r="X311" s="33">
        <f t="shared" si="17"/>
        <v>2</v>
      </c>
      <c r="Y311" s="33">
        <f t="shared" si="18"/>
        <v>2</v>
      </c>
      <c r="Z311" s="33">
        <f t="shared" si="19"/>
        <v>2</v>
      </c>
      <c r="AA311" s="33">
        <f t="shared" si="20"/>
        <v>3</v>
      </c>
      <c r="AB311" s="33">
        <f t="shared" si="21"/>
        <v>3</v>
      </c>
      <c r="AC311" s="33">
        <f t="shared" si="22"/>
        <v>3</v>
      </c>
      <c r="AD311" s="33"/>
      <c r="AE311" s="32">
        <v>0</v>
      </c>
      <c r="AF311" s="32">
        <f t="shared" si="23"/>
        <v>3</v>
      </c>
      <c r="AG311" s="32">
        <f t="shared" si="10"/>
        <v>6</v>
      </c>
      <c r="AH311" s="32">
        <f t="shared" si="10"/>
        <v>9</v>
      </c>
      <c r="AI311" s="32">
        <f t="shared" si="10"/>
        <v>12</v>
      </c>
      <c r="AJ311" s="32">
        <f t="shared" si="10"/>
        <v>8</v>
      </c>
      <c r="AK311" s="32">
        <f t="shared" si="10"/>
        <v>14</v>
      </c>
      <c r="AL311" s="32">
        <f t="shared" si="10"/>
        <v>20</v>
      </c>
      <c r="AM311" s="32">
        <f t="shared" si="10"/>
        <v>9</v>
      </c>
      <c r="AN311" s="32">
        <f t="shared" si="10"/>
        <v>18</v>
      </c>
      <c r="AO311" s="32">
        <f t="shared" si="10"/>
        <v>27</v>
      </c>
      <c r="AR311" s="32">
        <f t="shared" si="24"/>
        <v>5</v>
      </c>
      <c r="AS311" s="32">
        <f t="shared" si="25"/>
        <v>5</v>
      </c>
      <c r="AT311" s="32">
        <f t="shared" si="26"/>
        <v>5</v>
      </c>
      <c r="AU311" s="32">
        <f t="shared" si="27"/>
        <v>5</v>
      </c>
      <c r="AV311" s="32">
        <f t="shared" si="28"/>
        <v>10</v>
      </c>
      <c r="AW311" s="32">
        <f t="shared" si="29"/>
        <v>10</v>
      </c>
      <c r="AX311" s="32">
        <f t="shared" si="30"/>
        <v>10</v>
      </c>
      <c r="AY311" s="32">
        <f t="shared" si="31"/>
        <v>15</v>
      </c>
      <c r="AZ311" s="32">
        <f t="shared" si="32"/>
        <v>15</v>
      </c>
      <c r="BA311" s="32">
        <f t="shared" si="33"/>
        <v>15</v>
      </c>
    </row>
    <row r="312" spans="2:53" s="32" customFormat="1" ht="24.95" customHeight="1">
      <c r="B312" s="51">
        <v>131</v>
      </c>
      <c r="C312" s="51">
        <v>7</v>
      </c>
      <c r="D312" s="67">
        <v>11</v>
      </c>
      <c r="E312" s="55">
        <f t="shared" si="34"/>
        <v>95</v>
      </c>
      <c r="F312" s="131">
        <f>IF(ISBLANK(E312),0,IF(E312=Answers!E312,1,-1))</f>
        <v>1</v>
      </c>
      <c r="G312" s="66">
        <v>4</v>
      </c>
      <c r="H312" s="66">
        <v>4</v>
      </c>
      <c r="I312" s="66">
        <v>5</v>
      </c>
      <c r="J312" s="66">
        <v>2</v>
      </c>
      <c r="K312" s="66">
        <v>4</v>
      </c>
      <c r="L312" s="66">
        <v>5</v>
      </c>
      <c r="M312" s="66">
        <v>5</v>
      </c>
      <c r="N312" s="66">
        <v>3</v>
      </c>
      <c r="O312" s="66">
        <v>5</v>
      </c>
      <c r="P312" s="33"/>
      <c r="Q312" s="33">
        <f t="shared" si="12"/>
        <v>37</v>
      </c>
      <c r="R312" s="33"/>
      <c r="S312" s="33">
        <v>1</v>
      </c>
      <c r="T312" s="33">
        <f t="shared" si="13"/>
        <v>1</v>
      </c>
      <c r="U312" s="33">
        <f t="shared" si="14"/>
        <v>1</v>
      </c>
      <c r="V312" s="33">
        <f t="shared" si="15"/>
        <v>1</v>
      </c>
      <c r="W312" s="33">
        <f t="shared" si="16"/>
        <v>1</v>
      </c>
      <c r="X312" s="33">
        <f t="shared" si="17"/>
        <v>2</v>
      </c>
      <c r="Y312" s="33">
        <f t="shared" si="18"/>
        <v>2</v>
      </c>
      <c r="Z312" s="33">
        <f t="shared" si="19"/>
        <v>2</v>
      </c>
      <c r="AA312" s="33">
        <f t="shared" si="20"/>
        <v>3</v>
      </c>
      <c r="AB312" s="33">
        <f t="shared" si="21"/>
        <v>3</v>
      </c>
      <c r="AC312" s="33">
        <f t="shared" si="22"/>
        <v>3</v>
      </c>
      <c r="AD312" s="33"/>
      <c r="AE312" s="32">
        <v>0</v>
      </c>
      <c r="AF312" s="32">
        <f t="shared" si="23"/>
        <v>3</v>
      </c>
      <c r="AG312" s="32">
        <f t="shared" si="10"/>
        <v>6</v>
      </c>
      <c r="AH312" s="32">
        <f t="shared" si="10"/>
        <v>9</v>
      </c>
      <c r="AI312" s="32">
        <f t="shared" si="10"/>
        <v>12</v>
      </c>
      <c r="AJ312" s="32">
        <f t="shared" si="10"/>
        <v>8</v>
      </c>
      <c r="AK312" s="32">
        <f t="shared" si="10"/>
        <v>14</v>
      </c>
      <c r="AL312" s="32">
        <f t="shared" si="10"/>
        <v>20</v>
      </c>
      <c r="AM312" s="32">
        <f t="shared" si="10"/>
        <v>9</v>
      </c>
      <c r="AN312" s="32">
        <f t="shared" si="10"/>
        <v>18</v>
      </c>
      <c r="AO312" s="32">
        <f t="shared" si="10"/>
        <v>27</v>
      </c>
      <c r="AR312" s="32">
        <f t="shared" si="24"/>
        <v>5</v>
      </c>
      <c r="AS312" s="32">
        <f t="shared" si="25"/>
        <v>5</v>
      </c>
      <c r="AT312" s="32">
        <f t="shared" si="26"/>
        <v>5</v>
      </c>
      <c r="AU312" s="32">
        <f t="shared" si="27"/>
        <v>5</v>
      </c>
      <c r="AV312" s="32">
        <f t="shared" si="28"/>
        <v>10</v>
      </c>
      <c r="AW312" s="32">
        <f t="shared" si="29"/>
        <v>10</v>
      </c>
      <c r="AX312" s="32">
        <f t="shared" si="30"/>
        <v>10</v>
      </c>
      <c r="AY312" s="32">
        <f t="shared" si="31"/>
        <v>15</v>
      </c>
      <c r="AZ312" s="32">
        <f t="shared" si="32"/>
        <v>15</v>
      </c>
      <c r="BA312" s="32">
        <f t="shared" si="33"/>
        <v>15</v>
      </c>
    </row>
    <row r="313" spans="2:53" s="32" customFormat="1" ht="24.95" customHeight="1">
      <c r="B313" s="51">
        <v>132</v>
      </c>
      <c r="C313" s="51">
        <v>7</v>
      </c>
      <c r="D313" s="67">
        <v>11</v>
      </c>
      <c r="E313" s="55">
        <f t="shared" si="34"/>
        <v>95</v>
      </c>
      <c r="F313" s="131">
        <f>IF(ISBLANK(E313),0,IF(E313=Answers!E313,1,-1))</f>
        <v>1</v>
      </c>
      <c r="G313" s="66">
        <v>5</v>
      </c>
      <c r="H313" s="66">
        <v>5</v>
      </c>
      <c r="I313" s="66">
        <v>2</v>
      </c>
      <c r="J313" s="66">
        <v>3</v>
      </c>
      <c r="K313" s="66">
        <v>4</v>
      </c>
      <c r="L313" s="66">
        <v>5</v>
      </c>
      <c r="M313" s="66">
        <v>4</v>
      </c>
      <c r="N313" s="66">
        <v>5</v>
      </c>
      <c r="O313" s="66">
        <v>2</v>
      </c>
      <c r="P313" s="33"/>
      <c r="Q313" s="33">
        <f t="shared" si="12"/>
        <v>35</v>
      </c>
      <c r="R313" s="33"/>
      <c r="S313" s="33">
        <v>1</v>
      </c>
      <c r="T313" s="33">
        <f t="shared" si="13"/>
        <v>1</v>
      </c>
      <c r="U313" s="33">
        <f t="shared" si="14"/>
        <v>1</v>
      </c>
      <c r="V313" s="33">
        <f t="shared" si="15"/>
        <v>1</v>
      </c>
      <c r="W313" s="33">
        <f t="shared" si="16"/>
        <v>1</v>
      </c>
      <c r="X313" s="33">
        <f t="shared" si="17"/>
        <v>2</v>
      </c>
      <c r="Y313" s="33">
        <f t="shared" si="18"/>
        <v>2</v>
      </c>
      <c r="Z313" s="33">
        <f t="shared" si="19"/>
        <v>2</v>
      </c>
      <c r="AA313" s="33">
        <f t="shared" si="20"/>
        <v>3</v>
      </c>
      <c r="AB313" s="33">
        <f t="shared" si="21"/>
        <v>3</v>
      </c>
      <c r="AC313" s="33">
        <f t="shared" si="22"/>
        <v>3</v>
      </c>
      <c r="AD313" s="33"/>
      <c r="AE313" s="32">
        <v>0</v>
      </c>
      <c r="AF313" s="32">
        <f t="shared" si="23"/>
        <v>3</v>
      </c>
      <c r="AG313" s="32">
        <f t="shared" si="10"/>
        <v>6</v>
      </c>
      <c r="AH313" s="32">
        <f t="shared" si="10"/>
        <v>9</v>
      </c>
      <c r="AI313" s="32">
        <f t="shared" si="10"/>
        <v>12</v>
      </c>
      <c r="AJ313" s="32">
        <f t="shared" si="10"/>
        <v>8</v>
      </c>
      <c r="AK313" s="32">
        <f t="shared" si="10"/>
        <v>14</v>
      </c>
      <c r="AL313" s="32">
        <f t="shared" si="10"/>
        <v>20</v>
      </c>
      <c r="AM313" s="32">
        <f t="shared" si="10"/>
        <v>9</v>
      </c>
      <c r="AN313" s="32">
        <f t="shared" si="10"/>
        <v>18</v>
      </c>
      <c r="AO313" s="32">
        <f t="shared" si="10"/>
        <v>27</v>
      </c>
      <c r="AR313" s="32">
        <f t="shared" si="24"/>
        <v>5</v>
      </c>
      <c r="AS313" s="32">
        <f t="shared" si="25"/>
        <v>5</v>
      </c>
      <c r="AT313" s="32">
        <f t="shared" si="26"/>
        <v>5</v>
      </c>
      <c r="AU313" s="32">
        <f t="shared" si="27"/>
        <v>5</v>
      </c>
      <c r="AV313" s="32">
        <f t="shared" si="28"/>
        <v>10</v>
      </c>
      <c r="AW313" s="32">
        <f t="shared" si="29"/>
        <v>10</v>
      </c>
      <c r="AX313" s="32">
        <f t="shared" si="30"/>
        <v>10</v>
      </c>
      <c r="AY313" s="32">
        <f t="shared" si="31"/>
        <v>15</v>
      </c>
      <c r="AZ313" s="32">
        <f t="shared" si="32"/>
        <v>15</v>
      </c>
      <c r="BA313" s="32">
        <f t="shared" si="33"/>
        <v>15</v>
      </c>
    </row>
    <row r="314" spans="2:53" s="32" customFormat="1" ht="24.95" customHeight="1">
      <c r="B314" s="51">
        <v>133</v>
      </c>
      <c r="C314" s="51">
        <v>7</v>
      </c>
      <c r="D314" s="67">
        <v>11</v>
      </c>
      <c r="E314" s="55">
        <f t="shared" si="34"/>
        <v>92</v>
      </c>
      <c r="F314" s="131">
        <f>IF(ISBLANK(E314),0,IF(E314=Answers!E314,1,-1))</f>
        <v>1</v>
      </c>
      <c r="G314" s="66">
        <v>2</v>
      </c>
      <c r="H314" s="66">
        <v>3</v>
      </c>
      <c r="I314" s="66">
        <v>5</v>
      </c>
      <c r="J314" s="66">
        <v>2</v>
      </c>
      <c r="K314" s="66">
        <v>5</v>
      </c>
      <c r="L314" s="66">
        <v>4</v>
      </c>
      <c r="M314" s="66">
        <v>3</v>
      </c>
      <c r="N314" s="66">
        <v>2</v>
      </c>
      <c r="O314" s="66">
        <v>2</v>
      </c>
      <c r="P314" s="33"/>
      <c r="Q314" s="33">
        <f t="shared" si="12"/>
        <v>28</v>
      </c>
      <c r="R314" s="33"/>
      <c r="S314" s="33">
        <v>1</v>
      </c>
      <c r="T314" s="33">
        <f t="shared" si="13"/>
        <v>1</v>
      </c>
      <c r="U314" s="33">
        <f t="shared" si="14"/>
        <v>1</v>
      </c>
      <c r="V314" s="33">
        <f t="shared" si="15"/>
        <v>1</v>
      </c>
      <c r="W314" s="33">
        <f t="shared" si="16"/>
        <v>1</v>
      </c>
      <c r="X314" s="33">
        <f t="shared" si="17"/>
        <v>2</v>
      </c>
      <c r="Y314" s="33">
        <f t="shared" si="18"/>
        <v>2</v>
      </c>
      <c r="Z314" s="33">
        <f t="shared" si="19"/>
        <v>2</v>
      </c>
      <c r="AA314" s="33">
        <f t="shared" si="20"/>
        <v>3</v>
      </c>
      <c r="AB314" s="33">
        <f t="shared" si="21"/>
        <v>3</v>
      </c>
      <c r="AC314" s="33">
        <f t="shared" si="22"/>
        <v>3</v>
      </c>
      <c r="AD314" s="33"/>
      <c r="AE314" s="32">
        <v>0</v>
      </c>
      <c r="AF314" s="32">
        <f t="shared" si="23"/>
        <v>3</v>
      </c>
      <c r="AG314" s="32">
        <f t="shared" si="10"/>
        <v>6</v>
      </c>
      <c r="AH314" s="32">
        <f t="shared" si="10"/>
        <v>9</v>
      </c>
      <c r="AI314" s="32">
        <f t="shared" si="10"/>
        <v>12</v>
      </c>
      <c r="AJ314" s="32">
        <f t="shared" si="10"/>
        <v>8</v>
      </c>
      <c r="AK314" s="32">
        <f t="shared" si="10"/>
        <v>14</v>
      </c>
      <c r="AL314" s="32">
        <f t="shared" si="10"/>
        <v>20</v>
      </c>
      <c r="AM314" s="32">
        <f t="shared" si="10"/>
        <v>8</v>
      </c>
      <c r="AN314" s="32">
        <f t="shared" si="10"/>
        <v>16</v>
      </c>
      <c r="AO314" s="32">
        <f t="shared" si="10"/>
        <v>24</v>
      </c>
      <c r="AR314" s="32">
        <f t="shared" si="24"/>
        <v>5</v>
      </c>
      <c r="AS314" s="32">
        <f t="shared" si="25"/>
        <v>5</v>
      </c>
      <c r="AT314" s="32">
        <f t="shared" si="26"/>
        <v>5</v>
      </c>
      <c r="AU314" s="32">
        <f t="shared" si="27"/>
        <v>5</v>
      </c>
      <c r="AV314" s="32">
        <f t="shared" si="28"/>
        <v>10</v>
      </c>
      <c r="AW314" s="32">
        <f t="shared" si="29"/>
        <v>10</v>
      </c>
      <c r="AX314" s="32">
        <f t="shared" si="30"/>
        <v>10</v>
      </c>
      <c r="AY314" s="32">
        <f t="shared" si="31"/>
        <v>14</v>
      </c>
      <c r="AZ314" s="32">
        <f t="shared" si="32"/>
        <v>14</v>
      </c>
      <c r="BA314" s="32">
        <f t="shared" si="33"/>
        <v>14</v>
      </c>
    </row>
    <row r="315" spans="2:53" s="32" customFormat="1" ht="24.95" customHeight="1">
      <c r="B315" s="51">
        <v>134</v>
      </c>
      <c r="C315" s="51">
        <v>7</v>
      </c>
      <c r="D315" s="67">
        <v>11</v>
      </c>
      <c r="E315" s="55">
        <f t="shared" si="34"/>
        <v>95</v>
      </c>
      <c r="F315" s="131">
        <f>IF(ISBLANK(E315),0,IF(E315=Answers!E315,1,-1))</f>
        <v>1</v>
      </c>
      <c r="G315" s="66">
        <v>5</v>
      </c>
      <c r="H315" s="66">
        <v>2</v>
      </c>
      <c r="I315" s="66">
        <v>4</v>
      </c>
      <c r="J315" s="66">
        <v>2</v>
      </c>
      <c r="K315" s="66">
        <v>5</v>
      </c>
      <c r="L315" s="66">
        <v>3</v>
      </c>
      <c r="M315" s="66">
        <v>4</v>
      </c>
      <c r="N315" s="66">
        <v>5</v>
      </c>
      <c r="O315" s="66">
        <v>4</v>
      </c>
      <c r="P315" s="33"/>
      <c r="Q315" s="33">
        <f t="shared" si="12"/>
        <v>34</v>
      </c>
      <c r="R315" s="33"/>
      <c r="S315" s="33">
        <v>1</v>
      </c>
      <c r="T315" s="33">
        <f t="shared" si="13"/>
        <v>1</v>
      </c>
      <c r="U315" s="33">
        <f t="shared" si="14"/>
        <v>1</v>
      </c>
      <c r="V315" s="33">
        <f t="shared" si="15"/>
        <v>1</v>
      </c>
      <c r="W315" s="33">
        <f t="shared" si="16"/>
        <v>1</v>
      </c>
      <c r="X315" s="33">
        <f t="shared" si="17"/>
        <v>2</v>
      </c>
      <c r="Y315" s="33">
        <f t="shared" si="18"/>
        <v>2</v>
      </c>
      <c r="Z315" s="33">
        <f t="shared" si="19"/>
        <v>2</v>
      </c>
      <c r="AA315" s="33">
        <f t="shared" si="20"/>
        <v>3</v>
      </c>
      <c r="AB315" s="33">
        <f t="shared" si="21"/>
        <v>3</v>
      </c>
      <c r="AC315" s="33">
        <f t="shared" si="22"/>
        <v>3</v>
      </c>
      <c r="AD315" s="33"/>
      <c r="AE315" s="32">
        <v>0</v>
      </c>
      <c r="AF315" s="32">
        <f t="shared" si="23"/>
        <v>3</v>
      </c>
      <c r="AG315" s="32">
        <f t="shared" si="10"/>
        <v>6</v>
      </c>
      <c r="AH315" s="32">
        <f t="shared" si="10"/>
        <v>9</v>
      </c>
      <c r="AI315" s="32">
        <f t="shared" si="10"/>
        <v>12</v>
      </c>
      <c r="AJ315" s="32">
        <f t="shared" si="10"/>
        <v>8</v>
      </c>
      <c r="AK315" s="32">
        <f t="shared" si="10"/>
        <v>14</v>
      </c>
      <c r="AL315" s="32">
        <f t="shared" si="10"/>
        <v>20</v>
      </c>
      <c r="AM315" s="32">
        <f t="shared" si="10"/>
        <v>9</v>
      </c>
      <c r="AN315" s="32">
        <f t="shared" si="10"/>
        <v>18</v>
      </c>
      <c r="AO315" s="32">
        <f t="shared" si="10"/>
        <v>27</v>
      </c>
      <c r="AR315" s="32">
        <f t="shared" si="24"/>
        <v>5</v>
      </c>
      <c r="AS315" s="32">
        <f t="shared" si="25"/>
        <v>5</v>
      </c>
      <c r="AT315" s="32">
        <f t="shared" si="26"/>
        <v>5</v>
      </c>
      <c r="AU315" s="32">
        <f t="shared" si="27"/>
        <v>5</v>
      </c>
      <c r="AV315" s="32">
        <f t="shared" si="28"/>
        <v>10</v>
      </c>
      <c r="AW315" s="32">
        <f t="shared" si="29"/>
        <v>10</v>
      </c>
      <c r="AX315" s="32">
        <f t="shared" si="30"/>
        <v>10</v>
      </c>
      <c r="AY315" s="32">
        <f t="shared" si="31"/>
        <v>15</v>
      </c>
      <c r="AZ315" s="32">
        <f t="shared" si="32"/>
        <v>15</v>
      </c>
      <c r="BA315" s="32">
        <f t="shared" si="33"/>
        <v>15</v>
      </c>
    </row>
    <row r="316" spans="2:53" s="32" customFormat="1" ht="24.95" customHeight="1">
      <c r="B316" s="51">
        <v>135</v>
      </c>
      <c r="C316" s="51">
        <v>7</v>
      </c>
      <c r="D316" s="67">
        <v>11</v>
      </c>
      <c r="E316" s="55">
        <f t="shared" si="34"/>
        <v>95</v>
      </c>
      <c r="F316" s="131">
        <f>IF(ISBLANK(E316),0,IF(E316=Answers!E316,1,-1))</f>
        <v>1</v>
      </c>
      <c r="G316" s="66">
        <v>4</v>
      </c>
      <c r="H316" s="66">
        <v>2</v>
      </c>
      <c r="I316" s="66">
        <v>5</v>
      </c>
      <c r="J316" s="66">
        <v>5</v>
      </c>
      <c r="K316" s="66">
        <v>3</v>
      </c>
      <c r="L316" s="66">
        <v>2</v>
      </c>
      <c r="M316" s="66">
        <v>2</v>
      </c>
      <c r="N316" s="66">
        <v>5</v>
      </c>
      <c r="O316" s="66">
        <v>2</v>
      </c>
      <c r="P316" s="33"/>
      <c r="Q316" s="33">
        <f t="shared" si="12"/>
        <v>30</v>
      </c>
      <c r="R316" s="33"/>
      <c r="S316" s="33">
        <v>1</v>
      </c>
      <c r="T316" s="33">
        <f t="shared" si="13"/>
        <v>1</v>
      </c>
      <c r="U316" s="33">
        <f t="shared" si="14"/>
        <v>1</v>
      </c>
      <c r="V316" s="33">
        <f t="shared" si="15"/>
        <v>1</v>
      </c>
      <c r="W316" s="33">
        <f t="shared" si="16"/>
        <v>1</v>
      </c>
      <c r="X316" s="33">
        <f t="shared" si="17"/>
        <v>2</v>
      </c>
      <c r="Y316" s="33">
        <f t="shared" si="18"/>
        <v>2</v>
      </c>
      <c r="Z316" s="33">
        <f t="shared" si="19"/>
        <v>2</v>
      </c>
      <c r="AA316" s="33">
        <f t="shared" si="20"/>
        <v>3</v>
      </c>
      <c r="AB316" s="33">
        <f t="shared" si="21"/>
        <v>3</v>
      </c>
      <c r="AC316" s="33">
        <f t="shared" si="22"/>
        <v>3</v>
      </c>
      <c r="AD316" s="33"/>
      <c r="AE316" s="32">
        <v>0</v>
      </c>
      <c r="AF316" s="32">
        <f t="shared" si="23"/>
        <v>3</v>
      </c>
      <c r="AG316" s="32">
        <f t="shared" si="10"/>
        <v>6</v>
      </c>
      <c r="AH316" s="32">
        <f t="shared" si="10"/>
        <v>9</v>
      </c>
      <c r="AI316" s="32">
        <f t="shared" si="10"/>
        <v>12</v>
      </c>
      <c r="AJ316" s="32">
        <f t="shared" si="10"/>
        <v>8</v>
      </c>
      <c r="AK316" s="32">
        <f t="shared" si="10"/>
        <v>14</v>
      </c>
      <c r="AL316" s="32">
        <f t="shared" si="10"/>
        <v>20</v>
      </c>
      <c r="AM316" s="32">
        <f t="shared" si="10"/>
        <v>9</v>
      </c>
      <c r="AN316" s="32">
        <f t="shared" si="10"/>
        <v>18</v>
      </c>
      <c r="AO316" s="32">
        <f t="shared" si="10"/>
        <v>27</v>
      </c>
      <c r="AR316" s="32">
        <f t="shared" si="24"/>
        <v>5</v>
      </c>
      <c r="AS316" s="32">
        <f t="shared" si="25"/>
        <v>5</v>
      </c>
      <c r="AT316" s="32">
        <f t="shared" si="26"/>
        <v>5</v>
      </c>
      <c r="AU316" s="32">
        <f t="shared" si="27"/>
        <v>5</v>
      </c>
      <c r="AV316" s="32">
        <f t="shared" si="28"/>
        <v>10</v>
      </c>
      <c r="AW316" s="32">
        <f t="shared" si="29"/>
        <v>10</v>
      </c>
      <c r="AX316" s="32">
        <f t="shared" si="30"/>
        <v>10</v>
      </c>
      <c r="AY316" s="32">
        <f t="shared" si="31"/>
        <v>15</v>
      </c>
      <c r="AZ316" s="32">
        <f t="shared" si="32"/>
        <v>15</v>
      </c>
      <c r="BA316" s="32">
        <f t="shared" si="33"/>
        <v>15</v>
      </c>
    </row>
    <row r="317" spans="2:53" s="32" customFormat="1" ht="24.95" customHeight="1">
      <c r="B317" s="51">
        <v>136</v>
      </c>
      <c r="C317" s="51">
        <v>7</v>
      </c>
      <c r="D317" s="67">
        <v>11</v>
      </c>
      <c r="E317" s="55">
        <f t="shared" si="34"/>
        <v>82</v>
      </c>
      <c r="F317" s="131">
        <f>IF(ISBLANK(E317),0,IF(E317=Answers!E317,1,-1))</f>
        <v>1</v>
      </c>
      <c r="G317" s="66">
        <v>4</v>
      </c>
      <c r="H317" s="66">
        <v>3</v>
      </c>
      <c r="I317" s="66">
        <v>4</v>
      </c>
      <c r="J317" s="66">
        <v>3</v>
      </c>
      <c r="K317" s="66">
        <v>2</v>
      </c>
      <c r="L317" s="66">
        <v>3</v>
      </c>
      <c r="M317" s="66">
        <v>5</v>
      </c>
      <c r="N317" s="66">
        <v>4</v>
      </c>
      <c r="O317" s="66">
        <v>3</v>
      </c>
      <c r="P317" s="33"/>
      <c r="Q317" s="33">
        <f t="shared" si="12"/>
        <v>31</v>
      </c>
      <c r="R317" s="33"/>
      <c r="S317" s="33">
        <v>1</v>
      </c>
      <c r="T317" s="33">
        <f t="shared" si="13"/>
        <v>1</v>
      </c>
      <c r="U317" s="33">
        <f t="shared" si="14"/>
        <v>1</v>
      </c>
      <c r="V317" s="33">
        <f t="shared" si="15"/>
        <v>1</v>
      </c>
      <c r="W317" s="33">
        <f t="shared" si="16"/>
        <v>1</v>
      </c>
      <c r="X317" s="33">
        <f t="shared" si="17"/>
        <v>2</v>
      </c>
      <c r="Y317" s="33">
        <f t="shared" si="18"/>
        <v>2</v>
      </c>
      <c r="Z317" s="33">
        <f t="shared" si="19"/>
        <v>2</v>
      </c>
      <c r="AA317" s="33">
        <f t="shared" si="20"/>
        <v>2</v>
      </c>
      <c r="AB317" s="33">
        <f t="shared" si="21"/>
        <v>3</v>
      </c>
      <c r="AC317" s="33">
        <f t="shared" si="22"/>
        <v>3</v>
      </c>
      <c r="AD317" s="33"/>
      <c r="AE317" s="32">
        <v>0</v>
      </c>
      <c r="AF317" s="32">
        <f t="shared" si="23"/>
        <v>3</v>
      </c>
      <c r="AG317" s="32">
        <f t="shared" si="10"/>
        <v>6</v>
      </c>
      <c r="AH317" s="32">
        <f t="shared" si="10"/>
        <v>9</v>
      </c>
      <c r="AI317" s="32">
        <f t="shared" si="10"/>
        <v>12</v>
      </c>
      <c r="AJ317" s="32">
        <f t="shared" si="10"/>
        <v>7</v>
      </c>
      <c r="AK317" s="32">
        <f t="shared" si="10"/>
        <v>12</v>
      </c>
      <c r="AL317" s="32">
        <f t="shared" si="10"/>
        <v>17</v>
      </c>
      <c r="AM317" s="32">
        <f t="shared" si="10"/>
        <v>22</v>
      </c>
      <c r="AN317" s="32">
        <f t="shared" si="10"/>
        <v>9</v>
      </c>
      <c r="AO317" s="32">
        <f t="shared" si="10"/>
        <v>16</v>
      </c>
      <c r="AR317" s="32">
        <f t="shared" si="24"/>
        <v>5</v>
      </c>
      <c r="AS317" s="32">
        <f t="shared" si="25"/>
        <v>5</v>
      </c>
      <c r="AT317" s="32">
        <f t="shared" si="26"/>
        <v>5</v>
      </c>
      <c r="AU317" s="32">
        <f t="shared" si="27"/>
        <v>5</v>
      </c>
      <c r="AV317" s="32">
        <f t="shared" si="28"/>
        <v>9</v>
      </c>
      <c r="AW317" s="32">
        <f t="shared" si="29"/>
        <v>9</v>
      </c>
      <c r="AX317" s="32">
        <f t="shared" si="30"/>
        <v>9</v>
      </c>
      <c r="AY317" s="32">
        <f t="shared" si="31"/>
        <v>9</v>
      </c>
      <c r="AZ317" s="32">
        <f t="shared" si="32"/>
        <v>13</v>
      </c>
      <c r="BA317" s="32">
        <f t="shared" si="33"/>
        <v>13</v>
      </c>
    </row>
    <row r="318" spans="2:53" s="32" customFormat="1" ht="24.95" customHeight="1">
      <c r="B318" s="51">
        <v>137</v>
      </c>
      <c r="C318" s="51">
        <v>7</v>
      </c>
      <c r="D318" s="67">
        <v>11</v>
      </c>
      <c r="E318" s="55">
        <f t="shared" si="34"/>
        <v>95</v>
      </c>
      <c r="F318" s="131">
        <f>IF(ISBLANK(E318),0,IF(E318=Answers!E318,1,-1))</f>
        <v>1</v>
      </c>
      <c r="G318" s="66">
        <v>5</v>
      </c>
      <c r="H318" s="66">
        <v>5</v>
      </c>
      <c r="I318" s="66">
        <v>2</v>
      </c>
      <c r="J318" s="66">
        <v>4</v>
      </c>
      <c r="K318" s="66">
        <v>3</v>
      </c>
      <c r="L318" s="66">
        <v>4</v>
      </c>
      <c r="M318" s="66">
        <v>5</v>
      </c>
      <c r="N318" s="66">
        <v>2</v>
      </c>
      <c r="O318" s="66">
        <v>3</v>
      </c>
      <c r="P318" s="33"/>
      <c r="Q318" s="33">
        <f t="shared" si="12"/>
        <v>33</v>
      </c>
      <c r="R318" s="33"/>
      <c r="S318" s="33">
        <v>1</v>
      </c>
      <c r="T318" s="33">
        <f t="shared" si="13"/>
        <v>1</v>
      </c>
      <c r="U318" s="33">
        <f t="shared" si="14"/>
        <v>1</v>
      </c>
      <c r="V318" s="33">
        <f t="shared" si="15"/>
        <v>1</v>
      </c>
      <c r="W318" s="33">
        <f t="shared" si="16"/>
        <v>1</v>
      </c>
      <c r="X318" s="33">
        <f t="shared" si="17"/>
        <v>2</v>
      </c>
      <c r="Y318" s="33">
        <f t="shared" si="18"/>
        <v>2</v>
      </c>
      <c r="Z318" s="33">
        <f t="shared" si="19"/>
        <v>2</v>
      </c>
      <c r="AA318" s="33">
        <f t="shared" si="20"/>
        <v>3</v>
      </c>
      <c r="AB318" s="33">
        <f t="shared" si="21"/>
        <v>3</v>
      </c>
      <c r="AC318" s="33">
        <f t="shared" si="22"/>
        <v>3</v>
      </c>
      <c r="AD318" s="33"/>
      <c r="AE318" s="32">
        <v>0</v>
      </c>
      <c r="AF318" s="32">
        <f t="shared" si="23"/>
        <v>3</v>
      </c>
      <c r="AG318" s="32">
        <f t="shared" ref="AG318:AG321" si="35">IF(U318&gt;T318,AF318-10*T318,AF318)+SUM(_xlfn.TAKE(_xlfn._xlws.SORT($G318:$O318,,-1,1),1,U318))-2*U318</f>
        <v>6</v>
      </c>
      <c r="AH318" s="32">
        <f t="shared" ref="AH318:AH321" si="36">IF(V318&gt;U318,AG318-10*U318,AG318)+SUM(_xlfn.TAKE(_xlfn._xlws.SORT($G318:$O318,,-1,1),1,V318))-2*V318</f>
        <v>9</v>
      </c>
      <c r="AI318" s="32">
        <f t="shared" ref="AI318:AI321" si="37">IF(W318&gt;V318,AH318-10*V318,AH318)+SUM(_xlfn.TAKE(_xlfn._xlws.SORT($G318:$O318,,-1,1),1,W318))-2*W318</f>
        <v>12</v>
      </c>
      <c r="AJ318" s="32">
        <f t="shared" ref="AJ318:AJ321" si="38">IF(X318&gt;W318,AI318-10*W318,AI318)+SUM(_xlfn.TAKE(_xlfn._xlws.SORT($G318:$O318,,-1,1),1,X318))-2*X318</f>
        <v>8</v>
      </c>
      <c r="AK318" s="32">
        <f t="shared" ref="AK318:AK321" si="39">IF(Y318&gt;X318,AJ318-10*X318,AJ318)+SUM(_xlfn.TAKE(_xlfn._xlws.SORT($G318:$O318,,-1,1),1,Y318))-2*Y318</f>
        <v>14</v>
      </c>
      <c r="AL318" s="32">
        <f t="shared" ref="AL318:AL321" si="40">IF(Z318&gt;Y318,AK318-10*Y318,AK318)+SUM(_xlfn.TAKE(_xlfn._xlws.SORT($G318:$O318,,-1,1),1,Z318))-2*Z318</f>
        <v>20</v>
      </c>
      <c r="AM318" s="32">
        <f t="shared" ref="AM318:AM321" si="41">IF(AA318&gt;Z318,AL318-10*Z318,AL318)+SUM(_xlfn.TAKE(_xlfn._xlws.SORT($G318:$O318,,-1,1),1,AA318))-2*AA318</f>
        <v>9</v>
      </c>
      <c r="AN318" s="32">
        <f t="shared" ref="AN318:AN321" si="42">IF(AB318&gt;AA318,AM318-10*AA318,AM318)+SUM(_xlfn.TAKE(_xlfn._xlws.SORT($G318:$O318,,-1,1),1,AB318))-2*AB318</f>
        <v>18</v>
      </c>
      <c r="AO318" s="32">
        <f t="shared" ref="AO318:AO321" si="43">IF(AC318&gt;AB318,AN318-10*AB318,AN318)+SUM(_xlfn.TAKE(_xlfn._xlws.SORT($G318:$O318,,-1,1),1,AC318))-2*AC318</f>
        <v>27</v>
      </c>
      <c r="AR318" s="32">
        <f t="shared" si="24"/>
        <v>5</v>
      </c>
      <c r="AS318" s="32">
        <f t="shared" si="25"/>
        <v>5</v>
      </c>
      <c r="AT318" s="32">
        <f t="shared" si="26"/>
        <v>5</v>
      </c>
      <c r="AU318" s="32">
        <f t="shared" si="27"/>
        <v>5</v>
      </c>
      <c r="AV318" s="32">
        <f t="shared" si="28"/>
        <v>10</v>
      </c>
      <c r="AW318" s="32">
        <f t="shared" si="29"/>
        <v>10</v>
      </c>
      <c r="AX318" s="32">
        <f t="shared" si="30"/>
        <v>10</v>
      </c>
      <c r="AY318" s="32">
        <f t="shared" si="31"/>
        <v>15</v>
      </c>
      <c r="AZ318" s="32">
        <f t="shared" si="32"/>
        <v>15</v>
      </c>
      <c r="BA318" s="32">
        <f t="shared" si="33"/>
        <v>15</v>
      </c>
    </row>
    <row r="319" spans="2:53" s="32" customFormat="1" ht="24.95" customHeight="1">
      <c r="B319" s="51">
        <v>138</v>
      </c>
      <c r="C319" s="51">
        <v>7</v>
      </c>
      <c r="D319" s="67">
        <v>11</v>
      </c>
      <c r="E319" s="55">
        <f t="shared" si="34"/>
        <v>92</v>
      </c>
      <c r="F319" s="131">
        <f>IF(ISBLANK(E319),0,IF(E319=Answers!E319,1,-1))</f>
        <v>1</v>
      </c>
      <c r="G319" s="66">
        <v>3</v>
      </c>
      <c r="H319" s="66">
        <v>3</v>
      </c>
      <c r="I319" s="66">
        <v>2</v>
      </c>
      <c r="J319" s="66">
        <v>5</v>
      </c>
      <c r="K319" s="66">
        <v>4</v>
      </c>
      <c r="L319" s="66">
        <v>4</v>
      </c>
      <c r="M319" s="66">
        <v>5</v>
      </c>
      <c r="N319" s="66">
        <v>2</v>
      </c>
      <c r="O319" s="66">
        <v>4</v>
      </c>
      <c r="P319" s="33"/>
      <c r="Q319" s="33">
        <f t="shared" si="12"/>
        <v>32</v>
      </c>
      <c r="R319" s="33"/>
      <c r="S319" s="33">
        <v>1</v>
      </c>
      <c r="T319" s="33">
        <f t="shared" si="13"/>
        <v>1</v>
      </c>
      <c r="U319" s="33">
        <f t="shared" si="14"/>
        <v>1</v>
      </c>
      <c r="V319" s="33">
        <f t="shared" si="15"/>
        <v>1</v>
      </c>
      <c r="W319" s="33">
        <f t="shared" si="16"/>
        <v>1</v>
      </c>
      <c r="X319" s="33">
        <f t="shared" si="17"/>
        <v>2</v>
      </c>
      <c r="Y319" s="33">
        <f t="shared" si="18"/>
        <v>2</v>
      </c>
      <c r="Z319" s="33">
        <f t="shared" si="19"/>
        <v>2</v>
      </c>
      <c r="AA319" s="33">
        <f t="shared" si="20"/>
        <v>3</v>
      </c>
      <c r="AB319" s="33">
        <f t="shared" si="21"/>
        <v>3</v>
      </c>
      <c r="AC319" s="33">
        <f t="shared" si="22"/>
        <v>3</v>
      </c>
      <c r="AD319" s="33"/>
      <c r="AE319" s="32">
        <v>0</v>
      </c>
      <c r="AF319" s="32">
        <f t="shared" si="23"/>
        <v>3</v>
      </c>
      <c r="AG319" s="32">
        <f t="shared" si="35"/>
        <v>6</v>
      </c>
      <c r="AH319" s="32">
        <f t="shared" si="36"/>
        <v>9</v>
      </c>
      <c r="AI319" s="32">
        <f t="shared" si="37"/>
        <v>12</v>
      </c>
      <c r="AJ319" s="32">
        <f t="shared" si="38"/>
        <v>8</v>
      </c>
      <c r="AK319" s="32">
        <f t="shared" si="39"/>
        <v>14</v>
      </c>
      <c r="AL319" s="32">
        <f t="shared" si="40"/>
        <v>20</v>
      </c>
      <c r="AM319" s="32">
        <f t="shared" si="41"/>
        <v>8</v>
      </c>
      <c r="AN319" s="32">
        <f t="shared" si="42"/>
        <v>16</v>
      </c>
      <c r="AO319" s="32">
        <f t="shared" si="43"/>
        <v>24</v>
      </c>
      <c r="AR319" s="32">
        <f t="shared" si="24"/>
        <v>5</v>
      </c>
      <c r="AS319" s="32">
        <f t="shared" si="25"/>
        <v>5</v>
      </c>
      <c r="AT319" s="32">
        <f t="shared" si="26"/>
        <v>5</v>
      </c>
      <c r="AU319" s="32">
        <f t="shared" si="27"/>
        <v>5</v>
      </c>
      <c r="AV319" s="32">
        <f t="shared" si="28"/>
        <v>10</v>
      </c>
      <c r="AW319" s="32">
        <f t="shared" si="29"/>
        <v>10</v>
      </c>
      <c r="AX319" s="32">
        <f t="shared" si="30"/>
        <v>10</v>
      </c>
      <c r="AY319" s="32">
        <f t="shared" si="31"/>
        <v>14</v>
      </c>
      <c r="AZ319" s="32">
        <f t="shared" si="32"/>
        <v>14</v>
      </c>
      <c r="BA319" s="32">
        <f t="shared" si="33"/>
        <v>14</v>
      </c>
    </row>
    <row r="320" spans="2:53" s="32" customFormat="1" ht="24.95" customHeight="1">
      <c r="B320" s="51">
        <v>139</v>
      </c>
      <c r="C320" s="51">
        <v>7</v>
      </c>
      <c r="D320" s="67">
        <v>11</v>
      </c>
      <c r="E320" s="55">
        <f t="shared" si="34"/>
        <v>92</v>
      </c>
      <c r="F320" s="131">
        <f>IF(ISBLANK(E320),0,IF(E320=Answers!E320,1,-1))</f>
        <v>1</v>
      </c>
      <c r="G320" s="66">
        <v>5</v>
      </c>
      <c r="H320" s="66">
        <v>2</v>
      </c>
      <c r="I320" s="66">
        <v>4</v>
      </c>
      <c r="J320" s="66">
        <v>2</v>
      </c>
      <c r="K320" s="66">
        <v>3</v>
      </c>
      <c r="L320" s="66">
        <v>3</v>
      </c>
      <c r="M320" s="66">
        <v>2</v>
      </c>
      <c r="N320" s="66">
        <v>4</v>
      </c>
      <c r="O320" s="66">
        <v>5</v>
      </c>
      <c r="P320" s="33"/>
      <c r="Q320" s="33">
        <f t="shared" si="12"/>
        <v>30</v>
      </c>
      <c r="R320" s="33"/>
      <c r="S320" s="33">
        <v>1</v>
      </c>
      <c r="T320" s="33">
        <f t="shared" si="13"/>
        <v>1</v>
      </c>
      <c r="U320" s="33">
        <f t="shared" si="14"/>
        <v>1</v>
      </c>
      <c r="V320" s="33">
        <f t="shared" si="15"/>
        <v>1</v>
      </c>
      <c r="W320" s="33">
        <f t="shared" si="16"/>
        <v>1</v>
      </c>
      <c r="X320" s="33">
        <f t="shared" si="17"/>
        <v>2</v>
      </c>
      <c r="Y320" s="33">
        <f t="shared" si="18"/>
        <v>2</v>
      </c>
      <c r="Z320" s="33">
        <f t="shared" si="19"/>
        <v>2</v>
      </c>
      <c r="AA320" s="33">
        <f t="shared" si="20"/>
        <v>3</v>
      </c>
      <c r="AB320" s="33">
        <f t="shared" si="21"/>
        <v>3</v>
      </c>
      <c r="AC320" s="33">
        <f t="shared" si="22"/>
        <v>3</v>
      </c>
      <c r="AD320" s="33"/>
      <c r="AE320" s="32">
        <v>0</v>
      </c>
      <c r="AF320" s="32">
        <f t="shared" si="23"/>
        <v>3</v>
      </c>
      <c r="AG320" s="32">
        <f t="shared" si="35"/>
        <v>6</v>
      </c>
      <c r="AH320" s="32">
        <f t="shared" si="36"/>
        <v>9</v>
      </c>
      <c r="AI320" s="32">
        <f t="shared" si="37"/>
        <v>12</v>
      </c>
      <c r="AJ320" s="32">
        <f t="shared" si="38"/>
        <v>8</v>
      </c>
      <c r="AK320" s="32">
        <f t="shared" si="39"/>
        <v>14</v>
      </c>
      <c r="AL320" s="32">
        <f t="shared" si="40"/>
        <v>20</v>
      </c>
      <c r="AM320" s="32">
        <f t="shared" si="41"/>
        <v>8</v>
      </c>
      <c r="AN320" s="32">
        <f t="shared" si="42"/>
        <v>16</v>
      </c>
      <c r="AO320" s="32">
        <f t="shared" si="43"/>
        <v>24</v>
      </c>
      <c r="AR320" s="32">
        <f t="shared" si="24"/>
        <v>5</v>
      </c>
      <c r="AS320" s="32">
        <f t="shared" si="25"/>
        <v>5</v>
      </c>
      <c r="AT320" s="32">
        <f t="shared" si="26"/>
        <v>5</v>
      </c>
      <c r="AU320" s="32">
        <f t="shared" si="27"/>
        <v>5</v>
      </c>
      <c r="AV320" s="32">
        <f t="shared" si="28"/>
        <v>10</v>
      </c>
      <c r="AW320" s="32">
        <f t="shared" si="29"/>
        <v>10</v>
      </c>
      <c r="AX320" s="32">
        <f t="shared" si="30"/>
        <v>10</v>
      </c>
      <c r="AY320" s="32">
        <f t="shared" si="31"/>
        <v>14</v>
      </c>
      <c r="AZ320" s="32">
        <f t="shared" si="32"/>
        <v>14</v>
      </c>
      <c r="BA320" s="32">
        <f t="shared" si="33"/>
        <v>14</v>
      </c>
    </row>
    <row r="321" spans="2:141" s="32" customFormat="1" ht="24.95" customHeight="1">
      <c r="B321" s="51">
        <v>140</v>
      </c>
      <c r="C321" s="51">
        <v>7</v>
      </c>
      <c r="D321" s="67">
        <v>11</v>
      </c>
      <c r="E321" s="55">
        <f t="shared" si="34"/>
        <v>95</v>
      </c>
      <c r="F321" s="131">
        <f>IF(ISBLANK(E321),0,IF(E321=Answers!E321,1,-1))</f>
        <v>1</v>
      </c>
      <c r="G321" s="66">
        <v>2</v>
      </c>
      <c r="H321" s="66">
        <v>5</v>
      </c>
      <c r="I321" s="66">
        <v>5</v>
      </c>
      <c r="J321" s="66">
        <v>4</v>
      </c>
      <c r="K321" s="66">
        <v>4</v>
      </c>
      <c r="L321" s="66">
        <v>2</v>
      </c>
      <c r="M321" s="66">
        <v>5</v>
      </c>
      <c r="N321" s="66">
        <v>2</v>
      </c>
      <c r="O321" s="66">
        <v>4</v>
      </c>
      <c r="P321" s="33"/>
      <c r="Q321" s="33">
        <f t="shared" si="12"/>
        <v>33</v>
      </c>
      <c r="R321" s="33"/>
      <c r="S321" s="33">
        <v>1</v>
      </c>
      <c r="T321" s="33">
        <f t="shared" si="13"/>
        <v>1</v>
      </c>
      <c r="U321" s="33">
        <f t="shared" si="14"/>
        <v>1</v>
      </c>
      <c r="V321" s="33">
        <f t="shared" si="15"/>
        <v>1</v>
      </c>
      <c r="W321" s="33">
        <f t="shared" si="16"/>
        <v>1</v>
      </c>
      <c r="X321" s="33">
        <f t="shared" si="17"/>
        <v>2</v>
      </c>
      <c r="Y321" s="33">
        <f t="shared" si="18"/>
        <v>2</v>
      </c>
      <c r="Z321" s="33">
        <f t="shared" si="19"/>
        <v>2</v>
      </c>
      <c r="AA321" s="33">
        <f t="shared" si="20"/>
        <v>3</v>
      </c>
      <c r="AB321" s="33">
        <f t="shared" si="21"/>
        <v>3</v>
      </c>
      <c r="AC321" s="33">
        <f t="shared" si="22"/>
        <v>3</v>
      </c>
      <c r="AD321" s="33"/>
      <c r="AE321" s="32">
        <v>0</v>
      </c>
      <c r="AF321" s="32">
        <f t="shared" si="23"/>
        <v>3</v>
      </c>
      <c r="AG321" s="32">
        <f t="shared" si="35"/>
        <v>6</v>
      </c>
      <c r="AH321" s="32">
        <f t="shared" si="36"/>
        <v>9</v>
      </c>
      <c r="AI321" s="32">
        <f t="shared" si="37"/>
        <v>12</v>
      </c>
      <c r="AJ321" s="32">
        <f t="shared" si="38"/>
        <v>8</v>
      </c>
      <c r="AK321" s="32">
        <f t="shared" si="39"/>
        <v>14</v>
      </c>
      <c r="AL321" s="32">
        <f t="shared" si="40"/>
        <v>20</v>
      </c>
      <c r="AM321" s="32">
        <f t="shared" si="41"/>
        <v>9</v>
      </c>
      <c r="AN321" s="32">
        <f t="shared" si="42"/>
        <v>18</v>
      </c>
      <c r="AO321" s="32">
        <f t="shared" si="43"/>
        <v>27</v>
      </c>
      <c r="AR321" s="32">
        <f t="shared" si="24"/>
        <v>5</v>
      </c>
      <c r="AS321" s="32">
        <f t="shared" si="25"/>
        <v>5</v>
      </c>
      <c r="AT321" s="32">
        <f t="shared" si="26"/>
        <v>5</v>
      </c>
      <c r="AU321" s="32">
        <f t="shared" si="27"/>
        <v>5</v>
      </c>
      <c r="AV321" s="32">
        <f t="shared" si="28"/>
        <v>10</v>
      </c>
      <c r="AW321" s="32">
        <f t="shared" si="29"/>
        <v>10</v>
      </c>
      <c r="AX321" s="32">
        <f t="shared" si="30"/>
        <v>10</v>
      </c>
      <c r="AY321" s="32">
        <f t="shared" si="31"/>
        <v>15</v>
      </c>
      <c r="AZ321" s="32">
        <f t="shared" si="32"/>
        <v>15</v>
      </c>
      <c r="BA321" s="32">
        <f t="shared" si="33"/>
        <v>15</v>
      </c>
    </row>
    <row r="322" spans="2:141">
      <c r="AP322" s="32"/>
      <c r="AQ322" s="32"/>
      <c r="AR322" s="32"/>
      <c r="AS322" s="32"/>
      <c r="AT322" s="32"/>
      <c r="AU322" s="32"/>
      <c r="AV322" s="32"/>
      <c r="AW322" s="32"/>
      <c r="AX322" s="32"/>
      <c r="AY322" s="32"/>
      <c r="AZ322" s="32"/>
      <c r="BA322" s="32"/>
      <c r="BB322" s="32"/>
      <c r="BC322" s="32"/>
      <c r="BD322" s="32"/>
      <c r="BE322" s="32"/>
      <c r="BF322" s="32"/>
      <c r="BG322" s="32"/>
      <c r="BH322" s="32"/>
      <c r="BI322" s="32"/>
      <c r="BJ322" s="32"/>
      <c r="BK322" s="32"/>
      <c r="BL322" s="32"/>
      <c r="BM322" s="32"/>
      <c r="BN322" s="32"/>
      <c r="BO322" s="32"/>
      <c r="BP322" s="32"/>
      <c r="BQ322" s="32"/>
      <c r="BR322" s="32"/>
      <c r="BS322" s="32"/>
      <c r="BT322" s="32"/>
      <c r="BU322" s="32"/>
      <c r="BV322" s="32"/>
      <c r="BW322" s="32"/>
      <c r="BX322" s="32"/>
      <c r="BY322" s="32"/>
      <c r="BZ322" s="32"/>
      <c r="CA322" s="32"/>
      <c r="CB322" s="32"/>
      <c r="CC322" s="32"/>
      <c r="CD322" s="32"/>
      <c r="CE322" s="32"/>
      <c r="CF322" s="32"/>
      <c r="CG322" s="32"/>
      <c r="CH322" s="32"/>
      <c r="CI322" s="32"/>
      <c r="CJ322" s="32"/>
      <c r="CK322" s="32"/>
      <c r="CL322" s="32"/>
      <c r="CM322" s="32"/>
      <c r="CN322" s="32"/>
      <c r="CO322" s="32"/>
      <c r="CP322" s="32"/>
      <c r="CQ322" s="32"/>
      <c r="CR322" s="32"/>
      <c r="CS322" s="32"/>
      <c r="CT322" s="32"/>
      <c r="CU322" s="32"/>
      <c r="CV322" s="32"/>
      <c r="CW322" s="32"/>
      <c r="CX322" s="32"/>
      <c r="CY322" s="32"/>
      <c r="CZ322" s="32"/>
      <c r="DA322" s="32"/>
      <c r="DB322" s="32"/>
      <c r="DC322" s="32"/>
      <c r="DD322" s="32"/>
      <c r="DE322" s="32"/>
      <c r="DF322" s="32"/>
      <c r="DG322" s="32"/>
      <c r="DH322" s="32"/>
      <c r="DI322" s="32"/>
      <c r="DJ322" s="32"/>
      <c r="DK322" s="32"/>
      <c r="DL322" s="32"/>
      <c r="DM322" s="32"/>
      <c r="DN322" s="32"/>
      <c r="DO322" s="32"/>
      <c r="DP322" s="32"/>
      <c r="DQ322" s="32"/>
      <c r="DR322" s="32"/>
      <c r="DS322" s="32"/>
      <c r="DT322" s="32"/>
      <c r="DU322" s="32"/>
      <c r="DV322" s="32"/>
      <c r="DW322" s="32"/>
      <c r="DX322" s="32"/>
      <c r="DY322" s="32"/>
      <c r="DZ322" s="32"/>
      <c r="EA322" s="32"/>
      <c r="EB322" s="32"/>
      <c r="EC322" s="32"/>
      <c r="ED322" s="32"/>
      <c r="EE322" s="32"/>
      <c r="EF322" s="32"/>
      <c r="EG322" s="32"/>
      <c r="EH322" s="32"/>
      <c r="EI322" s="32"/>
      <c r="EJ322" s="32"/>
      <c r="EK322" s="32"/>
    </row>
    <row r="323" spans="2:141">
      <c r="AP323" s="32"/>
      <c r="AQ323" s="32"/>
      <c r="AR323" s="32"/>
      <c r="AS323" s="32"/>
      <c r="AT323" s="32"/>
      <c r="AU323" s="32"/>
      <c r="AV323" s="32"/>
      <c r="AW323" s="32"/>
      <c r="AX323" s="32"/>
      <c r="AY323" s="32"/>
      <c r="AZ323" s="32"/>
      <c r="BA323" s="32"/>
      <c r="BB323" s="32"/>
      <c r="BC323" s="32"/>
      <c r="BD323" s="32"/>
      <c r="BE323" s="32"/>
      <c r="BF323" s="32"/>
      <c r="BG323" s="32"/>
      <c r="BH323" s="32"/>
      <c r="BI323" s="32"/>
      <c r="BJ323" s="32"/>
      <c r="BK323" s="32"/>
      <c r="BL323" s="32"/>
      <c r="BM323" s="32"/>
      <c r="BN323" s="32"/>
      <c r="BO323" s="32"/>
      <c r="BP323" s="32"/>
      <c r="BQ323" s="32"/>
      <c r="BR323" s="32"/>
      <c r="BS323" s="32"/>
      <c r="BT323" s="32"/>
      <c r="BU323" s="32"/>
      <c r="BV323" s="32"/>
      <c r="BW323" s="32"/>
      <c r="BX323" s="32"/>
      <c r="BY323" s="32"/>
      <c r="BZ323" s="32"/>
      <c r="CA323" s="32"/>
      <c r="CB323" s="32"/>
      <c r="CC323" s="32"/>
      <c r="CD323" s="32"/>
      <c r="CE323" s="32"/>
      <c r="CF323" s="32"/>
      <c r="CG323" s="32"/>
      <c r="CH323" s="32"/>
      <c r="CI323" s="32"/>
      <c r="CJ323" s="32"/>
      <c r="CK323" s="32"/>
      <c r="CL323" s="32"/>
      <c r="CM323" s="32"/>
      <c r="CN323" s="32"/>
      <c r="CO323" s="32"/>
      <c r="CP323" s="32"/>
      <c r="CQ323" s="32"/>
      <c r="CR323" s="32"/>
      <c r="CS323" s="32"/>
      <c r="CT323" s="32"/>
      <c r="CU323" s="32"/>
      <c r="CV323" s="32"/>
      <c r="CW323" s="32"/>
      <c r="CX323" s="32"/>
      <c r="CY323" s="32"/>
      <c r="CZ323" s="32"/>
      <c r="DA323" s="32"/>
      <c r="DB323" s="32"/>
      <c r="DC323" s="32"/>
      <c r="DD323" s="32"/>
      <c r="DE323" s="32"/>
      <c r="DF323" s="32"/>
      <c r="DG323" s="32"/>
      <c r="DH323" s="32"/>
      <c r="DI323" s="32"/>
      <c r="DJ323" s="32"/>
      <c r="DK323" s="32"/>
      <c r="DL323" s="32"/>
      <c r="DM323" s="32"/>
      <c r="DN323" s="32"/>
      <c r="DO323" s="32"/>
      <c r="DP323" s="32"/>
      <c r="DQ323" s="32"/>
      <c r="DR323" s="32"/>
      <c r="DS323" s="32"/>
      <c r="DT323" s="32"/>
      <c r="DU323" s="32"/>
      <c r="DV323" s="32"/>
      <c r="DW323" s="32"/>
      <c r="DX323" s="32"/>
      <c r="DY323" s="32"/>
      <c r="DZ323" s="32"/>
      <c r="EA323" s="32"/>
      <c r="EB323" s="32"/>
      <c r="EC323" s="32"/>
      <c r="ED323" s="32"/>
      <c r="EE323" s="32"/>
      <c r="EF323" s="32"/>
      <c r="EG323" s="32"/>
      <c r="EH323" s="32"/>
      <c r="EI323" s="32"/>
      <c r="EJ323" s="32"/>
      <c r="EK323" s="32"/>
    </row>
    <row r="324" spans="2:141">
      <c r="AP324" s="32"/>
      <c r="AQ324" s="32"/>
      <c r="AR324" s="32"/>
      <c r="AS324" s="32"/>
      <c r="AT324" s="32"/>
      <c r="AU324" s="32"/>
      <c r="AV324" s="32"/>
      <c r="AW324" s="32"/>
      <c r="AX324" s="32"/>
      <c r="AY324" s="32"/>
      <c r="AZ324" s="32"/>
      <c r="BA324" s="32"/>
      <c r="BB324" s="32"/>
      <c r="BC324" s="32"/>
      <c r="BD324" s="32"/>
      <c r="BE324" s="32"/>
      <c r="BF324" s="32"/>
      <c r="BG324" s="32"/>
      <c r="BH324" s="32"/>
      <c r="BI324" s="32"/>
      <c r="BJ324" s="32"/>
      <c r="BK324" s="32"/>
      <c r="BL324" s="32"/>
      <c r="BM324" s="32"/>
      <c r="BN324" s="32"/>
      <c r="BO324" s="32"/>
      <c r="BP324" s="32"/>
      <c r="BQ324" s="32"/>
      <c r="BR324" s="32"/>
      <c r="BS324" s="32"/>
      <c r="BT324" s="32"/>
      <c r="BU324" s="32"/>
      <c r="BV324" s="32"/>
      <c r="BW324" s="32"/>
      <c r="BX324" s="32"/>
      <c r="BY324" s="32"/>
      <c r="BZ324" s="32"/>
      <c r="CA324" s="32"/>
      <c r="CB324" s="32"/>
      <c r="CC324" s="32"/>
      <c r="CD324" s="32"/>
      <c r="CE324" s="32"/>
      <c r="CF324" s="32"/>
      <c r="CG324" s="32"/>
      <c r="CH324" s="32"/>
      <c r="CI324" s="32"/>
      <c r="CJ324" s="32"/>
      <c r="CK324" s="32"/>
      <c r="CL324" s="32"/>
      <c r="CM324" s="32"/>
      <c r="CN324" s="32"/>
      <c r="CO324" s="32"/>
      <c r="CP324" s="32"/>
      <c r="CQ324" s="32"/>
      <c r="CR324" s="32"/>
      <c r="CS324" s="32"/>
      <c r="CT324" s="32"/>
      <c r="CU324" s="32"/>
      <c r="CV324" s="32"/>
      <c r="CW324" s="32"/>
      <c r="CX324" s="32"/>
      <c r="CY324" s="32"/>
      <c r="CZ324" s="32"/>
      <c r="DA324" s="32"/>
      <c r="DB324" s="32"/>
      <c r="DC324" s="32"/>
      <c r="DD324" s="32"/>
      <c r="DE324" s="32"/>
      <c r="DF324" s="32"/>
      <c r="DG324" s="32"/>
      <c r="DH324" s="32"/>
      <c r="DI324" s="32"/>
      <c r="DJ324" s="32"/>
      <c r="DK324" s="32"/>
      <c r="DL324" s="32"/>
      <c r="DM324" s="32"/>
      <c r="DN324" s="32"/>
      <c r="DO324" s="32"/>
      <c r="DP324" s="32"/>
      <c r="DQ324" s="32"/>
      <c r="DR324" s="32"/>
      <c r="DS324" s="32"/>
      <c r="DT324" s="32"/>
      <c r="DU324" s="32"/>
      <c r="DV324" s="32"/>
      <c r="DW324" s="32"/>
      <c r="DX324" s="32"/>
      <c r="DY324" s="32"/>
      <c r="DZ324" s="32"/>
      <c r="EA324" s="32"/>
      <c r="EB324" s="32"/>
      <c r="EC324" s="32"/>
      <c r="ED324" s="32"/>
      <c r="EE324" s="32"/>
      <c r="EF324" s="32"/>
      <c r="EG324" s="32"/>
      <c r="EH324" s="32"/>
      <c r="EI324" s="32"/>
      <c r="EJ324" s="32"/>
      <c r="EK324" s="32"/>
    </row>
    <row r="325" spans="2:141">
      <c r="AP325" s="32"/>
      <c r="AQ325" s="32"/>
      <c r="AR325" s="32"/>
      <c r="AS325" s="32"/>
      <c r="AT325" s="32"/>
      <c r="AU325" s="32"/>
      <c r="AV325" s="32"/>
      <c r="AW325" s="32"/>
      <c r="AX325" s="32"/>
      <c r="AY325" s="32"/>
      <c r="AZ325" s="32"/>
      <c r="BA325" s="32"/>
      <c r="BB325" s="32"/>
      <c r="BC325" s="32"/>
      <c r="BD325" s="32"/>
      <c r="BE325" s="32"/>
      <c r="BF325" s="32"/>
      <c r="BG325" s="32"/>
      <c r="BH325" s="32"/>
      <c r="BI325" s="32"/>
      <c r="BJ325" s="32"/>
      <c r="BK325" s="32"/>
      <c r="BL325" s="32"/>
      <c r="BM325" s="32"/>
      <c r="BN325" s="32"/>
      <c r="BO325" s="32"/>
      <c r="BP325" s="32"/>
      <c r="BQ325" s="32"/>
      <c r="BR325" s="32"/>
      <c r="BS325" s="32"/>
      <c r="BT325" s="32"/>
      <c r="BU325" s="32"/>
      <c r="BV325" s="32"/>
      <c r="BW325" s="32"/>
      <c r="BX325" s="32"/>
      <c r="BY325" s="32"/>
      <c r="BZ325" s="32"/>
      <c r="CA325" s="32"/>
      <c r="CB325" s="32"/>
      <c r="CC325" s="32"/>
      <c r="CD325" s="32"/>
      <c r="CE325" s="32"/>
      <c r="CF325" s="32"/>
      <c r="CG325" s="32"/>
      <c r="CH325" s="32"/>
      <c r="CI325" s="32"/>
      <c r="CJ325" s="32"/>
      <c r="CK325" s="32"/>
      <c r="CL325" s="32"/>
      <c r="CM325" s="32"/>
      <c r="CN325" s="32"/>
      <c r="CO325" s="32"/>
      <c r="CP325" s="32"/>
      <c r="CQ325" s="32"/>
      <c r="CR325" s="32"/>
      <c r="CS325" s="32"/>
      <c r="CT325" s="32"/>
      <c r="CU325" s="32"/>
      <c r="CV325" s="32"/>
      <c r="CW325" s="32"/>
      <c r="CX325" s="32"/>
      <c r="CY325" s="32"/>
      <c r="CZ325" s="32"/>
      <c r="DA325" s="32"/>
      <c r="DB325" s="32"/>
      <c r="DC325" s="32"/>
      <c r="DD325" s="32"/>
      <c r="DE325" s="32"/>
      <c r="DF325" s="32"/>
      <c r="DG325" s="32"/>
      <c r="DH325" s="32"/>
      <c r="DI325" s="32"/>
      <c r="DJ325" s="32"/>
      <c r="DK325" s="32"/>
      <c r="DL325" s="32"/>
      <c r="DM325" s="32"/>
      <c r="DN325" s="32"/>
      <c r="DO325" s="32"/>
      <c r="DP325" s="32"/>
      <c r="DQ325" s="32"/>
      <c r="DR325" s="32"/>
      <c r="DS325" s="32"/>
      <c r="DT325" s="32"/>
      <c r="DU325" s="32"/>
      <c r="DV325" s="32"/>
      <c r="DW325" s="32"/>
      <c r="DX325" s="32"/>
      <c r="DY325" s="32"/>
      <c r="DZ325" s="32"/>
      <c r="EA325" s="32"/>
      <c r="EB325" s="32"/>
      <c r="EC325" s="32"/>
      <c r="ED325" s="32"/>
      <c r="EE325" s="32"/>
      <c r="EF325" s="32"/>
      <c r="EG325" s="32"/>
      <c r="EH325" s="32"/>
      <c r="EI325" s="32"/>
      <c r="EJ325" s="32"/>
      <c r="EK325" s="32"/>
    </row>
    <row r="326" spans="2:141">
      <c r="AP326" s="32"/>
      <c r="AQ326" s="32"/>
      <c r="AR326" s="32"/>
      <c r="AS326" s="32"/>
      <c r="AT326" s="32"/>
      <c r="AU326" s="32"/>
      <c r="AV326" s="32"/>
      <c r="AW326" s="32"/>
      <c r="AX326" s="32"/>
      <c r="AY326" s="32"/>
      <c r="AZ326" s="32"/>
      <c r="BA326" s="32"/>
      <c r="BB326" s="32"/>
      <c r="BC326" s="32"/>
      <c r="BD326" s="32"/>
      <c r="BE326" s="32"/>
      <c r="BF326" s="32"/>
      <c r="BG326" s="32"/>
      <c r="BH326" s="32"/>
      <c r="BI326" s="32"/>
      <c r="BJ326" s="32"/>
      <c r="BK326" s="32"/>
      <c r="BL326" s="32"/>
      <c r="BM326" s="32"/>
      <c r="BN326" s="32"/>
      <c r="BO326" s="32"/>
      <c r="BP326" s="32"/>
      <c r="BQ326" s="32"/>
      <c r="BR326" s="32"/>
      <c r="BS326" s="32"/>
      <c r="BT326" s="32"/>
      <c r="BU326" s="32"/>
      <c r="BV326" s="32"/>
      <c r="BW326" s="32"/>
      <c r="BX326" s="32"/>
      <c r="BY326" s="32"/>
      <c r="BZ326" s="32"/>
      <c r="CA326" s="32"/>
      <c r="CB326" s="32"/>
      <c r="CC326" s="32"/>
      <c r="CD326" s="32"/>
      <c r="CE326" s="32"/>
      <c r="CF326" s="32"/>
      <c r="CG326" s="32"/>
      <c r="CH326" s="32"/>
      <c r="CI326" s="32"/>
      <c r="CJ326" s="32"/>
      <c r="CK326" s="32"/>
      <c r="CL326" s="32"/>
      <c r="CM326" s="32"/>
      <c r="CN326" s="32"/>
      <c r="CO326" s="32"/>
      <c r="CP326" s="32"/>
      <c r="CQ326" s="32"/>
      <c r="CR326" s="32"/>
      <c r="CS326" s="32"/>
      <c r="CT326" s="32"/>
      <c r="CU326" s="32"/>
      <c r="CV326" s="32"/>
      <c r="CW326" s="32"/>
      <c r="CX326" s="32"/>
      <c r="CY326" s="32"/>
      <c r="CZ326" s="32"/>
      <c r="DA326" s="32"/>
      <c r="DB326" s="32"/>
      <c r="DC326" s="32"/>
      <c r="DD326" s="32"/>
      <c r="DE326" s="32"/>
      <c r="DF326" s="32"/>
      <c r="DG326" s="32"/>
      <c r="DH326" s="32"/>
      <c r="DI326" s="32"/>
      <c r="DJ326" s="32"/>
      <c r="DK326" s="32"/>
      <c r="DL326" s="32"/>
      <c r="DM326" s="32"/>
      <c r="DN326" s="32"/>
      <c r="DO326" s="32"/>
      <c r="DP326" s="32"/>
      <c r="DQ326" s="32"/>
      <c r="DR326" s="32"/>
      <c r="DS326" s="32"/>
      <c r="DT326" s="32"/>
      <c r="DU326" s="32"/>
      <c r="DV326" s="32"/>
      <c r="DW326" s="32"/>
      <c r="DX326" s="32"/>
      <c r="DY326" s="32"/>
      <c r="DZ326" s="32"/>
      <c r="EA326" s="32"/>
      <c r="EB326" s="32"/>
      <c r="EC326" s="32"/>
      <c r="ED326" s="32"/>
      <c r="EE326" s="32"/>
      <c r="EF326" s="32"/>
      <c r="EG326" s="32"/>
      <c r="EH326" s="32"/>
      <c r="EI326" s="32"/>
      <c r="EJ326" s="32"/>
      <c r="EK326" s="32"/>
    </row>
    <row r="327" spans="2:141">
      <c r="AP327" s="32"/>
      <c r="AQ327" s="32"/>
      <c r="AR327" s="32"/>
      <c r="AS327" s="32"/>
      <c r="AT327" s="32"/>
      <c r="AU327" s="32"/>
      <c r="AV327" s="32"/>
      <c r="AW327" s="32"/>
      <c r="AX327" s="32"/>
      <c r="AY327" s="32"/>
      <c r="AZ327" s="32"/>
      <c r="BA327" s="32"/>
      <c r="BB327" s="32"/>
      <c r="BC327" s="32"/>
      <c r="BD327" s="32"/>
      <c r="BE327" s="32"/>
      <c r="BF327" s="32"/>
      <c r="BG327" s="32"/>
      <c r="BH327" s="32"/>
      <c r="BI327" s="32"/>
      <c r="BJ327" s="32"/>
      <c r="BK327" s="32"/>
      <c r="BL327" s="32"/>
      <c r="BM327" s="32"/>
      <c r="BN327" s="32"/>
      <c r="BO327" s="32"/>
      <c r="BP327" s="32"/>
      <c r="BQ327" s="32"/>
      <c r="BR327" s="32"/>
      <c r="BS327" s="32"/>
      <c r="BT327" s="32"/>
      <c r="BU327" s="32"/>
      <c r="BV327" s="32"/>
      <c r="BW327" s="32"/>
      <c r="BX327" s="32"/>
      <c r="BY327" s="32"/>
      <c r="BZ327" s="32"/>
      <c r="CA327" s="32"/>
      <c r="CB327" s="32"/>
      <c r="CC327" s="32"/>
      <c r="CD327" s="32"/>
      <c r="CE327" s="32"/>
      <c r="CF327" s="32"/>
      <c r="CG327" s="32"/>
      <c r="CH327" s="32"/>
      <c r="CI327" s="32"/>
      <c r="CJ327" s="32"/>
      <c r="CK327" s="32"/>
      <c r="CL327" s="32"/>
      <c r="CM327" s="32"/>
      <c r="CN327" s="32"/>
      <c r="CO327" s="32"/>
      <c r="CP327" s="32"/>
      <c r="CQ327" s="32"/>
      <c r="CR327" s="32"/>
      <c r="CS327" s="32"/>
      <c r="CT327" s="32"/>
      <c r="CU327" s="32"/>
      <c r="CV327" s="32"/>
      <c r="CW327" s="32"/>
      <c r="CX327" s="32"/>
      <c r="CY327" s="32"/>
      <c r="CZ327" s="32"/>
      <c r="DA327" s="32"/>
      <c r="DB327" s="32"/>
      <c r="DC327" s="32"/>
      <c r="DD327" s="32"/>
      <c r="DE327" s="32"/>
      <c r="DF327" s="32"/>
      <c r="DG327" s="32"/>
      <c r="DH327" s="32"/>
      <c r="DI327" s="32"/>
      <c r="DJ327" s="32"/>
      <c r="DK327" s="32"/>
      <c r="DL327" s="32"/>
      <c r="DM327" s="32"/>
      <c r="DN327" s="32"/>
      <c r="DO327" s="32"/>
      <c r="DP327" s="32"/>
      <c r="DQ327" s="32"/>
      <c r="DR327" s="32"/>
      <c r="DS327" s="32"/>
      <c r="DT327" s="32"/>
      <c r="DU327" s="32"/>
      <c r="DV327" s="32"/>
      <c r="DW327" s="32"/>
      <c r="DX327" s="32"/>
      <c r="DY327" s="32"/>
      <c r="DZ327" s="32"/>
      <c r="EA327" s="32"/>
      <c r="EB327" s="32"/>
      <c r="EC327" s="32"/>
      <c r="ED327" s="32"/>
      <c r="EE327" s="32"/>
      <c r="EF327" s="32"/>
      <c r="EG327" s="32"/>
      <c r="EH327" s="32"/>
      <c r="EI327" s="32"/>
      <c r="EJ327" s="32"/>
      <c r="EK327" s="32"/>
    </row>
    <row r="328" spans="2:141">
      <c r="AP328" s="32"/>
      <c r="AQ328" s="32"/>
      <c r="AR328" s="32"/>
      <c r="AS328" s="32"/>
      <c r="AT328" s="32"/>
      <c r="AU328" s="32"/>
      <c r="AV328" s="32"/>
      <c r="AW328" s="32"/>
      <c r="AX328" s="32"/>
      <c r="AY328" s="32"/>
      <c r="AZ328" s="32"/>
      <c r="BA328" s="32"/>
      <c r="BB328" s="32"/>
      <c r="BC328" s="32"/>
      <c r="BD328" s="32"/>
      <c r="BE328" s="32"/>
      <c r="BF328" s="32"/>
      <c r="BG328" s="32"/>
      <c r="BH328" s="32"/>
      <c r="BI328" s="32"/>
      <c r="BJ328" s="32"/>
      <c r="BK328" s="32"/>
      <c r="BL328" s="32"/>
      <c r="BM328" s="32"/>
      <c r="BN328" s="32"/>
      <c r="BO328" s="32"/>
      <c r="BP328" s="32"/>
      <c r="BQ328" s="32"/>
      <c r="BR328" s="32"/>
      <c r="BS328" s="32"/>
      <c r="BT328" s="32"/>
      <c r="BU328" s="32"/>
      <c r="BV328" s="32"/>
      <c r="BW328" s="32"/>
      <c r="BX328" s="32"/>
      <c r="BY328" s="32"/>
      <c r="BZ328" s="32"/>
      <c r="CA328" s="32"/>
      <c r="CB328" s="32"/>
      <c r="CC328" s="32"/>
      <c r="CD328" s="32"/>
      <c r="CE328" s="32"/>
      <c r="CF328" s="32"/>
      <c r="CG328" s="32"/>
      <c r="CH328" s="32"/>
      <c r="CI328" s="32"/>
      <c r="CJ328" s="32"/>
      <c r="CK328" s="32"/>
      <c r="CL328" s="32"/>
      <c r="CM328" s="32"/>
      <c r="CN328" s="32"/>
      <c r="CO328" s="32"/>
      <c r="CP328" s="32"/>
      <c r="CQ328" s="32"/>
      <c r="CR328" s="32"/>
      <c r="CS328" s="32"/>
      <c r="CT328" s="32"/>
      <c r="CU328" s="32"/>
      <c r="CV328" s="32"/>
      <c r="CW328" s="32"/>
      <c r="CX328" s="32"/>
      <c r="CY328" s="32"/>
      <c r="CZ328" s="32"/>
      <c r="DA328" s="32"/>
      <c r="DB328" s="32"/>
      <c r="DC328" s="32"/>
      <c r="DD328" s="32"/>
      <c r="DE328" s="32"/>
      <c r="DF328" s="32"/>
      <c r="DG328" s="32"/>
      <c r="DH328" s="32"/>
      <c r="DI328" s="32"/>
      <c r="DJ328" s="32"/>
      <c r="DK328" s="32"/>
      <c r="DL328" s="32"/>
      <c r="DM328" s="32"/>
      <c r="DN328" s="32"/>
      <c r="DO328" s="32"/>
      <c r="DP328" s="32"/>
      <c r="DQ328" s="32"/>
      <c r="DR328" s="32"/>
      <c r="DS328" s="32"/>
      <c r="DT328" s="32"/>
      <c r="DU328" s="32"/>
      <c r="DV328" s="32"/>
      <c r="DW328" s="32"/>
      <c r="DX328" s="32"/>
      <c r="DY328" s="32"/>
      <c r="DZ328" s="32"/>
      <c r="EA328" s="32"/>
      <c r="EB328" s="32"/>
      <c r="EC328" s="32"/>
      <c r="ED328" s="32"/>
      <c r="EE328" s="32"/>
      <c r="EF328" s="32"/>
      <c r="EG328" s="32"/>
      <c r="EH328" s="32"/>
      <c r="EI328" s="32"/>
      <c r="EJ328" s="32"/>
      <c r="EK328" s="32"/>
    </row>
    <row r="329" spans="2:141">
      <c r="AP329" s="32"/>
      <c r="AQ329" s="32"/>
      <c r="AR329" s="32"/>
      <c r="AS329" s="32"/>
      <c r="AT329" s="32"/>
      <c r="AU329" s="32"/>
      <c r="AV329" s="32"/>
      <c r="AW329" s="32"/>
      <c r="AX329" s="32"/>
      <c r="AY329" s="32"/>
      <c r="AZ329" s="32"/>
      <c r="BA329" s="32"/>
      <c r="BB329" s="32"/>
      <c r="BC329" s="32"/>
      <c r="BD329" s="32"/>
      <c r="BE329" s="32"/>
      <c r="BF329" s="32"/>
      <c r="BG329" s="32"/>
      <c r="BH329" s="32"/>
      <c r="BI329" s="32"/>
      <c r="BJ329" s="32"/>
      <c r="BK329" s="32"/>
      <c r="BL329" s="32"/>
      <c r="BM329" s="32"/>
      <c r="BN329" s="32"/>
      <c r="BO329" s="32"/>
      <c r="BP329" s="32"/>
      <c r="BQ329" s="32"/>
      <c r="BR329" s="32"/>
      <c r="BS329" s="32"/>
      <c r="BT329" s="32"/>
      <c r="BU329" s="32"/>
      <c r="BV329" s="32"/>
      <c r="BW329" s="32"/>
      <c r="BX329" s="32"/>
      <c r="BY329" s="32"/>
      <c r="BZ329" s="32"/>
      <c r="CA329" s="32"/>
      <c r="CB329" s="32"/>
      <c r="CC329" s="32"/>
      <c r="CD329" s="32"/>
      <c r="CE329" s="32"/>
      <c r="CF329" s="32"/>
      <c r="CG329" s="32"/>
      <c r="CH329" s="32"/>
      <c r="CI329" s="32"/>
      <c r="CJ329" s="32"/>
      <c r="CK329" s="32"/>
      <c r="CL329" s="32"/>
      <c r="CM329" s="32"/>
      <c r="CN329" s="32"/>
      <c r="CO329" s="32"/>
      <c r="CP329" s="32"/>
      <c r="CQ329" s="32"/>
      <c r="CR329" s="32"/>
      <c r="CS329" s="32"/>
      <c r="CT329" s="32"/>
      <c r="CU329" s="32"/>
      <c r="CV329" s="32"/>
      <c r="CW329" s="32"/>
      <c r="CX329" s="32"/>
      <c r="CY329" s="32"/>
      <c r="CZ329" s="32"/>
      <c r="DA329" s="32"/>
      <c r="DB329" s="32"/>
      <c r="DC329" s="32"/>
      <c r="DD329" s="32"/>
      <c r="DE329" s="32"/>
      <c r="DF329" s="32"/>
      <c r="DG329" s="32"/>
      <c r="DH329" s="32"/>
      <c r="DI329" s="32"/>
      <c r="DJ329" s="32"/>
      <c r="DK329" s="32"/>
      <c r="DL329" s="32"/>
      <c r="DM329" s="32"/>
      <c r="DN329" s="32"/>
      <c r="DO329" s="32"/>
      <c r="DP329" s="32"/>
      <c r="DQ329" s="32"/>
      <c r="DR329" s="32"/>
      <c r="DS329" s="32"/>
      <c r="DT329" s="32"/>
      <c r="DU329" s="32"/>
      <c r="DV329" s="32"/>
      <c r="DW329" s="32"/>
      <c r="DX329" s="32"/>
      <c r="DY329" s="32"/>
      <c r="DZ329" s="32"/>
      <c r="EA329" s="32"/>
      <c r="EB329" s="32"/>
      <c r="EC329" s="32"/>
      <c r="ED329" s="32"/>
      <c r="EE329" s="32"/>
      <c r="EF329" s="32"/>
      <c r="EG329" s="32"/>
      <c r="EH329" s="32"/>
      <c r="EI329" s="32"/>
      <c r="EJ329" s="32"/>
      <c r="EK329" s="32"/>
    </row>
    <row r="330" spans="2:141">
      <c r="AP330" s="32"/>
      <c r="AQ330" s="32"/>
      <c r="AR330" s="32"/>
      <c r="AS330" s="32"/>
      <c r="AT330" s="32"/>
      <c r="AU330" s="32"/>
      <c r="AV330" s="32"/>
      <c r="AW330" s="32"/>
      <c r="AX330" s="32"/>
      <c r="AY330" s="32"/>
      <c r="AZ330" s="32"/>
      <c r="BA330" s="32"/>
      <c r="BB330" s="32"/>
      <c r="BC330" s="32"/>
      <c r="BD330" s="32"/>
      <c r="BE330" s="32"/>
      <c r="BF330" s="32"/>
      <c r="BG330" s="32"/>
      <c r="BH330" s="32"/>
      <c r="BI330" s="32"/>
      <c r="BJ330" s="32"/>
      <c r="BK330" s="32"/>
      <c r="BL330" s="32"/>
      <c r="BM330" s="32"/>
      <c r="BN330" s="32"/>
      <c r="BO330" s="32"/>
      <c r="BP330" s="32"/>
      <c r="BQ330" s="32"/>
      <c r="BR330" s="32"/>
      <c r="BS330" s="32"/>
      <c r="BT330" s="32"/>
      <c r="BU330" s="32"/>
      <c r="BV330" s="32"/>
      <c r="BW330" s="32"/>
      <c r="BX330" s="32"/>
      <c r="BY330" s="32"/>
      <c r="BZ330" s="32"/>
      <c r="CA330" s="32"/>
      <c r="CB330" s="32"/>
      <c r="CC330" s="32"/>
      <c r="CD330" s="32"/>
      <c r="CE330" s="32"/>
      <c r="CF330" s="32"/>
      <c r="CG330" s="32"/>
      <c r="CH330" s="32"/>
      <c r="CI330" s="32"/>
      <c r="CJ330" s="32"/>
      <c r="CK330" s="32"/>
      <c r="CL330" s="32"/>
      <c r="CM330" s="32"/>
      <c r="CN330" s="32"/>
      <c r="CO330" s="32"/>
      <c r="CP330" s="32"/>
      <c r="CQ330" s="32"/>
      <c r="CR330" s="32"/>
      <c r="CS330" s="32"/>
      <c r="CT330" s="32"/>
      <c r="CU330" s="32"/>
      <c r="CV330" s="32"/>
      <c r="CW330" s="32"/>
      <c r="CX330" s="32"/>
      <c r="CY330" s="32"/>
      <c r="CZ330" s="32"/>
      <c r="DA330" s="32"/>
      <c r="DB330" s="32"/>
      <c r="DC330" s="32"/>
      <c r="DD330" s="32"/>
      <c r="DE330" s="32"/>
      <c r="DF330" s="32"/>
      <c r="DG330" s="32"/>
      <c r="DH330" s="32"/>
      <c r="DI330" s="32"/>
      <c r="DJ330" s="32"/>
      <c r="DK330" s="32"/>
      <c r="DL330" s="32"/>
      <c r="DM330" s="32"/>
      <c r="DN330" s="32"/>
      <c r="DO330" s="32"/>
      <c r="DP330" s="32"/>
      <c r="DQ330" s="32"/>
      <c r="DR330" s="32"/>
      <c r="DS330" s="32"/>
      <c r="DT330" s="32"/>
      <c r="DU330" s="32"/>
      <c r="DV330" s="32"/>
      <c r="DW330" s="32"/>
      <c r="DX330" s="32"/>
      <c r="DY330" s="32"/>
      <c r="DZ330" s="32"/>
      <c r="EA330" s="32"/>
      <c r="EB330" s="32"/>
      <c r="EC330" s="32"/>
      <c r="ED330" s="32"/>
      <c r="EE330" s="32"/>
      <c r="EF330" s="32"/>
      <c r="EG330" s="32"/>
      <c r="EH330" s="32"/>
      <c r="EI330" s="32"/>
      <c r="EJ330" s="32"/>
      <c r="EK330" s="32"/>
    </row>
    <row r="331" spans="2:141">
      <c r="AP331" s="32"/>
      <c r="AQ331" s="32"/>
      <c r="AR331" s="32"/>
      <c r="AS331" s="32"/>
      <c r="AT331" s="32"/>
      <c r="AU331" s="32"/>
      <c r="AV331" s="32"/>
      <c r="AW331" s="32"/>
      <c r="AX331" s="32"/>
      <c r="AY331" s="32"/>
      <c r="AZ331" s="32"/>
      <c r="BA331" s="32"/>
      <c r="BB331" s="32"/>
      <c r="BC331" s="32"/>
      <c r="BD331" s="32"/>
      <c r="BE331" s="32"/>
      <c r="BF331" s="32"/>
      <c r="BG331" s="32"/>
      <c r="BH331" s="32"/>
      <c r="BI331" s="32"/>
      <c r="BJ331" s="32"/>
      <c r="BK331" s="32"/>
      <c r="BL331" s="32"/>
      <c r="BM331" s="32"/>
      <c r="BN331" s="32"/>
      <c r="BO331" s="32"/>
      <c r="BP331" s="32"/>
      <c r="BQ331" s="32"/>
      <c r="BR331" s="32"/>
      <c r="BS331" s="32"/>
      <c r="BT331" s="32"/>
      <c r="BU331" s="32"/>
      <c r="BV331" s="32"/>
      <c r="BW331" s="32"/>
      <c r="BX331" s="32"/>
      <c r="BY331" s="32"/>
      <c r="BZ331" s="32"/>
      <c r="CA331" s="32"/>
      <c r="CB331" s="32"/>
      <c r="CC331" s="32"/>
      <c r="CD331" s="32"/>
      <c r="CE331" s="32"/>
      <c r="CF331" s="32"/>
      <c r="CG331" s="32"/>
      <c r="CH331" s="32"/>
      <c r="CI331" s="32"/>
      <c r="CJ331" s="32"/>
      <c r="CK331" s="32"/>
      <c r="CL331" s="32"/>
      <c r="CM331" s="32"/>
      <c r="CN331" s="32"/>
      <c r="CO331" s="32"/>
      <c r="CP331" s="32"/>
      <c r="CQ331" s="32"/>
      <c r="CR331" s="32"/>
      <c r="CS331" s="32"/>
      <c r="CT331" s="32"/>
      <c r="CU331" s="32"/>
      <c r="CV331" s="32"/>
      <c r="CW331" s="32"/>
      <c r="CX331" s="32"/>
      <c r="CY331" s="32"/>
      <c r="CZ331" s="32"/>
      <c r="DA331" s="32"/>
      <c r="DB331" s="32"/>
      <c r="DC331" s="32"/>
      <c r="DD331" s="32"/>
      <c r="DE331" s="32"/>
      <c r="DF331" s="32"/>
      <c r="DG331" s="32"/>
      <c r="DH331" s="32"/>
      <c r="DI331" s="32"/>
      <c r="DJ331" s="32"/>
      <c r="DK331" s="32"/>
      <c r="DL331" s="32"/>
      <c r="DM331" s="32"/>
      <c r="DN331" s="32"/>
      <c r="DO331" s="32"/>
      <c r="DP331" s="32"/>
      <c r="DQ331" s="32"/>
      <c r="DR331" s="32"/>
      <c r="DS331" s="32"/>
      <c r="DT331" s="32"/>
      <c r="DU331" s="32"/>
      <c r="DV331" s="32"/>
      <c r="DW331" s="32"/>
      <c r="DX331" s="32"/>
      <c r="DY331" s="32"/>
      <c r="DZ331" s="32"/>
      <c r="EA331" s="32"/>
      <c r="EB331" s="32"/>
      <c r="EC331" s="32"/>
      <c r="ED331" s="32"/>
      <c r="EE331" s="32"/>
      <c r="EF331" s="32"/>
      <c r="EG331" s="32"/>
      <c r="EH331" s="32"/>
      <c r="EI331" s="32"/>
      <c r="EJ331" s="32"/>
      <c r="EK331" s="32"/>
    </row>
    <row r="332" spans="2:141">
      <c r="AP332" s="32"/>
      <c r="AQ332" s="32"/>
      <c r="AR332" s="32"/>
      <c r="AS332" s="32"/>
      <c r="AT332" s="32"/>
      <c r="AU332" s="32"/>
      <c r="AV332" s="32"/>
      <c r="AW332" s="32"/>
      <c r="AX332" s="32"/>
      <c r="AY332" s="32"/>
      <c r="AZ332" s="32"/>
      <c r="BA332" s="32"/>
      <c r="BB332" s="32"/>
      <c r="BC332" s="32"/>
      <c r="BD332" s="32"/>
      <c r="BE332" s="32"/>
      <c r="BF332" s="32"/>
      <c r="BG332" s="32"/>
      <c r="BH332" s="32"/>
      <c r="BI332" s="32"/>
      <c r="BJ332" s="32"/>
      <c r="BK332" s="32"/>
      <c r="BL332" s="32"/>
      <c r="BM332" s="32"/>
      <c r="BN332" s="32"/>
      <c r="BO332" s="32"/>
      <c r="BP332" s="32"/>
      <c r="BQ332" s="32"/>
      <c r="BR332" s="32"/>
      <c r="BS332" s="32"/>
      <c r="BT332" s="32"/>
      <c r="BU332" s="32"/>
      <c r="BV332" s="32"/>
      <c r="BW332" s="32"/>
      <c r="BX332" s="32"/>
      <c r="BY332" s="32"/>
      <c r="BZ332" s="32"/>
      <c r="CA332" s="32"/>
      <c r="CB332" s="32"/>
      <c r="CC332" s="32"/>
      <c r="CD332" s="32"/>
      <c r="CE332" s="32"/>
      <c r="CF332" s="32"/>
      <c r="CG332" s="32"/>
      <c r="CH332" s="32"/>
      <c r="CI332" s="32"/>
      <c r="CJ332" s="32"/>
      <c r="CK332" s="32"/>
      <c r="CL332" s="32"/>
      <c r="CM332" s="32"/>
      <c r="CN332" s="32"/>
      <c r="CO332" s="32"/>
      <c r="CP332" s="32"/>
      <c r="CQ332" s="32"/>
      <c r="CR332" s="32"/>
      <c r="CS332" s="32"/>
      <c r="CT332" s="32"/>
      <c r="CU332" s="32"/>
      <c r="CV332" s="32"/>
      <c r="CW332" s="32"/>
      <c r="CX332" s="32"/>
      <c r="CY332" s="32"/>
      <c r="CZ332" s="32"/>
      <c r="DA332" s="32"/>
      <c r="DB332" s="32"/>
      <c r="DC332" s="32"/>
      <c r="DD332" s="32"/>
      <c r="DE332" s="32"/>
      <c r="DF332" s="32"/>
      <c r="DG332" s="32"/>
      <c r="DH332" s="32"/>
      <c r="DI332" s="32"/>
      <c r="DJ332" s="32"/>
      <c r="DK332" s="32"/>
      <c r="DL332" s="32"/>
      <c r="DM332" s="32"/>
      <c r="DN332" s="32"/>
      <c r="DO332" s="32"/>
      <c r="DP332" s="32"/>
      <c r="DQ332" s="32"/>
      <c r="DR332" s="32"/>
      <c r="DS332" s="32"/>
      <c r="DT332" s="32"/>
      <c r="DU332" s="32"/>
      <c r="DV332" s="32"/>
      <c r="DW332" s="32"/>
      <c r="DX332" s="32"/>
      <c r="DY332" s="32"/>
      <c r="DZ332" s="32"/>
      <c r="EA332" s="32"/>
      <c r="EB332" s="32"/>
      <c r="EC332" s="32"/>
      <c r="ED332" s="32"/>
      <c r="EE332" s="32"/>
      <c r="EF332" s="32"/>
      <c r="EG332" s="32"/>
      <c r="EH332" s="32"/>
      <c r="EI332" s="32"/>
      <c r="EJ332" s="32"/>
      <c r="EK332" s="32"/>
    </row>
    <row r="333" spans="2:141">
      <c r="AP333" s="32"/>
      <c r="AQ333" s="32"/>
      <c r="AR333" s="32"/>
      <c r="AS333" s="32"/>
      <c r="AT333" s="32"/>
      <c r="AU333" s="32"/>
      <c r="AV333" s="32"/>
      <c r="AW333" s="32"/>
      <c r="AX333" s="32"/>
      <c r="AY333" s="32"/>
      <c r="AZ333" s="32"/>
      <c r="BA333" s="32"/>
      <c r="BB333" s="32"/>
      <c r="BC333" s="32"/>
      <c r="BD333" s="32"/>
      <c r="BE333" s="32"/>
      <c r="BF333" s="32"/>
      <c r="BG333" s="32"/>
      <c r="BH333" s="32"/>
      <c r="BI333" s="32"/>
      <c r="BJ333" s="32"/>
      <c r="BK333" s="32"/>
      <c r="BL333" s="32"/>
      <c r="BM333" s="32"/>
      <c r="BN333" s="32"/>
      <c r="BO333" s="32"/>
      <c r="BP333" s="32"/>
      <c r="BQ333" s="32"/>
      <c r="BR333" s="32"/>
      <c r="BS333" s="32"/>
      <c r="BT333" s="32"/>
      <c r="BU333" s="32"/>
      <c r="BV333" s="32"/>
      <c r="BW333" s="32"/>
      <c r="BX333" s="32"/>
      <c r="BY333" s="32"/>
      <c r="BZ333" s="32"/>
      <c r="CA333" s="32"/>
      <c r="CB333" s="32"/>
      <c r="CC333" s="32"/>
      <c r="CD333" s="32"/>
      <c r="CE333" s="32"/>
      <c r="CF333" s="32"/>
      <c r="CG333" s="32"/>
      <c r="CH333" s="32"/>
      <c r="CI333" s="32"/>
      <c r="CJ333" s="32"/>
      <c r="CK333" s="32"/>
      <c r="CL333" s="32"/>
      <c r="CM333" s="32"/>
      <c r="CN333" s="32"/>
      <c r="CO333" s="32"/>
      <c r="CP333" s="32"/>
      <c r="CQ333" s="32"/>
      <c r="CR333" s="32"/>
      <c r="CS333" s="32"/>
      <c r="CT333" s="32"/>
      <c r="CU333" s="32"/>
      <c r="CV333" s="32"/>
      <c r="CW333" s="32"/>
      <c r="CX333" s="32"/>
      <c r="CY333" s="32"/>
      <c r="CZ333" s="32"/>
      <c r="DA333" s="32"/>
      <c r="DB333" s="32"/>
      <c r="DC333" s="32"/>
      <c r="DD333" s="32"/>
      <c r="DE333" s="32"/>
      <c r="DF333" s="32"/>
      <c r="DG333" s="32"/>
      <c r="DH333" s="32"/>
      <c r="DI333" s="32"/>
      <c r="DJ333" s="32"/>
      <c r="DK333" s="32"/>
      <c r="DL333" s="32"/>
      <c r="DM333" s="32"/>
      <c r="DN333" s="32"/>
      <c r="DO333" s="32"/>
      <c r="DP333" s="32"/>
      <c r="DQ333" s="32"/>
      <c r="DR333" s="32"/>
      <c r="DS333" s="32"/>
      <c r="DT333" s="32"/>
      <c r="DU333" s="32"/>
      <c r="DV333" s="32"/>
      <c r="DW333" s="32"/>
      <c r="DX333" s="32"/>
      <c r="DY333" s="32"/>
      <c r="DZ333" s="32"/>
      <c r="EA333" s="32"/>
      <c r="EB333" s="32"/>
      <c r="EC333" s="32"/>
      <c r="ED333" s="32"/>
      <c r="EE333" s="32"/>
      <c r="EF333" s="32"/>
      <c r="EG333" s="32"/>
      <c r="EH333" s="32"/>
      <c r="EI333" s="32"/>
      <c r="EJ333" s="32"/>
      <c r="EK333" s="32"/>
    </row>
    <row r="334" spans="2:141">
      <c r="AP334" s="32"/>
      <c r="AQ334" s="32"/>
      <c r="AR334" s="32"/>
      <c r="AS334" s="32"/>
      <c r="AT334" s="32"/>
      <c r="AU334" s="32"/>
      <c r="AV334" s="32"/>
      <c r="AW334" s="32"/>
      <c r="AX334" s="32"/>
      <c r="AY334" s="32"/>
      <c r="AZ334" s="32"/>
      <c r="BA334" s="32"/>
      <c r="BB334" s="32"/>
      <c r="BC334" s="32"/>
      <c r="BD334" s="32"/>
      <c r="BE334" s="32"/>
      <c r="BF334" s="32"/>
      <c r="BG334" s="32"/>
      <c r="BH334" s="32"/>
      <c r="BI334" s="32"/>
      <c r="BJ334" s="32"/>
      <c r="BK334" s="32"/>
      <c r="BL334" s="32"/>
      <c r="BM334" s="32"/>
      <c r="BN334" s="32"/>
      <c r="BO334" s="32"/>
      <c r="BP334" s="32"/>
      <c r="BQ334" s="32"/>
      <c r="BR334" s="32"/>
      <c r="BS334" s="32"/>
      <c r="BT334" s="32"/>
      <c r="BU334" s="32"/>
      <c r="BV334" s="32"/>
      <c r="BW334" s="32"/>
      <c r="BX334" s="32"/>
      <c r="BY334" s="32"/>
      <c r="BZ334" s="32"/>
      <c r="CA334" s="32"/>
      <c r="CB334" s="32"/>
      <c r="CC334" s="32"/>
      <c r="CD334" s="32"/>
      <c r="CE334" s="32"/>
      <c r="CF334" s="32"/>
      <c r="CG334" s="32"/>
      <c r="CH334" s="32"/>
      <c r="CI334" s="32"/>
      <c r="CJ334" s="32"/>
      <c r="CK334" s="32"/>
      <c r="CL334" s="32"/>
      <c r="CM334" s="32"/>
      <c r="CN334" s="32"/>
      <c r="CO334" s="32"/>
      <c r="CP334" s="32"/>
      <c r="CQ334" s="32"/>
      <c r="CR334" s="32"/>
      <c r="CS334" s="32"/>
      <c r="CT334" s="32"/>
      <c r="CU334" s="32"/>
      <c r="CV334" s="32"/>
      <c r="CW334" s="32"/>
      <c r="CX334" s="32"/>
      <c r="CY334" s="32"/>
      <c r="CZ334" s="32"/>
      <c r="DA334" s="32"/>
      <c r="DB334" s="32"/>
      <c r="DC334" s="32"/>
      <c r="DD334" s="32"/>
      <c r="DE334" s="32"/>
      <c r="DF334" s="32"/>
      <c r="DG334" s="32"/>
      <c r="DH334" s="32"/>
      <c r="DI334" s="32"/>
      <c r="DJ334" s="32"/>
      <c r="DK334" s="32"/>
      <c r="DL334" s="32"/>
      <c r="DM334" s="32"/>
      <c r="DN334" s="32"/>
      <c r="DO334" s="32"/>
      <c r="DP334" s="32"/>
      <c r="DQ334" s="32"/>
      <c r="DR334" s="32"/>
      <c r="DS334" s="32"/>
      <c r="DT334" s="32"/>
      <c r="DU334" s="32"/>
      <c r="DV334" s="32"/>
      <c r="DW334" s="32"/>
      <c r="DX334" s="32"/>
      <c r="DY334" s="32"/>
      <c r="DZ334" s="32"/>
      <c r="EA334" s="32"/>
      <c r="EB334" s="32"/>
      <c r="EC334" s="32"/>
      <c r="ED334" s="32"/>
      <c r="EE334" s="32"/>
      <c r="EF334" s="32"/>
      <c r="EG334" s="32"/>
      <c r="EH334" s="32"/>
      <c r="EI334" s="32"/>
      <c r="EJ334" s="32"/>
      <c r="EK334" s="32"/>
    </row>
    <row r="335" spans="2:141">
      <c r="AP335" s="32"/>
      <c r="AQ335" s="32"/>
      <c r="AR335" s="32"/>
      <c r="AS335" s="32"/>
      <c r="AT335" s="32"/>
      <c r="AU335" s="32"/>
      <c r="AV335" s="32"/>
      <c r="AW335" s="32"/>
      <c r="AX335" s="32"/>
      <c r="AY335" s="32"/>
      <c r="AZ335" s="32"/>
      <c r="BA335" s="32"/>
      <c r="BB335" s="32"/>
      <c r="BC335" s="32"/>
      <c r="BD335" s="32"/>
      <c r="BE335" s="32"/>
      <c r="BF335" s="32"/>
      <c r="BG335" s="32"/>
      <c r="BH335" s="32"/>
      <c r="BI335" s="32"/>
      <c r="BJ335" s="32"/>
      <c r="BK335" s="32"/>
      <c r="BL335" s="32"/>
      <c r="BM335" s="32"/>
      <c r="BN335" s="32"/>
      <c r="BO335" s="32"/>
      <c r="BP335" s="32"/>
      <c r="BQ335" s="32"/>
      <c r="BR335" s="32"/>
      <c r="BS335" s="32"/>
      <c r="BT335" s="32"/>
      <c r="BU335" s="32"/>
      <c r="BV335" s="32"/>
      <c r="BW335" s="32"/>
      <c r="BX335" s="32"/>
      <c r="BY335" s="32"/>
      <c r="BZ335" s="32"/>
      <c r="CA335" s="32"/>
      <c r="CB335" s="32"/>
      <c r="CC335" s="32"/>
      <c r="CD335" s="32"/>
      <c r="CE335" s="32"/>
      <c r="CF335" s="32"/>
      <c r="CG335" s="32"/>
      <c r="CH335" s="32"/>
      <c r="CI335" s="32"/>
      <c r="CJ335" s="32"/>
      <c r="CK335" s="32"/>
      <c r="CL335" s="32"/>
      <c r="CM335" s="32"/>
      <c r="CN335" s="32"/>
      <c r="CO335" s="32"/>
      <c r="CP335" s="32"/>
      <c r="CQ335" s="32"/>
      <c r="CR335" s="32"/>
      <c r="CS335" s="32"/>
      <c r="CT335" s="32"/>
      <c r="CU335" s="32"/>
      <c r="CV335" s="32"/>
      <c r="CW335" s="32"/>
      <c r="CX335" s="32"/>
      <c r="CY335" s="32"/>
      <c r="CZ335" s="32"/>
      <c r="DA335" s="32"/>
      <c r="DB335" s="32"/>
      <c r="DC335" s="32"/>
      <c r="DD335" s="32"/>
      <c r="DE335" s="32"/>
      <c r="DF335" s="32"/>
      <c r="DG335" s="32"/>
      <c r="DH335" s="32"/>
      <c r="DI335" s="32"/>
      <c r="DJ335" s="32"/>
      <c r="DK335" s="32"/>
      <c r="DL335" s="32"/>
      <c r="DM335" s="32"/>
      <c r="DN335" s="32"/>
      <c r="DO335" s="32"/>
      <c r="DP335" s="32"/>
      <c r="DQ335" s="32"/>
      <c r="DR335" s="32"/>
      <c r="DS335" s="32"/>
      <c r="DT335" s="32"/>
      <c r="DU335" s="32"/>
      <c r="DV335" s="32"/>
      <c r="DW335" s="32"/>
      <c r="DX335" s="32"/>
      <c r="DY335" s="32"/>
      <c r="DZ335" s="32"/>
      <c r="EA335" s="32"/>
      <c r="EB335" s="32"/>
      <c r="EC335" s="32"/>
      <c r="ED335" s="32"/>
      <c r="EE335" s="32"/>
      <c r="EF335" s="32"/>
      <c r="EG335" s="32"/>
      <c r="EH335" s="32"/>
      <c r="EI335" s="32"/>
      <c r="EJ335" s="32"/>
      <c r="EK335" s="32"/>
    </row>
    <row r="336" spans="2:141">
      <c r="AP336" s="32"/>
      <c r="AQ336" s="32"/>
      <c r="AR336" s="32"/>
      <c r="AS336" s="32"/>
      <c r="AT336" s="32"/>
      <c r="AU336" s="32"/>
      <c r="AV336" s="32"/>
      <c r="AW336" s="32"/>
      <c r="AX336" s="32"/>
      <c r="AY336" s="32"/>
      <c r="AZ336" s="32"/>
      <c r="BA336" s="32"/>
      <c r="BB336" s="32"/>
      <c r="BC336" s="32"/>
      <c r="BD336" s="32"/>
      <c r="BE336" s="32"/>
      <c r="BF336" s="32"/>
      <c r="BG336" s="32"/>
      <c r="BH336" s="32"/>
      <c r="BI336" s="32"/>
      <c r="BJ336" s="32"/>
      <c r="BK336" s="32"/>
      <c r="BL336" s="32"/>
      <c r="BM336" s="32"/>
      <c r="BN336" s="32"/>
      <c r="BO336" s="32"/>
      <c r="BP336" s="32"/>
      <c r="BQ336" s="32"/>
      <c r="BR336" s="32"/>
      <c r="BS336" s="32"/>
      <c r="BT336" s="32"/>
      <c r="BU336" s="32"/>
      <c r="BV336" s="32"/>
      <c r="BW336" s="32"/>
      <c r="BX336" s="32"/>
      <c r="BY336" s="32"/>
      <c r="BZ336" s="32"/>
      <c r="CA336" s="32"/>
      <c r="CB336" s="32"/>
      <c r="CC336" s="32"/>
      <c r="CD336" s="32"/>
      <c r="CE336" s="32"/>
      <c r="CF336" s="32"/>
      <c r="CG336" s="32"/>
      <c r="CH336" s="32"/>
      <c r="CI336" s="32"/>
      <c r="CJ336" s="32"/>
      <c r="CK336" s="32"/>
      <c r="CL336" s="32"/>
      <c r="CM336" s="32"/>
      <c r="CN336" s="32"/>
      <c r="CO336" s="32"/>
      <c r="CP336" s="32"/>
      <c r="CQ336" s="32"/>
      <c r="CR336" s="32"/>
      <c r="CS336" s="32"/>
      <c r="CT336" s="32"/>
      <c r="CU336" s="32"/>
      <c r="CV336" s="32"/>
      <c r="CW336" s="32"/>
      <c r="CX336" s="32"/>
      <c r="CY336" s="32"/>
      <c r="CZ336" s="32"/>
      <c r="DA336" s="32"/>
      <c r="DB336" s="32"/>
      <c r="DC336" s="32"/>
      <c r="DD336" s="32"/>
      <c r="DE336" s="32"/>
      <c r="DF336" s="32"/>
      <c r="DG336" s="32"/>
      <c r="DH336" s="32"/>
      <c r="DI336" s="32"/>
      <c r="DJ336" s="32"/>
      <c r="DK336" s="32"/>
      <c r="DL336" s="32"/>
      <c r="DM336" s="32"/>
      <c r="DN336" s="32"/>
      <c r="DO336" s="32"/>
      <c r="DP336" s="32"/>
      <c r="DQ336" s="32"/>
      <c r="DR336" s="32"/>
      <c r="DS336" s="32"/>
      <c r="DT336" s="32"/>
      <c r="DU336" s="32"/>
      <c r="DV336" s="32"/>
      <c r="DW336" s="32"/>
      <c r="DX336" s="32"/>
      <c r="DY336" s="32"/>
      <c r="DZ336" s="32"/>
      <c r="EA336" s="32"/>
      <c r="EB336" s="32"/>
      <c r="EC336" s="32"/>
      <c r="ED336" s="32"/>
      <c r="EE336" s="32"/>
      <c r="EF336" s="32"/>
      <c r="EG336" s="32"/>
      <c r="EH336" s="32"/>
      <c r="EI336" s="32"/>
      <c r="EJ336" s="32"/>
      <c r="EK336" s="32"/>
    </row>
    <row r="337" spans="42:141">
      <c r="AP337" s="32"/>
      <c r="AQ337" s="32"/>
      <c r="AR337" s="32"/>
      <c r="AS337" s="32"/>
      <c r="AT337" s="32"/>
      <c r="AU337" s="32"/>
      <c r="AV337" s="32"/>
      <c r="AW337" s="32"/>
      <c r="AX337" s="32"/>
      <c r="AY337" s="32"/>
      <c r="AZ337" s="32"/>
      <c r="BA337" s="32"/>
      <c r="BB337" s="32"/>
      <c r="BC337" s="32"/>
      <c r="BD337" s="32"/>
      <c r="BE337" s="32"/>
      <c r="BF337" s="32"/>
      <c r="BG337" s="32"/>
      <c r="BH337" s="32"/>
      <c r="BI337" s="32"/>
      <c r="BJ337" s="32"/>
      <c r="BK337" s="32"/>
      <c r="BL337" s="32"/>
      <c r="BM337" s="32"/>
      <c r="BN337" s="32"/>
      <c r="BO337" s="32"/>
      <c r="BP337" s="32"/>
      <c r="BQ337" s="32"/>
      <c r="BR337" s="32"/>
      <c r="BS337" s="32"/>
      <c r="BT337" s="32"/>
      <c r="BU337" s="32"/>
      <c r="BV337" s="32"/>
      <c r="BW337" s="32"/>
      <c r="BX337" s="32"/>
      <c r="BY337" s="32"/>
      <c r="BZ337" s="32"/>
      <c r="CA337" s="32"/>
      <c r="CB337" s="32"/>
      <c r="CC337" s="32"/>
      <c r="CD337" s="32"/>
      <c r="CE337" s="32"/>
      <c r="CF337" s="32"/>
      <c r="CG337" s="32"/>
      <c r="CH337" s="32"/>
      <c r="CI337" s="32"/>
      <c r="CJ337" s="32"/>
      <c r="CK337" s="32"/>
      <c r="CL337" s="32"/>
      <c r="CM337" s="32"/>
      <c r="CN337" s="32"/>
      <c r="CO337" s="32"/>
      <c r="CP337" s="32"/>
      <c r="CQ337" s="32"/>
      <c r="CR337" s="32"/>
      <c r="CS337" s="32"/>
      <c r="CT337" s="32"/>
      <c r="CU337" s="32"/>
      <c r="CV337" s="32"/>
      <c r="CW337" s="32"/>
      <c r="CX337" s="32"/>
      <c r="CY337" s="32"/>
      <c r="CZ337" s="32"/>
      <c r="DA337" s="32"/>
      <c r="DB337" s="32"/>
      <c r="DC337" s="32"/>
      <c r="DD337" s="32"/>
      <c r="DE337" s="32"/>
      <c r="DF337" s="32"/>
      <c r="DG337" s="32"/>
      <c r="DH337" s="32"/>
      <c r="DI337" s="32"/>
      <c r="DJ337" s="32"/>
      <c r="DK337" s="32"/>
      <c r="DL337" s="32"/>
      <c r="DM337" s="32"/>
      <c r="DN337" s="32"/>
      <c r="DO337" s="32"/>
      <c r="DP337" s="32"/>
      <c r="DQ337" s="32"/>
      <c r="DR337" s="32"/>
      <c r="DS337" s="32"/>
      <c r="DT337" s="32"/>
      <c r="DU337" s="32"/>
      <c r="DV337" s="32"/>
      <c r="DW337" s="32"/>
      <c r="DX337" s="32"/>
      <c r="DY337" s="32"/>
      <c r="DZ337" s="32"/>
      <c r="EA337" s="32"/>
      <c r="EB337" s="32"/>
      <c r="EC337" s="32"/>
      <c r="ED337" s="32"/>
      <c r="EE337" s="32"/>
      <c r="EF337" s="32"/>
      <c r="EG337" s="32"/>
      <c r="EH337" s="32"/>
      <c r="EI337" s="32"/>
      <c r="EJ337" s="32"/>
      <c r="EK337" s="32"/>
    </row>
    <row r="338" spans="42:141">
      <c r="AP338" s="32"/>
      <c r="AQ338" s="32"/>
      <c r="AR338" s="32"/>
      <c r="AS338" s="32"/>
      <c r="AT338" s="32"/>
      <c r="AU338" s="32"/>
      <c r="AV338" s="32"/>
      <c r="AW338" s="32"/>
      <c r="AX338" s="32"/>
      <c r="AY338" s="32"/>
      <c r="AZ338" s="32"/>
      <c r="BA338" s="32"/>
      <c r="BB338" s="32"/>
      <c r="BC338" s="32"/>
      <c r="BD338" s="32"/>
      <c r="BE338" s="32"/>
      <c r="BF338" s="32"/>
      <c r="BG338" s="32"/>
      <c r="BH338" s="32"/>
      <c r="BI338" s="32"/>
      <c r="BJ338" s="32"/>
      <c r="BK338" s="32"/>
      <c r="BL338" s="32"/>
      <c r="BM338" s="32"/>
      <c r="BN338" s="32"/>
      <c r="BO338" s="32"/>
      <c r="BP338" s="32"/>
      <c r="BQ338" s="32"/>
      <c r="BR338" s="32"/>
      <c r="BS338" s="32"/>
      <c r="BT338" s="32"/>
      <c r="BU338" s="32"/>
      <c r="BV338" s="32"/>
      <c r="BW338" s="32"/>
      <c r="BX338" s="32"/>
      <c r="BY338" s="32"/>
      <c r="BZ338" s="32"/>
      <c r="CA338" s="32"/>
      <c r="CB338" s="32"/>
      <c r="CC338" s="32"/>
      <c r="CD338" s="32"/>
      <c r="CE338" s="32"/>
      <c r="CF338" s="32"/>
      <c r="CG338" s="32"/>
      <c r="CH338" s="32"/>
      <c r="CI338" s="32"/>
      <c r="CJ338" s="32"/>
      <c r="CK338" s="32"/>
      <c r="CL338" s="32"/>
      <c r="CM338" s="32"/>
      <c r="CN338" s="32"/>
      <c r="CO338" s="32"/>
      <c r="CP338" s="32"/>
      <c r="CQ338" s="32"/>
      <c r="CR338" s="32"/>
      <c r="CS338" s="32"/>
      <c r="CT338" s="32"/>
      <c r="CU338" s="32"/>
      <c r="CV338" s="32"/>
      <c r="CW338" s="32"/>
      <c r="CX338" s="32"/>
      <c r="CY338" s="32"/>
      <c r="CZ338" s="32"/>
      <c r="DA338" s="32"/>
      <c r="DB338" s="32"/>
      <c r="DC338" s="32"/>
      <c r="DD338" s="32"/>
      <c r="DE338" s="32"/>
      <c r="DF338" s="32"/>
      <c r="DG338" s="32"/>
      <c r="DH338" s="32"/>
      <c r="DI338" s="32"/>
      <c r="DJ338" s="32"/>
      <c r="DK338" s="32"/>
      <c r="DL338" s="32"/>
      <c r="DM338" s="32"/>
      <c r="DN338" s="32"/>
      <c r="DO338" s="32"/>
      <c r="DP338" s="32"/>
      <c r="DQ338" s="32"/>
      <c r="DR338" s="32"/>
      <c r="DS338" s="32"/>
      <c r="DT338" s="32"/>
      <c r="DU338" s="32"/>
      <c r="DV338" s="32"/>
      <c r="DW338" s="32"/>
      <c r="DX338" s="32"/>
      <c r="DY338" s="32"/>
      <c r="DZ338" s="32"/>
      <c r="EA338" s="32"/>
      <c r="EB338" s="32"/>
      <c r="EC338" s="32"/>
      <c r="ED338" s="32"/>
      <c r="EE338" s="32"/>
      <c r="EF338" s="32"/>
      <c r="EG338" s="32"/>
      <c r="EH338" s="32"/>
      <c r="EI338" s="32"/>
      <c r="EJ338" s="32"/>
      <c r="EK338" s="32"/>
    </row>
    <row r="339" spans="42:141">
      <c r="AP339" s="32"/>
      <c r="AQ339" s="32"/>
      <c r="AR339" s="32"/>
      <c r="AS339" s="32"/>
      <c r="AT339" s="32"/>
      <c r="AU339" s="32"/>
      <c r="AV339" s="32"/>
      <c r="AW339" s="32"/>
      <c r="AX339" s="32"/>
      <c r="AY339" s="32"/>
      <c r="AZ339" s="32"/>
      <c r="BA339" s="32"/>
      <c r="BB339" s="32"/>
      <c r="BC339" s="32"/>
      <c r="BD339" s="32"/>
      <c r="BE339" s="32"/>
      <c r="BF339" s="32"/>
      <c r="BG339" s="32"/>
      <c r="BH339" s="32"/>
      <c r="BI339" s="32"/>
      <c r="BJ339" s="32"/>
      <c r="BK339" s="32"/>
      <c r="BL339" s="32"/>
      <c r="BM339" s="32"/>
      <c r="BN339" s="32"/>
      <c r="BO339" s="32"/>
      <c r="BP339" s="32"/>
      <c r="BQ339" s="32"/>
      <c r="BR339" s="32"/>
      <c r="BS339" s="32"/>
      <c r="BT339" s="32"/>
      <c r="BU339" s="32"/>
      <c r="BV339" s="32"/>
      <c r="BW339" s="32"/>
      <c r="BX339" s="32"/>
      <c r="BY339" s="32"/>
      <c r="BZ339" s="32"/>
      <c r="CA339" s="32"/>
      <c r="CB339" s="32"/>
      <c r="CC339" s="32"/>
      <c r="CD339" s="32"/>
      <c r="CE339" s="32"/>
      <c r="CF339" s="32"/>
      <c r="CG339" s="32"/>
      <c r="CH339" s="32"/>
      <c r="CI339" s="32"/>
      <c r="CJ339" s="32"/>
      <c r="CK339" s="32"/>
      <c r="CL339" s="32"/>
      <c r="CM339" s="32"/>
      <c r="CN339" s="32"/>
      <c r="CO339" s="32"/>
      <c r="CP339" s="32"/>
      <c r="CQ339" s="32"/>
      <c r="CR339" s="32"/>
      <c r="CS339" s="32"/>
      <c r="CT339" s="32"/>
      <c r="CU339" s="32"/>
      <c r="CV339" s="32"/>
      <c r="CW339" s="32"/>
      <c r="CX339" s="32"/>
      <c r="CY339" s="32"/>
      <c r="CZ339" s="32"/>
      <c r="DA339" s="32"/>
      <c r="DB339" s="32"/>
      <c r="DC339" s="32"/>
      <c r="DD339" s="32"/>
      <c r="DE339" s="32"/>
      <c r="DF339" s="32"/>
      <c r="DG339" s="32"/>
      <c r="DH339" s="32"/>
      <c r="DI339" s="32"/>
      <c r="DJ339" s="32"/>
      <c r="DK339" s="32"/>
      <c r="DL339" s="32"/>
      <c r="DM339" s="32"/>
      <c r="DN339" s="32"/>
      <c r="DO339" s="32"/>
      <c r="DP339" s="32"/>
      <c r="DQ339" s="32"/>
      <c r="DR339" s="32"/>
      <c r="DS339" s="32"/>
      <c r="DT339" s="32"/>
      <c r="DU339" s="32"/>
      <c r="DV339" s="32"/>
      <c r="DW339" s="32"/>
      <c r="DX339" s="32"/>
      <c r="DY339" s="32"/>
      <c r="DZ339" s="32"/>
      <c r="EA339" s="32"/>
      <c r="EB339" s="32"/>
      <c r="EC339" s="32"/>
      <c r="ED339" s="32"/>
      <c r="EE339" s="32"/>
      <c r="EF339" s="32"/>
      <c r="EG339" s="32"/>
      <c r="EH339" s="32"/>
      <c r="EI339" s="32"/>
      <c r="EJ339" s="32"/>
      <c r="EK339" s="32"/>
    </row>
    <row r="340" spans="42:141">
      <c r="AP340" s="32"/>
      <c r="AQ340" s="32"/>
      <c r="AR340" s="32"/>
      <c r="AS340" s="32"/>
      <c r="AT340" s="32"/>
      <c r="AU340" s="32"/>
      <c r="AV340" s="32"/>
      <c r="AW340" s="32"/>
      <c r="AX340" s="32"/>
      <c r="AY340" s="32"/>
      <c r="AZ340" s="32"/>
      <c r="BA340" s="32"/>
      <c r="BB340" s="32"/>
      <c r="BC340" s="32"/>
      <c r="BD340" s="32"/>
      <c r="BE340" s="32"/>
      <c r="BF340" s="32"/>
      <c r="BG340" s="32"/>
      <c r="BH340" s="32"/>
      <c r="BI340" s="32"/>
      <c r="BJ340" s="32"/>
      <c r="BK340" s="32"/>
      <c r="BL340" s="32"/>
      <c r="BM340" s="32"/>
      <c r="BN340" s="32"/>
      <c r="BO340" s="32"/>
      <c r="BP340" s="32"/>
      <c r="BQ340" s="32"/>
      <c r="BR340" s="32"/>
      <c r="BS340" s="32"/>
      <c r="BT340" s="32"/>
      <c r="BU340" s="32"/>
      <c r="BV340" s="32"/>
      <c r="BW340" s="32"/>
      <c r="BX340" s="32"/>
      <c r="BY340" s="32"/>
      <c r="BZ340" s="32"/>
      <c r="CA340" s="32"/>
      <c r="CB340" s="32"/>
      <c r="CC340" s="32"/>
      <c r="CD340" s="32"/>
      <c r="CE340" s="32"/>
      <c r="CF340" s="32"/>
      <c r="CG340" s="32"/>
      <c r="CH340" s="32"/>
      <c r="CI340" s="32"/>
      <c r="CJ340" s="32"/>
      <c r="CK340" s="32"/>
      <c r="CL340" s="32"/>
      <c r="CM340" s="32"/>
      <c r="CN340" s="32"/>
      <c r="CO340" s="32"/>
      <c r="CP340" s="32"/>
      <c r="CQ340" s="32"/>
      <c r="CR340" s="32"/>
      <c r="CS340" s="32"/>
      <c r="CT340" s="32"/>
      <c r="CU340" s="32"/>
      <c r="CV340" s="32"/>
      <c r="CW340" s="32"/>
      <c r="CX340" s="32"/>
      <c r="CY340" s="32"/>
      <c r="CZ340" s="32"/>
      <c r="DA340" s="32"/>
      <c r="DB340" s="32"/>
      <c r="DC340" s="32"/>
      <c r="DD340" s="32"/>
      <c r="DE340" s="32"/>
      <c r="DF340" s="32"/>
      <c r="DG340" s="32"/>
      <c r="DH340" s="32"/>
      <c r="DI340" s="32"/>
      <c r="DJ340" s="32"/>
      <c r="DK340" s="32"/>
      <c r="DL340" s="32"/>
      <c r="DM340" s="32"/>
      <c r="DN340" s="32"/>
      <c r="DO340" s="32"/>
      <c r="DP340" s="32"/>
      <c r="DQ340" s="32"/>
      <c r="DR340" s="32"/>
      <c r="DS340" s="32"/>
      <c r="DT340" s="32"/>
      <c r="DU340" s="32"/>
      <c r="DV340" s="32"/>
      <c r="DW340" s="32"/>
      <c r="DX340" s="32"/>
      <c r="DY340" s="32"/>
      <c r="DZ340" s="32"/>
      <c r="EA340" s="32"/>
      <c r="EB340" s="32"/>
      <c r="EC340" s="32"/>
      <c r="ED340" s="32"/>
      <c r="EE340" s="32"/>
      <c r="EF340" s="32"/>
      <c r="EG340" s="32"/>
      <c r="EH340" s="32"/>
      <c r="EI340" s="32"/>
      <c r="EJ340" s="32"/>
      <c r="EK340" s="32"/>
    </row>
    <row r="341" spans="42:141">
      <c r="AP341" s="32"/>
      <c r="AQ341" s="32"/>
      <c r="AR341" s="32"/>
      <c r="AS341" s="32"/>
      <c r="AT341" s="32"/>
      <c r="AU341" s="32"/>
      <c r="AV341" s="32"/>
      <c r="AW341" s="32"/>
      <c r="AX341" s="32"/>
      <c r="AY341" s="32"/>
      <c r="AZ341" s="32"/>
      <c r="BA341" s="32"/>
      <c r="BB341" s="32"/>
      <c r="BC341" s="32"/>
      <c r="BD341" s="32"/>
      <c r="BE341" s="32"/>
      <c r="BF341" s="32"/>
      <c r="BG341" s="32"/>
      <c r="BH341" s="32"/>
      <c r="BI341" s="32"/>
      <c r="BJ341" s="32"/>
      <c r="BK341" s="32"/>
      <c r="BL341" s="32"/>
      <c r="BM341" s="32"/>
      <c r="BN341" s="32"/>
      <c r="BO341" s="32"/>
      <c r="BP341" s="32"/>
      <c r="BQ341" s="32"/>
      <c r="BR341" s="32"/>
      <c r="BS341" s="32"/>
      <c r="BT341" s="32"/>
      <c r="BU341" s="32"/>
      <c r="BV341" s="32"/>
      <c r="BW341" s="32"/>
      <c r="BX341" s="32"/>
      <c r="BY341" s="32"/>
      <c r="BZ341" s="32"/>
      <c r="CA341" s="32"/>
      <c r="CB341" s="32"/>
      <c r="CC341" s="32"/>
      <c r="CD341" s="32"/>
      <c r="CE341" s="32"/>
      <c r="CF341" s="32"/>
      <c r="CG341" s="32"/>
      <c r="CH341" s="32"/>
      <c r="CI341" s="32"/>
      <c r="CJ341" s="32"/>
      <c r="CK341" s="32"/>
      <c r="CL341" s="32"/>
      <c r="CM341" s="32"/>
      <c r="CN341" s="32"/>
      <c r="CO341" s="32"/>
      <c r="CP341" s="32"/>
      <c r="CQ341" s="32"/>
      <c r="CR341" s="32"/>
      <c r="CS341" s="32"/>
      <c r="CT341" s="32"/>
      <c r="CU341" s="32"/>
      <c r="CV341" s="32"/>
      <c r="CW341" s="32"/>
      <c r="CX341" s="32"/>
      <c r="CY341" s="32"/>
      <c r="CZ341" s="32"/>
      <c r="DA341" s="32"/>
      <c r="DB341" s="32"/>
      <c r="DC341" s="32"/>
      <c r="DD341" s="32"/>
      <c r="DE341" s="32"/>
      <c r="DF341" s="32"/>
      <c r="DG341" s="32"/>
      <c r="DH341" s="32"/>
      <c r="DI341" s="32"/>
      <c r="DJ341" s="32"/>
      <c r="DK341" s="32"/>
      <c r="DL341" s="32"/>
      <c r="DM341" s="32"/>
      <c r="DN341" s="32"/>
      <c r="DO341" s="32"/>
      <c r="DP341" s="32"/>
      <c r="DQ341" s="32"/>
      <c r="DR341" s="32"/>
      <c r="DS341" s="32"/>
      <c r="DT341" s="32"/>
      <c r="DU341" s="32"/>
      <c r="DV341" s="32"/>
      <c r="DW341" s="32"/>
      <c r="DX341" s="32"/>
      <c r="DY341" s="32"/>
      <c r="DZ341" s="32"/>
      <c r="EA341" s="32"/>
      <c r="EB341" s="32"/>
      <c r="EC341" s="32"/>
      <c r="ED341" s="32"/>
      <c r="EE341" s="32"/>
      <c r="EF341" s="32"/>
      <c r="EG341" s="32"/>
      <c r="EH341" s="32"/>
      <c r="EI341" s="32"/>
      <c r="EJ341" s="32"/>
      <c r="EK341" s="32"/>
    </row>
    <row r="342" spans="42:141">
      <c r="AP342" s="32"/>
      <c r="AQ342" s="32"/>
      <c r="AR342" s="32"/>
      <c r="AS342" s="32"/>
      <c r="AT342" s="32"/>
      <c r="AU342" s="32"/>
      <c r="AV342" s="32"/>
      <c r="AW342" s="32"/>
      <c r="AX342" s="32"/>
      <c r="AY342" s="32"/>
      <c r="AZ342" s="32"/>
      <c r="BA342" s="32"/>
      <c r="BB342" s="32"/>
      <c r="BC342" s="32"/>
      <c r="BD342" s="32"/>
      <c r="BE342" s="32"/>
      <c r="BF342" s="32"/>
      <c r="BG342" s="32"/>
      <c r="BH342" s="32"/>
      <c r="BI342" s="32"/>
      <c r="BJ342" s="32"/>
      <c r="BK342" s="32"/>
      <c r="BL342" s="32"/>
      <c r="BM342" s="32"/>
      <c r="BN342" s="32"/>
      <c r="BO342" s="32"/>
      <c r="BP342" s="32"/>
      <c r="BQ342" s="32"/>
      <c r="BR342" s="32"/>
      <c r="BS342" s="32"/>
      <c r="BT342" s="32"/>
      <c r="BU342" s="32"/>
      <c r="BV342" s="32"/>
      <c r="BW342" s="32"/>
      <c r="BX342" s="32"/>
      <c r="BY342" s="32"/>
      <c r="BZ342" s="32"/>
      <c r="CA342" s="32"/>
      <c r="CB342" s="32"/>
      <c r="CC342" s="32"/>
      <c r="CD342" s="32"/>
      <c r="CE342" s="32"/>
      <c r="CF342" s="32"/>
      <c r="CG342" s="32"/>
      <c r="CH342" s="32"/>
      <c r="CI342" s="32"/>
      <c r="CJ342" s="32"/>
      <c r="CK342" s="32"/>
      <c r="CL342" s="32"/>
      <c r="CM342" s="32"/>
      <c r="CN342" s="32"/>
      <c r="CO342" s="32"/>
      <c r="CP342" s="32"/>
      <c r="CQ342" s="32"/>
      <c r="CR342" s="32"/>
      <c r="CS342" s="32"/>
      <c r="CT342" s="32"/>
      <c r="CU342" s="32"/>
      <c r="CV342" s="32"/>
      <c r="CW342" s="32"/>
      <c r="CX342" s="32"/>
      <c r="CY342" s="32"/>
      <c r="CZ342" s="32"/>
      <c r="DA342" s="32"/>
      <c r="DB342" s="32"/>
      <c r="DC342" s="32"/>
      <c r="DD342" s="32"/>
      <c r="DE342" s="32"/>
      <c r="DF342" s="32"/>
      <c r="DG342" s="32"/>
      <c r="DH342" s="32"/>
      <c r="DI342" s="32"/>
      <c r="DJ342" s="32"/>
      <c r="DK342" s="32"/>
      <c r="DL342" s="32"/>
      <c r="DM342" s="32"/>
      <c r="DN342" s="32"/>
      <c r="DO342" s="32"/>
      <c r="DP342" s="32"/>
      <c r="DQ342" s="32"/>
      <c r="DR342" s="32"/>
      <c r="DS342" s="32"/>
      <c r="DT342" s="32"/>
      <c r="DU342" s="32"/>
      <c r="DV342" s="32"/>
      <c r="DW342" s="32"/>
      <c r="DX342" s="32"/>
      <c r="DY342" s="32"/>
      <c r="DZ342" s="32"/>
      <c r="EA342" s="32"/>
      <c r="EB342" s="32"/>
      <c r="EC342" s="32"/>
      <c r="ED342" s="32"/>
      <c r="EE342" s="32"/>
      <c r="EF342" s="32"/>
      <c r="EG342" s="32"/>
      <c r="EH342" s="32"/>
      <c r="EI342" s="32"/>
      <c r="EJ342" s="32"/>
      <c r="EK342" s="32"/>
    </row>
    <row r="343" spans="42:141">
      <c r="AP343" s="32"/>
      <c r="AQ343" s="32"/>
      <c r="AR343" s="32"/>
      <c r="AS343" s="32"/>
      <c r="AT343" s="32"/>
      <c r="AU343" s="32"/>
      <c r="AV343" s="32"/>
      <c r="AW343" s="32"/>
      <c r="AX343" s="32"/>
      <c r="AY343" s="32"/>
      <c r="AZ343" s="32"/>
      <c r="BA343" s="32"/>
      <c r="BB343" s="32"/>
      <c r="BC343" s="32"/>
      <c r="BD343" s="32"/>
      <c r="BE343" s="32"/>
      <c r="BF343" s="32"/>
      <c r="BG343" s="32"/>
      <c r="BH343" s="32"/>
      <c r="BI343" s="32"/>
      <c r="BJ343" s="32"/>
      <c r="BK343" s="32"/>
      <c r="BL343" s="32"/>
      <c r="BM343" s="32"/>
      <c r="BN343" s="32"/>
      <c r="BO343" s="32"/>
      <c r="BP343" s="32"/>
      <c r="BQ343" s="32"/>
      <c r="BR343" s="32"/>
      <c r="BS343" s="32"/>
      <c r="BT343" s="32"/>
      <c r="BU343" s="32"/>
      <c r="BV343" s="32"/>
      <c r="BW343" s="32"/>
      <c r="BX343" s="32"/>
      <c r="BY343" s="32"/>
      <c r="BZ343" s="32"/>
      <c r="CA343" s="32"/>
      <c r="CB343" s="32"/>
      <c r="CC343" s="32"/>
      <c r="CD343" s="32"/>
      <c r="CE343" s="32"/>
      <c r="CF343" s="32"/>
      <c r="CG343" s="32"/>
      <c r="CH343" s="32"/>
      <c r="CI343" s="32"/>
      <c r="CJ343" s="32"/>
      <c r="CK343" s="32"/>
      <c r="CL343" s="32"/>
      <c r="CM343" s="32"/>
      <c r="CN343" s="32"/>
      <c r="CO343" s="32"/>
      <c r="CP343" s="32"/>
      <c r="CQ343" s="32"/>
      <c r="CR343" s="32"/>
      <c r="CS343" s="32"/>
      <c r="CT343" s="32"/>
      <c r="CU343" s="32"/>
      <c r="CV343" s="32"/>
      <c r="CW343" s="32"/>
      <c r="CX343" s="32"/>
      <c r="CY343" s="32"/>
      <c r="CZ343" s="32"/>
      <c r="DA343" s="32"/>
      <c r="DB343" s="32"/>
      <c r="DC343" s="32"/>
      <c r="DD343" s="32"/>
      <c r="DE343" s="32"/>
      <c r="DF343" s="32"/>
      <c r="DG343" s="32"/>
      <c r="DH343" s="32"/>
      <c r="DI343" s="32"/>
      <c r="DJ343" s="32"/>
      <c r="DK343" s="32"/>
      <c r="DL343" s="32"/>
      <c r="DM343" s="32"/>
      <c r="DN343" s="32"/>
      <c r="DO343" s="32"/>
      <c r="DP343" s="32"/>
      <c r="DQ343" s="32"/>
      <c r="DR343" s="32"/>
      <c r="DS343" s="32"/>
      <c r="DT343" s="32"/>
      <c r="DU343" s="32"/>
      <c r="DV343" s="32"/>
      <c r="DW343" s="32"/>
      <c r="DX343" s="32"/>
      <c r="DY343" s="32"/>
      <c r="DZ343" s="32"/>
      <c r="EA343" s="32"/>
      <c r="EB343" s="32"/>
      <c r="EC343" s="32"/>
      <c r="ED343" s="32"/>
      <c r="EE343" s="32"/>
      <c r="EF343" s="32"/>
      <c r="EG343" s="32"/>
      <c r="EH343" s="32"/>
      <c r="EI343" s="32"/>
      <c r="EJ343" s="32"/>
      <c r="EK343" s="32"/>
    </row>
    <row r="344" spans="42:141">
      <c r="AP344" s="32"/>
      <c r="AQ344" s="32"/>
      <c r="AR344" s="32"/>
      <c r="AS344" s="32"/>
      <c r="AT344" s="32"/>
      <c r="AU344" s="32"/>
      <c r="AV344" s="32"/>
      <c r="AW344" s="32"/>
      <c r="AX344" s="32"/>
      <c r="AY344" s="32"/>
      <c r="AZ344" s="32"/>
      <c r="BA344" s="32"/>
      <c r="BB344" s="32"/>
      <c r="BC344" s="32"/>
      <c r="BD344" s="32"/>
      <c r="BE344" s="32"/>
      <c r="BF344" s="32"/>
      <c r="BG344" s="32"/>
      <c r="BH344" s="32"/>
      <c r="BI344" s="32"/>
      <c r="BJ344" s="32"/>
      <c r="BK344" s="32"/>
      <c r="BL344" s="32"/>
      <c r="BM344" s="32"/>
      <c r="BN344" s="32"/>
      <c r="BO344" s="32"/>
      <c r="BP344" s="32"/>
      <c r="BQ344" s="32"/>
      <c r="BR344" s="32"/>
      <c r="BS344" s="32"/>
      <c r="BT344" s="32"/>
      <c r="BU344" s="32"/>
      <c r="BV344" s="32"/>
      <c r="BW344" s="32"/>
      <c r="BX344" s="32"/>
      <c r="BY344" s="32"/>
      <c r="BZ344" s="32"/>
      <c r="CA344" s="32"/>
      <c r="CB344" s="32"/>
      <c r="CC344" s="32"/>
      <c r="CD344" s="32"/>
      <c r="CE344" s="32"/>
      <c r="CF344" s="32"/>
      <c r="CG344" s="32"/>
      <c r="CH344" s="32"/>
      <c r="CI344" s="32"/>
      <c r="CJ344" s="32"/>
      <c r="CK344" s="32"/>
      <c r="CL344" s="32"/>
      <c r="CM344" s="32"/>
      <c r="CN344" s="32"/>
      <c r="CO344" s="32"/>
      <c r="CP344" s="32"/>
      <c r="CQ344" s="32"/>
      <c r="CR344" s="32"/>
      <c r="CS344" s="32"/>
      <c r="CT344" s="32"/>
      <c r="CU344" s="32"/>
      <c r="CV344" s="32"/>
      <c r="CW344" s="32"/>
      <c r="CX344" s="32"/>
      <c r="CY344" s="32"/>
      <c r="CZ344" s="32"/>
      <c r="DA344" s="32"/>
      <c r="DB344" s="32"/>
      <c r="DC344" s="32"/>
      <c r="DD344" s="32"/>
      <c r="DE344" s="32"/>
      <c r="DF344" s="32"/>
      <c r="DG344" s="32"/>
      <c r="DH344" s="32"/>
      <c r="DI344" s="32"/>
      <c r="DJ344" s="32"/>
      <c r="DK344" s="32"/>
      <c r="DL344" s="32"/>
      <c r="DM344" s="32"/>
      <c r="DN344" s="32"/>
      <c r="DO344" s="32"/>
      <c r="DP344" s="32"/>
      <c r="DQ344" s="32"/>
      <c r="DR344" s="32"/>
      <c r="DS344" s="32"/>
      <c r="DT344" s="32"/>
      <c r="DU344" s="32"/>
      <c r="DV344" s="32"/>
      <c r="DW344" s="32"/>
      <c r="DX344" s="32"/>
      <c r="DY344" s="32"/>
      <c r="DZ344" s="32"/>
      <c r="EA344" s="32"/>
      <c r="EB344" s="32"/>
      <c r="EC344" s="32"/>
      <c r="ED344" s="32"/>
      <c r="EE344" s="32"/>
      <c r="EF344" s="32"/>
      <c r="EG344" s="32"/>
      <c r="EH344" s="32"/>
      <c r="EI344" s="32"/>
      <c r="EJ344" s="32"/>
      <c r="EK344" s="32"/>
    </row>
    <row r="345" spans="42:141">
      <c r="AP345" s="32"/>
      <c r="AQ345" s="32"/>
      <c r="AR345" s="32"/>
      <c r="AS345" s="32"/>
      <c r="AT345" s="32"/>
      <c r="AU345" s="32"/>
      <c r="AV345" s="32"/>
      <c r="AW345" s="32"/>
      <c r="AX345" s="32"/>
      <c r="AY345" s="32"/>
      <c r="AZ345" s="32"/>
      <c r="BA345" s="32"/>
      <c r="BB345" s="32"/>
      <c r="BC345" s="32"/>
      <c r="BD345" s="32"/>
      <c r="BE345" s="32"/>
      <c r="BF345" s="32"/>
      <c r="BG345" s="32"/>
      <c r="BH345" s="32"/>
      <c r="BI345" s="32"/>
      <c r="BJ345" s="32"/>
      <c r="BK345" s="32"/>
      <c r="BL345" s="32"/>
      <c r="BM345" s="32"/>
      <c r="BN345" s="32"/>
      <c r="BO345" s="32"/>
      <c r="BP345" s="32"/>
      <c r="BQ345" s="32"/>
      <c r="BR345" s="32"/>
      <c r="BS345" s="32"/>
      <c r="BT345" s="32"/>
      <c r="BU345" s="32"/>
      <c r="BV345" s="32"/>
      <c r="BW345" s="32"/>
      <c r="BX345" s="32"/>
      <c r="BY345" s="32"/>
      <c r="BZ345" s="32"/>
      <c r="CA345" s="32"/>
      <c r="CB345" s="32"/>
      <c r="CC345" s="32"/>
      <c r="CD345" s="32"/>
      <c r="CE345" s="32"/>
      <c r="CF345" s="32"/>
      <c r="CG345" s="32"/>
      <c r="CH345" s="32"/>
      <c r="CI345" s="32"/>
      <c r="CJ345" s="32"/>
      <c r="CK345" s="32"/>
      <c r="CL345" s="32"/>
      <c r="CM345" s="32"/>
      <c r="CN345" s="32"/>
      <c r="CO345" s="32"/>
      <c r="CP345" s="32"/>
      <c r="CQ345" s="32"/>
      <c r="CR345" s="32"/>
      <c r="CS345" s="32"/>
      <c r="CT345" s="32"/>
      <c r="CU345" s="32"/>
      <c r="CV345" s="32"/>
      <c r="CW345" s="32"/>
      <c r="CX345" s="32"/>
      <c r="CY345" s="32"/>
      <c r="CZ345" s="32"/>
      <c r="DA345" s="32"/>
      <c r="DB345" s="32"/>
      <c r="DC345" s="32"/>
      <c r="DD345" s="32"/>
      <c r="DE345" s="32"/>
      <c r="DF345" s="32"/>
      <c r="DG345" s="32"/>
      <c r="DH345" s="32"/>
      <c r="DI345" s="32"/>
      <c r="DJ345" s="32"/>
      <c r="DK345" s="32"/>
      <c r="DL345" s="32"/>
      <c r="DM345" s="32"/>
      <c r="DN345" s="32"/>
      <c r="DO345" s="32"/>
      <c r="DP345" s="32"/>
      <c r="DQ345" s="32"/>
      <c r="DR345" s="32"/>
      <c r="DS345" s="32"/>
      <c r="DT345" s="32"/>
      <c r="DU345" s="32"/>
      <c r="DV345" s="32"/>
      <c r="DW345" s="32"/>
      <c r="DX345" s="32"/>
      <c r="DY345" s="32"/>
      <c r="DZ345" s="32"/>
      <c r="EA345" s="32"/>
      <c r="EB345" s="32"/>
      <c r="EC345" s="32"/>
      <c r="ED345" s="32"/>
      <c r="EE345" s="32"/>
      <c r="EF345" s="32"/>
      <c r="EG345" s="32"/>
      <c r="EH345" s="32"/>
      <c r="EI345" s="32"/>
      <c r="EJ345" s="32"/>
      <c r="EK345" s="32"/>
    </row>
    <row r="346" spans="42:141">
      <c r="AP346" s="32"/>
      <c r="AQ346" s="32"/>
      <c r="AR346" s="32"/>
      <c r="AS346" s="32"/>
      <c r="AT346" s="32"/>
      <c r="AU346" s="32"/>
      <c r="AV346" s="32"/>
      <c r="AW346" s="32"/>
      <c r="AX346" s="32"/>
      <c r="AY346" s="32"/>
      <c r="AZ346" s="32"/>
      <c r="BA346" s="32"/>
      <c r="BB346" s="32"/>
      <c r="BC346" s="32"/>
      <c r="BD346" s="32"/>
      <c r="BE346" s="32"/>
      <c r="BF346" s="32"/>
      <c r="BG346" s="32"/>
      <c r="BH346" s="32"/>
      <c r="BI346" s="32"/>
      <c r="BJ346" s="32"/>
      <c r="BK346" s="32"/>
      <c r="BL346" s="32"/>
      <c r="BM346" s="32"/>
      <c r="BN346" s="32"/>
      <c r="BO346" s="32"/>
      <c r="BP346" s="32"/>
      <c r="BQ346" s="32"/>
      <c r="BR346" s="32"/>
      <c r="BS346" s="32"/>
      <c r="BT346" s="32"/>
      <c r="BU346" s="32"/>
      <c r="BV346" s="32"/>
      <c r="BW346" s="32"/>
      <c r="BX346" s="32"/>
      <c r="BY346" s="32"/>
      <c r="BZ346" s="32"/>
      <c r="CA346" s="32"/>
      <c r="CB346" s="32"/>
      <c r="CC346" s="32"/>
      <c r="CD346" s="32"/>
      <c r="CE346" s="32"/>
      <c r="CF346" s="32"/>
      <c r="CG346" s="32"/>
      <c r="CH346" s="32"/>
      <c r="CI346" s="32"/>
      <c r="CJ346" s="32"/>
      <c r="CK346" s="32"/>
      <c r="CL346" s="32"/>
      <c r="CM346" s="32"/>
      <c r="CN346" s="32"/>
      <c r="CO346" s="32"/>
      <c r="CP346" s="32"/>
      <c r="CQ346" s="32"/>
      <c r="CR346" s="32"/>
      <c r="CS346" s="32"/>
      <c r="CT346" s="32"/>
      <c r="CU346" s="32"/>
      <c r="CV346" s="32"/>
      <c r="CW346" s="32"/>
      <c r="CX346" s="32"/>
      <c r="CY346" s="32"/>
      <c r="CZ346" s="32"/>
      <c r="DA346" s="32"/>
      <c r="DB346" s="32"/>
      <c r="DC346" s="32"/>
      <c r="DD346" s="32"/>
      <c r="DE346" s="32"/>
      <c r="DF346" s="32"/>
      <c r="DG346" s="32"/>
      <c r="DH346" s="32"/>
      <c r="DI346" s="32"/>
      <c r="DJ346" s="32"/>
      <c r="DK346" s="32"/>
      <c r="DL346" s="32"/>
      <c r="DM346" s="32"/>
      <c r="DN346" s="32"/>
      <c r="DO346" s="32"/>
      <c r="DP346" s="32"/>
      <c r="DQ346" s="32"/>
      <c r="DR346" s="32"/>
      <c r="DS346" s="32"/>
      <c r="DT346" s="32"/>
      <c r="DU346" s="32"/>
      <c r="DV346" s="32"/>
      <c r="DW346" s="32"/>
      <c r="DX346" s="32"/>
      <c r="DY346" s="32"/>
      <c r="DZ346" s="32"/>
      <c r="EA346" s="32"/>
      <c r="EB346" s="32"/>
      <c r="EC346" s="32"/>
      <c r="ED346" s="32"/>
      <c r="EE346" s="32"/>
      <c r="EF346" s="32"/>
      <c r="EG346" s="32"/>
      <c r="EH346" s="32"/>
      <c r="EI346" s="32"/>
      <c r="EJ346" s="32"/>
      <c r="EK346" s="32"/>
    </row>
    <row r="347" spans="42:141">
      <c r="AP347" s="32"/>
      <c r="AQ347" s="32"/>
      <c r="AR347" s="32"/>
      <c r="AS347" s="32"/>
      <c r="AT347" s="32"/>
      <c r="AU347" s="32"/>
      <c r="AV347" s="32"/>
      <c r="AW347" s="32"/>
      <c r="AX347" s="32"/>
      <c r="AY347" s="32"/>
      <c r="AZ347" s="32"/>
      <c r="BA347" s="32"/>
      <c r="BB347" s="32"/>
      <c r="BC347" s="32"/>
      <c r="BD347" s="32"/>
      <c r="BE347" s="32"/>
      <c r="BF347" s="32"/>
      <c r="BG347" s="32"/>
      <c r="BH347" s="32"/>
      <c r="BI347" s="32"/>
      <c r="BJ347" s="32"/>
      <c r="BK347" s="32"/>
      <c r="BL347" s="32"/>
      <c r="BM347" s="32"/>
      <c r="BN347" s="32"/>
      <c r="BO347" s="32"/>
      <c r="BP347" s="32"/>
      <c r="BQ347" s="32"/>
      <c r="BR347" s="32"/>
      <c r="BS347" s="32"/>
      <c r="BT347" s="32"/>
      <c r="BU347" s="32"/>
      <c r="BV347" s="32"/>
      <c r="BW347" s="32"/>
      <c r="BX347" s="32"/>
      <c r="BY347" s="32"/>
      <c r="BZ347" s="32"/>
      <c r="CA347" s="32"/>
      <c r="CB347" s="32"/>
      <c r="CC347" s="32"/>
      <c r="CD347" s="32"/>
      <c r="CE347" s="32"/>
      <c r="CF347" s="32"/>
      <c r="CG347" s="32"/>
      <c r="CH347" s="32"/>
      <c r="CI347" s="32"/>
      <c r="CJ347" s="32"/>
      <c r="CK347" s="32"/>
      <c r="CL347" s="32"/>
      <c r="CM347" s="32"/>
      <c r="CN347" s="32"/>
      <c r="CO347" s="32"/>
      <c r="CP347" s="32"/>
      <c r="CQ347" s="32"/>
      <c r="CR347" s="32"/>
      <c r="CS347" s="32"/>
      <c r="CT347" s="32"/>
      <c r="CU347" s="32"/>
      <c r="CV347" s="32"/>
      <c r="CW347" s="32"/>
      <c r="CX347" s="32"/>
      <c r="CY347" s="32"/>
      <c r="CZ347" s="32"/>
      <c r="DA347" s="32"/>
      <c r="DB347" s="32"/>
      <c r="DC347" s="32"/>
      <c r="DD347" s="32"/>
      <c r="DE347" s="32"/>
      <c r="DF347" s="32"/>
      <c r="DG347" s="32"/>
      <c r="DH347" s="32"/>
      <c r="DI347" s="32"/>
      <c r="DJ347" s="32"/>
      <c r="DK347" s="32"/>
      <c r="DL347" s="32"/>
      <c r="DM347" s="32"/>
      <c r="DN347" s="32"/>
      <c r="DO347" s="32"/>
      <c r="DP347" s="32"/>
      <c r="DQ347" s="32"/>
      <c r="DR347" s="32"/>
      <c r="DS347" s="32"/>
      <c r="DT347" s="32"/>
      <c r="DU347" s="32"/>
      <c r="DV347" s="32"/>
      <c r="DW347" s="32"/>
      <c r="DX347" s="32"/>
      <c r="DY347" s="32"/>
      <c r="DZ347" s="32"/>
      <c r="EA347" s="32"/>
      <c r="EB347" s="32"/>
      <c r="EC347" s="32"/>
      <c r="ED347" s="32"/>
      <c r="EE347" s="32"/>
      <c r="EF347" s="32"/>
      <c r="EG347" s="32"/>
      <c r="EH347" s="32"/>
      <c r="EI347" s="32"/>
      <c r="EJ347" s="32"/>
      <c r="EK347" s="32"/>
    </row>
    <row r="348" spans="42:141">
      <c r="AP348" s="32"/>
      <c r="AQ348" s="32"/>
      <c r="AR348" s="32"/>
      <c r="AS348" s="32"/>
      <c r="AT348" s="32"/>
      <c r="AU348" s="32"/>
      <c r="AV348" s="32"/>
      <c r="AW348" s="32"/>
      <c r="AX348" s="32"/>
      <c r="AY348" s="32"/>
      <c r="AZ348" s="32"/>
      <c r="BA348" s="32"/>
      <c r="BB348" s="32"/>
      <c r="BC348" s="32"/>
      <c r="BD348" s="32"/>
      <c r="BE348" s="32"/>
      <c r="BF348" s="32"/>
      <c r="BG348" s="32"/>
      <c r="BH348" s="32"/>
      <c r="BI348" s="32"/>
      <c r="BJ348" s="32"/>
      <c r="BK348" s="32"/>
      <c r="BL348" s="32"/>
      <c r="BM348" s="32"/>
      <c r="BN348" s="32"/>
      <c r="BO348" s="32"/>
      <c r="BP348" s="32"/>
      <c r="BQ348" s="32"/>
      <c r="BR348" s="32"/>
      <c r="BS348" s="32"/>
      <c r="BT348" s="32"/>
      <c r="BU348" s="32"/>
      <c r="BV348" s="32"/>
      <c r="BW348" s="32"/>
      <c r="BX348" s="32"/>
      <c r="BY348" s="32"/>
      <c r="BZ348" s="32"/>
      <c r="CA348" s="32"/>
      <c r="CB348" s="32"/>
      <c r="CC348" s="32"/>
      <c r="CD348" s="32"/>
      <c r="CE348" s="32"/>
      <c r="CF348" s="32"/>
      <c r="CG348" s="32"/>
      <c r="CH348" s="32"/>
      <c r="CI348" s="32"/>
      <c r="CJ348" s="32"/>
      <c r="CK348" s="32"/>
      <c r="CL348" s="32"/>
      <c r="CM348" s="32"/>
      <c r="CN348" s="32"/>
      <c r="CO348" s="32"/>
      <c r="CP348" s="32"/>
      <c r="CQ348" s="32"/>
      <c r="CR348" s="32"/>
      <c r="CS348" s="32"/>
      <c r="CT348" s="32"/>
      <c r="CU348" s="32"/>
      <c r="CV348" s="32"/>
      <c r="CW348" s="32"/>
      <c r="CX348" s="32"/>
      <c r="CY348" s="32"/>
      <c r="CZ348" s="32"/>
      <c r="DA348" s="32"/>
      <c r="DB348" s="32"/>
      <c r="DC348" s="32"/>
      <c r="DD348" s="32"/>
      <c r="DE348" s="32"/>
      <c r="DF348" s="32"/>
      <c r="DG348" s="32"/>
      <c r="DH348" s="32"/>
      <c r="DI348" s="32"/>
      <c r="DJ348" s="32"/>
      <c r="DK348" s="32"/>
      <c r="DL348" s="32"/>
      <c r="DM348" s="32"/>
      <c r="DN348" s="32"/>
      <c r="DO348" s="32"/>
      <c r="DP348" s="32"/>
      <c r="DQ348" s="32"/>
      <c r="DR348" s="32"/>
      <c r="DS348" s="32"/>
      <c r="DT348" s="32"/>
      <c r="DU348" s="32"/>
      <c r="DV348" s="32"/>
      <c r="DW348" s="32"/>
      <c r="DX348" s="32"/>
      <c r="DY348" s="32"/>
      <c r="DZ348" s="32"/>
      <c r="EA348" s="32"/>
      <c r="EB348" s="32"/>
      <c r="EC348" s="32"/>
      <c r="ED348" s="32"/>
      <c r="EE348" s="32"/>
      <c r="EF348" s="32"/>
      <c r="EG348" s="32"/>
      <c r="EH348" s="32"/>
      <c r="EI348" s="32"/>
      <c r="EJ348" s="32"/>
      <c r="EK348" s="32"/>
    </row>
    <row r="349" spans="42:141">
      <c r="AP349" s="32"/>
      <c r="AQ349" s="32"/>
      <c r="AR349" s="32"/>
      <c r="AS349" s="32"/>
      <c r="AT349" s="32"/>
      <c r="AU349" s="32"/>
      <c r="AV349" s="32"/>
      <c r="AW349" s="32"/>
      <c r="AX349" s="32"/>
      <c r="AY349" s="32"/>
      <c r="AZ349" s="32"/>
      <c r="BA349" s="32"/>
      <c r="BB349" s="32"/>
      <c r="BC349" s="32"/>
      <c r="BD349" s="32"/>
      <c r="BE349" s="32"/>
      <c r="BF349" s="32"/>
      <c r="BG349" s="32"/>
      <c r="BH349" s="32"/>
      <c r="BI349" s="32"/>
      <c r="BJ349" s="32"/>
      <c r="BK349" s="32"/>
      <c r="BL349" s="32"/>
      <c r="BM349" s="32"/>
      <c r="BN349" s="32"/>
      <c r="BO349" s="32"/>
      <c r="BP349" s="32"/>
      <c r="BQ349" s="32"/>
      <c r="BR349" s="32"/>
      <c r="BS349" s="32"/>
      <c r="BT349" s="32"/>
      <c r="BU349" s="32"/>
      <c r="BV349" s="32"/>
      <c r="BW349" s="32"/>
      <c r="BX349" s="32"/>
      <c r="BY349" s="32"/>
      <c r="BZ349" s="32"/>
      <c r="CA349" s="32"/>
      <c r="CB349" s="32"/>
      <c r="CC349" s="32"/>
      <c r="CD349" s="32"/>
      <c r="CE349" s="32"/>
      <c r="CF349" s="32"/>
      <c r="CG349" s="32"/>
      <c r="CH349" s="32"/>
      <c r="CI349" s="32"/>
      <c r="CJ349" s="32"/>
      <c r="CK349" s="32"/>
      <c r="CL349" s="32"/>
      <c r="CM349" s="32"/>
      <c r="CN349" s="32"/>
      <c r="CO349" s="32"/>
      <c r="CP349" s="32"/>
      <c r="CQ349" s="32"/>
      <c r="CR349" s="32"/>
      <c r="CS349" s="32"/>
      <c r="CT349" s="32"/>
      <c r="CU349" s="32"/>
      <c r="CV349" s="32"/>
      <c r="CW349" s="32"/>
      <c r="CX349" s="32"/>
      <c r="CY349" s="32"/>
      <c r="CZ349" s="32"/>
      <c r="DA349" s="32"/>
      <c r="DB349" s="32"/>
      <c r="DC349" s="32"/>
      <c r="DD349" s="32"/>
      <c r="DE349" s="32"/>
      <c r="DF349" s="32"/>
      <c r="DG349" s="32"/>
      <c r="DH349" s="32"/>
      <c r="DI349" s="32"/>
      <c r="DJ349" s="32"/>
      <c r="DK349" s="32"/>
      <c r="DL349" s="32"/>
      <c r="DM349" s="32"/>
      <c r="DN349" s="32"/>
      <c r="DO349" s="32"/>
      <c r="DP349" s="32"/>
      <c r="DQ349" s="32"/>
      <c r="DR349" s="32"/>
      <c r="DS349" s="32"/>
      <c r="DT349" s="32"/>
      <c r="DU349" s="32"/>
      <c r="DV349" s="32"/>
      <c r="DW349" s="32"/>
      <c r="DX349" s="32"/>
      <c r="DY349" s="32"/>
      <c r="DZ349" s="32"/>
      <c r="EA349" s="32"/>
      <c r="EB349" s="32"/>
      <c r="EC349" s="32"/>
      <c r="ED349" s="32"/>
      <c r="EE349" s="32"/>
      <c r="EF349" s="32"/>
      <c r="EG349" s="32"/>
      <c r="EH349" s="32"/>
      <c r="EI349" s="32"/>
      <c r="EJ349" s="32"/>
      <c r="EK349" s="32"/>
    </row>
    <row r="350" spans="42:141">
      <c r="AP350" s="32"/>
      <c r="AQ350" s="32"/>
      <c r="AR350" s="32"/>
      <c r="AS350" s="32"/>
      <c r="AT350" s="32"/>
      <c r="AU350" s="32"/>
      <c r="AV350" s="32"/>
      <c r="AW350" s="32"/>
      <c r="AX350" s="32"/>
      <c r="AY350" s="32"/>
      <c r="AZ350" s="32"/>
      <c r="BA350" s="32"/>
      <c r="BB350" s="32"/>
      <c r="BC350" s="32"/>
      <c r="BD350" s="32"/>
      <c r="BE350" s="32"/>
      <c r="BF350" s="32"/>
      <c r="BG350" s="32"/>
      <c r="BH350" s="32"/>
      <c r="BI350" s="32"/>
      <c r="BJ350" s="32"/>
      <c r="BK350" s="32"/>
      <c r="BL350" s="32"/>
      <c r="BM350" s="32"/>
      <c r="BN350" s="32"/>
      <c r="BO350" s="32"/>
      <c r="BP350" s="32"/>
      <c r="BQ350" s="32"/>
      <c r="BR350" s="32"/>
      <c r="BS350" s="32"/>
      <c r="BT350" s="32"/>
      <c r="BU350" s="32"/>
      <c r="BV350" s="32"/>
      <c r="BW350" s="32"/>
      <c r="BX350" s="32"/>
      <c r="BY350" s="32"/>
      <c r="BZ350" s="32"/>
      <c r="CA350" s="32"/>
      <c r="CB350" s="32"/>
      <c r="CC350" s="32"/>
      <c r="CD350" s="32"/>
      <c r="CE350" s="32"/>
      <c r="CF350" s="32"/>
      <c r="CG350" s="32"/>
      <c r="CH350" s="32"/>
      <c r="CI350" s="32"/>
      <c r="CJ350" s="32"/>
      <c r="CK350" s="32"/>
      <c r="CL350" s="32"/>
      <c r="CM350" s="32"/>
      <c r="CN350" s="32"/>
      <c r="CO350" s="32"/>
      <c r="CP350" s="32"/>
      <c r="CQ350" s="32"/>
      <c r="CR350" s="32"/>
      <c r="CS350" s="32"/>
      <c r="CT350" s="32"/>
      <c r="CU350" s="32"/>
      <c r="CV350" s="32"/>
      <c r="CW350" s="32"/>
      <c r="CX350" s="32"/>
      <c r="CY350" s="32"/>
      <c r="CZ350" s="32"/>
      <c r="DA350" s="32"/>
      <c r="DB350" s="32"/>
      <c r="DC350" s="32"/>
      <c r="DD350" s="32"/>
      <c r="DE350" s="32"/>
      <c r="DF350" s="32"/>
      <c r="DG350" s="32"/>
      <c r="DH350" s="32"/>
      <c r="DI350" s="32"/>
      <c r="DJ350" s="32"/>
      <c r="DK350" s="32"/>
      <c r="DL350" s="32"/>
      <c r="DM350" s="32"/>
      <c r="DN350" s="32"/>
      <c r="DO350" s="32"/>
      <c r="DP350" s="32"/>
      <c r="DQ350" s="32"/>
      <c r="DR350" s="32"/>
      <c r="DS350" s="32"/>
      <c r="DT350" s="32"/>
      <c r="DU350" s="32"/>
      <c r="DV350" s="32"/>
      <c r="DW350" s="32"/>
      <c r="DX350" s="32"/>
      <c r="DY350" s="32"/>
      <c r="DZ350" s="32"/>
      <c r="EA350" s="32"/>
      <c r="EB350" s="32"/>
      <c r="EC350" s="32"/>
      <c r="ED350" s="32"/>
      <c r="EE350" s="32"/>
      <c r="EF350" s="32"/>
      <c r="EG350" s="32"/>
      <c r="EH350" s="32"/>
      <c r="EI350" s="32"/>
      <c r="EJ350" s="32"/>
      <c r="EK350" s="32"/>
    </row>
    <row r="351" spans="42:141">
      <c r="AP351" s="32"/>
      <c r="AQ351" s="32"/>
      <c r="AR351" s="32"/>
      <c r="AS351" s="32"/>
      <c r="AT351" s="32"/>
      <c r="AU351" s="32"/>
      <c r="AV351" s="32"/>
      <c r="AW351" s="32"/>
      <c r="AX351" s="32"/>
      <c r="AY351" s="32"/>
      <c r="AZ351" s="32"/>
      <c r="BA351" s="32"/>
      <c r="BB351" s="32"/>
      <c r="BC351" s="32"/>
      <c r="BD351" s="32"/>
      <c r="BE351" s="32"/>
      <c r="BF351" s="32"/>
      <c r="BG351" s="32"/>
      <c r="BH351" s="32"/>
      <c r="BI351" s="32"/>
      <c r="BJ351" s="32"/>
      <c r="BK351" s="32"/>
      <c r="BL351" s="32"/>
      <c r="BM351" s="32"/>
      <c r="BN351" s="32"/>
      <c r="BO351" s="32"/>
      <c r="BP351" s="32"/>
      <c r="BQ351" s="32"/>
      <c r="BR351" s="32"/>
      <c r="BS351" s="32"/>
      <c r="BT351" s="32"/>
      <c r="BU351" s="32"/>
      <c r="BV351" s="32"/>
      <c r="BW351" s="32"/>
      <c r="BX351" s="32"/>
      <c r="BY351" s="32"/>
      <c r="BZ351" s="32"/>
      <c r="CA351" s="32"/>
      <c r="CB351" s="32"/>
      <c r="CC351" s="32"/>
      <c r="CD351" s="32"/>
      <c r="CE351" s="32"/>
      <c r="CF351" s="32"/>
      <c r="CG351" s="32"/>
      <c r="CH351" s="32"/>
      <c r="CI351" s="32"/>
      <c r="CJ351" s="32"/>
      <c r="CK351" s="32"/>
      <c r="CL351" s="32"/>
      <c r="CM351" s="32"/>
      <c r="CN351" s="32"/>
      <c r="CO351" s="32"/>
      <c r="CP351" s="32"/>
      <c r="CQ351" s="32"/>
      <c r="CR351" s="32"/>
      <c r="CS351" s="32"/>
      <c r="CT351" s="32"/>
      <c r="CU351" s="32"/>
      <c r="CV351" s="32"/>
      <c r="CW351" s="32"/>
      <c r="CX351" s="32"/>
      <c r="CY351" s="32"/>
      <c r="CZ351" s="32"/>
      <c r="DA351" s="32"/>
      <c r="DB351" s="32"/>
      <c r="DC351" s="32"/>
      <c r="DD351" s="32"/>
      <c r="DE351" s="32"/>
      <c r="DF351" s="32"/>
      <c r="DG351" s="32"/>
      <c r="DH351" s="32"/>
      <c r="DI351" s="32"/>
      <c r="DJ351" s="32"/>
      <c r="DK351" s="32"/>
      <c r="DL351" s="32"/>
      <c r="DM351" s="32"/>
      <c r="DN351" s="32"/>
      <c r="DO351" s="32"/>
      <c r="DP351" s="32"/>
      <c r="DQ351" s="32"/>
      <c r="DR351" s="32"/>
      <c r="DS351" s="32"/>
      <c r="DT351" s="32"/>
      <c r="DU351" s="32"/>
      <c r="DV351" s="32"/>
      <c r="DW351" s="32"/>
      <c r="DX351" s="32"/>
      <c r="DY351" s="32"/>
      <c r="DZ351" s="32"/>
      <c r="EA351" s="32"/>
      <c r="EB351" s="32"/>
      <c r="EC351" s="32"/>
      <c r="ED351" s="32"/>
      <c r="EE351" s="32"/>
      <c r="EF351" s="32"/>
      <c r="EG351" s="32"/>
      <c r="EH351" s="32"/>
      <c r="EI351" s="32"/>
      <c r="EJ351" s="32"/>
      <c r="EK351" s="32"/>
    </row>
    <row r="352" spans="42:141">
      <c r="AP352" s="32"/>
      <c r="AQ352" s="32"/>
      <c r="AR352" s="32"/>
      <c r="AS352" s="32"/>
      <c r="AT352" s="32"/>
      <c r="AU352" s="32"/>
      <c r="AV352" s="32"/>
      <c r="AW352" s="32"/>
      <c r="AX352" s="32"/>
      <c r="AY352" s="32"/>
      <c r="AZ352" s="32"/>
      <c r="BA352" s="32"/>
      <c r="BB352" s="32"/>
      <c r="BC352" s="32"/>
      <c r="BD352" s="32"/>
      <c r="BE352" s="32"/>
      <c r="BF352" s="32"/>
      <c r="BG352" s="32"/>
      <c r="BH352" s="32"/>
      <c r="BI352" s="32"/>
      <c r="BJ352" s="32"/>
      <c r="BK352" s="32"/>
      <c r="BL352" s="32"/>
      <c r="BM352" s="32"/>
      <c r="BN352" s="32"/>
      <c r="BO352" s="32"/>
      <c r="BP352" s="32"/>
      <c r="BQ352" s="32"/>
      <c r="BR352" s="32"/>
      <c r="BS352" s="32"/>
      <c r="BT352" s="32"/>
      <c r="BU352" s="32"/>
      <c r="BV352" s="32"/>
      <c r="BW352" s="32"/>
      <c r="BX352" s="32"/>
      <c r="BY352" s="32"/>
      <c r="BZ352" s="32"/>
      <c r="CA352" s="32"/>
      <c r="CB352" s="32"/>
      <c r="CC352" s="32"/>
      <c r="CD352" s="32"/>
      <c r="CE352" s="32"/>
      <c r="CF352" s="32"/>
      <c r="CG352" s="32"/>
      <c r="CH352" s="32"/>
      <c r="CI352" s="32"/>
      <c r="CJ352" s="32"/>
      <c r="CK352" s="32"/>
      <c r="CL352" s="32"/>
      <c r="CM352" s="32"/>
      <c r="CN352" s="32"/>
      <c r="CO352" s="32"/>
      <c r="CP352" s="32"/>
      <c r="CQ352" s="32"/>
      <c r="CR352" s="32"/>
      <c r="CS352" s="32"/>
      <c r="CT352" s="32"/>
      <c r="CU352" s="32"/>
      <c r="CV352" s="32"/>
      <c r="CW352" s="32"/>
      <c r="CX352" s="32"/>
      <c r="CY352" s="32"/>
      <c r="CZ352" s="32"/>
      <c r="DA352" s="32"/>
      <c r="DB352" s="32"/>
      <c r="DC352" s="32"/>
      <c r="DD352" s="32"/>
      <c r="DE352" s="32"/>
      <c r="DF352" s="32"/>
      <c r="DG352" s="32"/>
      <c r="DH352" s="32"/>
      <c r="DI352" s="32"/>
      <c r="DJ352" s="32"/>
      <c r="DK352" s="32"/>
      <c r="DL352" s="32"/>
      <c r="DM352" s="32"/>
      <c r="DN352" s="32"/>
      <c r="DO352" s="32"/>
      <c r="DP352" s="32"/>
      <c r="DQ352" s="32"/>
      <c r="DR352" s="32"/>
      <c r="DS352" s="32"/>
      <c r="DT352" s="32"/>
      <c r="DU352" s="32"/>
      <c r="DV352" s="32"/>
      <c r="DW352" s="32"/>
      <c r="DX352" s="32"/>
      <c r="DY352" s="32"/>
      <c r="DZ352" s="32"/>
      <c r="EA352" s="32"/>
      <c r="EB352" s="32"/>
      <c r="EC352" s="32"/>
      <c r="ED352" s="32"/>
      <c r="EE352" s="32"/>
      <c r="EF352" s="32"/>
      <c r="EG352" s="32"/>
      <c r="EH352" s="32"/>
      <c r="EI352" s="32"/>
      <c r="EJ352" s="32"/>
      <c r="EK352" s="32"/>
    </row>
    <row r="353" spans="42:141">
      <c r="AP353" s="32"/>
      <c r="AQ353" s="32"/>
      <c r="AR353" s="32"/>
      <c r="AS353" s="32"/>
      <c r="AT353" s="32"/>
      <c r="AU353" s="32"/>
      <c r="AV353" s="32"/>
      <c r="AW353" s="32"/>
      <c r="AX353" s="32"/>
      <c r="AY353" s="32"/>
      <c r="AZ353" s="32"/>
      <c r="BA353" s="32"/>
      <c r="BB353" s="32"/>
      <c r="BC353" s="32"/>
      <c r="BD353" s="32"/>
      <c r="BE353" s="32"/>
      <c r="BF353" s="32"/>
      <c r="BG353" s="32"/>
      <c r="BH353" s="32"/>
      <c r="BI353" s="32"/>
      <c r="BJ353" s="32"/>
      <c r="BK353" s="32"/>
      <c r="BL353" s="32"/>
      <c r="BM353" s="32"/>
      <c r="BN353" s="32"/>
      <c r="BO353" s="32"/>
      <c r="BP353" s="32"/>
      <c r="BQ353" s="32"/>
      <c r="BR353" s="32"/>
      <c r="BS353" s="32"/>
      <c r="BT353" s="32"/>
      <c r="BU353" s="32"/>
      <c r="BV353" s="32"/>
      <c r="BW353" s="32"/>
      <c r="BX353" s="32"/>
      <c r="BY353" s="32"/>
      <c r="BZ353" s="32"/>
      <c r="CA353" s="32"/>
      <c r="CB353" s="32"/>
      <c r="CC353" s="32"/>
      <c r="CD353" s="32"/>
      <c r="CE353" s="32"/>
      <c r="CF353" s="32"/>
      <c r="CG353" s="32"/>
      <c r="CH353" s="32"/>
      <c r="CI353" s="32"/>
      <c r="CJ353" s="32"/>
      <c r="CK353" s="32"/>
      <c r="CL353" s="32"/>
      <c r="CM353" s="32"/>
      <c r="CN353" s="32"/>
      <c r="CO353" s="32"/>
      <c r="CP353" s="32"/>
      <c r="CQ353" s="32"/>
      <c r="CR353" s="32"/>
      <c r="CS353" s="32"/>
      <c r="CT353" s="32"/>
      <c r="CU353" s="32"/>
      <c r="CV353" s="32"/>
      <c r="CW353" s="32"/>
      <c r="CX353" s="32"/>
      <c r="CY353" s="32"/>
      <c r="CZ353" s="32"/>
      <c r="DA353" s="32"/>
      <c r="DB353" s="32"/>
      <c r="DC353" s="32"/>
      <c r="DD353" s="32"/>
      <c r="DE353" s="32"/>
      <c r="DF353" s="32"/>
      <c r="DG353" s="32"/>
      <c r="DH353" s="32"/>
      <c r="DI353" s="32"/>
      <c r="DJ353" s="32"/>
      <c r="DK353" s="32"/>
      <c r="DL353" s="32"/>
      <c r="DM353" s="32"/>
      <c r="DN353" s="32"/>
      <c r="DO353" s="32"/>
      <c r="DP353" s="32"/>
      <c r="DQ353" s="32"/>
      <c r="DR353" s="32"/>
      <c r="DS353" s="32"/>
      <c r="DT353" s="32"/>
      <c r="DU353" s="32"/>
      <c r="DV353" s="32"/>
      <c r="DW353" s="32"/>
      <c r="DX353" s="32"/>
      <c r="DY353" s="32"/>
      <c r="DZ353" s="32"/>
      <c r="EA353" s="32"/>
      <c r="EB353" s="32"/>
      <c r="EC353" s="32"/>
      <c r="ED353" s="32"/>
      <c r="EE353" s="32"/>
      <c r="EF353" s="32"/>
      <c r="EG353" s="32"/>
      <c r="EH353" s="32"/>
      <c r="EI353" s="32"/>
      <c r="EJ353" s="32"/>
      <c r="EK353" s="32"/>
    </row>
    <row r="354" spans="42:141">
      <c r="AP354" s="32"/>
      <c r="AQ354" s="32"/>
      <c r="AR354" s="32"/>
      <c r="AS354" s="32"/>
      <c r="AT354" s="32"/>
      <c r="AU354" s="32"/>
      <c r="AV354" s="32"/>
      <c r="AW354" s="32"/>
      <c r="AX354" s="32"/>
      <c r="AY354" s="32"/>
      <c r="AZ354" s="32"/>
      <c r="BA354" s="32"/>
      <c r="BB354" s="32"/>
      <c r="BC354" s="32"/>
      <c r="BD354" s="32"/>
      <c r="BE354" s="32"/>
      <c r="BF354" s="32"/>
      <c r="BG354" s="32"/>
      <c r="BH354" s="32"/>
      <c r="BI354" s="32"/>
      <c r="BJ354" s="32"/>
      <c r="BK354" s="32"/>
      <c r="BL354" s="32"/>
      <c r="BM354" s="32"/>
      <c r="BN354" s="32"/>
      <c r="BO354" s="32"/>
      <c r="BP354" s="32"/>
      <c r="BQ354" s="32"/>
      <c r="BR354" s="32"/>
      <c r="BS354" s="32"/>
      <c r="BT354" s="32"/>
      <c r="BU354" s="32"/>
      <c r="BV354" s="32"/>
      <c r="BW354" s="32"/>
      <c r="BX354" s="32"/>
      <c r="BY354" s="32"/>
      <c r="BZ354" s="32"/>
      <c r="CA354" s="32"/>
      <c r="CB354" s="32"/>
      <c r="CC354" s="32"/>
      <c r="CD354" s="32"/>
      <c r="CE354" s="32"/>
      <c r="CF354" s="32"/>
      <c r="CG354" s="32"/>
      <c r="CH354" s="32"/>
      <c r="CI354" s="32"/>
      <c r="CJ354" s="32"/>
      <c r="CK354" s="32"/>
      <c r="CL354" s="32"/>
      <c r="CM354" s="32"/>
      <c r="CN354" s="32"/>
      <c r="CO354" s="32"/>
      <c r="CP354" s="32"/>
      <c r="CQ354" s="32"/>
      <c r="CR354" s="32"/>
      <c r="CS354" s="32"/>
      <c r="CT354" s="32"/>
      <c r="CU354" s="32"/>
      <c r="CV354" s="32"/>
      <c r="CW354" s="32"/>
      <c r="CX354" s="32"/>
      <c r="CY354" s="32"/>
      <c r="CZ354" s="32"/>
      <c r="DA354" s="32"/>
      <c r="DB354" s="32"/>
      <c r="DC354" s="32"/>
      <c r="DD354" s="32"/>
      <c r="DE354" s="32"/>
      <c r="DF354" s="32"/>
      <c r="DG354" s="32"/>
      <c r="DH354" s="32"/>
      <c r="DI354" s="32"/>
      <c r="DJ354" s="32"/>
      <c r="DK354" s="32"/>
      <c r="DL354" s="32"/>
      <c r="DM354" s="32"/>
      <c r="DN354" s="32"/>
      <c r="DO354" s="32"/>
      <c r="DP354" s="32"/>
      <c r="DQ354" s="32"/>
      <c r="DR354" s="32"/>
      <c r="DS354" s="32"/>
      <c r="DT354" s="32"/>
      <c r="DU354" s="32"/>
      <c r="DV354" s="32"/>
      <c r="DW354" s="32"/>
      <c r="DX354" s="32"/>
      <c r="DY354" s="32"/>
      <c r="DZ354" s="32"/>
      <c r="EA354" s="32"/>
      <c r="EB354" s="32"/>
      <c r="EC354" s="32"/>
      <c r="ED354" s="32"/>
      <c r="EE354" s="32"/>
      <c r="EF354" s="32"/>
      <c r="EG354" s="32"/>
      <c r="EH354" s="32"/>
      <c r="EI354" s="32"/>
      <c r="EJ354" s="32"/>
      <c r="EK354" s="32"/>
    </row>
    <row r="355" spans="42:141">
      <c r="AP355" s="32"/>
      <c r="AQ355" s="32"/>
      <c r="AR355" s="32"/>
      <c r="AS355" s="32"/>
      <c r="AT355" s="32"/>
      <c r="AU355" s="32"/>
      <c r="AV355" s="32"/>
      <c r="AW355" s="32"/>
      <c r="AX355" s="32"/>
      <c r="AY355" s="32"/>
      <c r="AZ355" s="32"/>
      <c r="BA355" s="32"/>
      <c r="BB355" s="32"/>
      <c r="BC355" s="32"/>
      <c r="BD355" s="32"/>
      <c r="BE355" s="32"/>
      <c r="BF355" s="32"/>
      <c r="BG355" s="32"/>
      <c r="BH355" s="32"/>
      <c r="BI355" s="32"/>
      <c r="BJ355" s="32"/>
      <c r="BK355" s="32"/>
      <c r="BL355" s="32"/>
      <c r="BM355" s="32"/>
      <c r="BN355" s="32"/>
      <c r="BO355" s="32"/>
      <c r="BP355" s="32"/>
      <c r="BQ355" s="32"/>
      <c r="BR355" s="32"/>
      <c r="BS355" s="32"/>
      <c r="BT355" s="32"/>
      <c r="BU355" s="32"/>
      <c r="BV355" s="32"/>
      <c r="BW355" s="32"/>
      <c r="BX355" s="32"/>
      <c r="BY355" s="32"/>
      <c r="BZ355" s="32"/>
      <c r="CA355" s="32"/>
      <c r="CB355" s="32"/>
      <c r="CC355" s="32"/>
      <c r="CD355" s="32"/>
      <c r="CE355" s="32"/>
      <c r="CF355" s="32"/>
      <c r="CG355" s="32"/>
      <c r="CH355" s="32"/>
      <c r="CI355" s="32"/>
      <c r="CJ355" s="32"/>
      <c r="CK355" s="32"/>
      <c r="CL355" s="32"/>
      <c r="CM355" s="32"/>
      <c r="CN355" s="32"/>
      <c r="CO355" s="32"/>
      <c r="CP355" s="32"/>
      <c r="CQ355" s="32"/>
      <c r="CR355" s="32"/>
      <c r="CS355" s="32"/>
      <c r="CT355" s="32"/>
      <c r="CU355" s="32"/>
      <c r="CV355" s="32"/>
      <c r="CW355" s="32"/>
      <c r="CX355" s="32"/>
      <c r="CY355" s="32"/>
      <c r="CZ355" s="32"/>
      <c r="DA355" s="32"/>
      <c r="DB355" s="32"/>
      <c r="DC355" s="32"/>
      <c r="DD355" s="32"/>
      <c r="DE355" s="32"/>
      <c r="DF355" s="32"/>
      <c r="DG355" s="32"/>
      <c r="DH355" s="32"/>
      <c r="DI355" s="32"/>
      <c r="DJ355" s="32"/>
      <c r="DK355" s="32"/>
      <c r="DL355" s="32"/>
      <c r="DM355" s="32"/>
      <c r="DN355" s="32"/>
      <c r="DO355" s="32"/>
      <c r="DP355" s="32"/>
      <c r="DQ355" s="32"/>
      <c r="DR355" s="32"/>
      <c r="DS355" s="32"/>
      <c r="DT355" s="32"/>
      <c r="DU355" s="32"/>
      <c r="DV355" s="32"/>
      <c r="DW355" s="32"/>
      <c r="DX355" s="32"/>
      <c r="DY355" s="32"/>
      <c r="DZ355" s="32"/>
      <c r="EA355" s="32"/>
      <c r="EB355" s="32"/>
      <c r="EC355" s="32"/>
      <c r="ED355" s="32"/>
      <c r="EE355" s="32"/>
      <c r="EF355" s="32"/>
      <c r="EG355" s="32"/>
      <c r="EH355" s="32"/>
      <c r="EI355" s="32"/>
      <c r="EJ355" s="32"/>
      <c r="EK355" s="32"/>
    </row>
    <row r="356" spans="42:141">
      <c r="AP356" s="32"/>
      <c r="AQ356" s="32"/>
      <c r="AR356" s="32"/>
      <c r="AS356" s="32"/>
      <c r="AT356" s="32"/>
      <c r="AU356" s="32"/>
      <c r="AV356" s="32"/>
      <c r="AW356" s="32"/>
      <c r="AX356" s="32"/>
      <c r="AY356" s="32"/>
      <c r="AZ356" s="32"/>
      <c r="BA356" s="32"/>
      <c r="BB356" s="32"/>
      <c r="BC356" s="32"/>
      <c r="BD356" s="32"/>
      <c r="BE356" s="32"/>
      <c r="BF356" s="32"/>
      <c r="BG356" s="32"/>
      <c r="BH356" s="32"/>
      <c r="BI356" s="32"/>
      <c r="BJ356" s="32"/>
      <c r="BK356" s="32"/>
      <c r="BL356" s="32"/>
      <c r="BM356" s="32"/>
      <c r="BN356" s="32"/>
      <c r="BO356" s="32"/>
      <c r="BP356" s="32"/>
      <c r="BQ356" s="32"/>
      <c r="BR356" s="32"/>
      <c r="BS356" s="32"/>
      <c r="BT356" s="32"/>
      <c r="BU356" s="32"/>
      <c r="BV356" s="32"/>
      <c r="BW356" s="32"/>
      <c r="BX356" s="32"/>
      <c r="BY356" s="32"/>
      <c r="BZ356" s="32"/>
      <c r="CA356" s="32"/>
      <c r="CB356" s="32"/>
      <c r="CC356" s="32"/>
      <c r="CD356" s="32"/>
      <c r="CE356" s="32"/>
      <c r="CF356" s="32"/>
      <c r="CG356" s="32"/>
      <c r="CH356" s="32"/>
      <c r="CI356" s="32"/>
      <c r="CJ356" s="32"/>
      <c r="CK356" s="32"/>
      <c r="CL356" s="32"/>
      <c r="CM356" s="32"/>
      <c r="CN356" s="32"/>
      <c r="CO356" s="32"/>
      <c r="CP356" s="32"/>
      <c r="CQ356" s="32"/>
      <c r="CR356" s="32"/>
      <c r="CS356" s="32"/>
      <c r="CT356" s="32"/>
      <c r="CU356" s="32"/>
      <c r="CV356" s="32"/>
      <c r="CW356" s="32"/>
      <c r="CX356" s="32"/>
      <c r="CY356" s="32"/>
      <c r="CZ356" s="32"/>
      <c r="DA356" s="32"/>
      <c r="DB356" s="32"/>
      <c r="DC356" s="32"/>
      <c r="DD356" s="32"/>
      <c r="DE356" s="32"/>
      <c r="DF356" s="32"/>
      <c r="DG356" s="32"/>
      <c r="DH356" s="32"/>
      <c r="DI356" s="32"/>
      <c r="DJ356" s="32"/>
      <c r="DK356" s="32"/>
      <c r="DL356" s="32"/>
      <c r="DM356" s="32"/>
      <c r="DN356" s="32"/>
      <c r="DO356" s="32"/>
      <c r="DP356" s="32"/>
      <c r="DQ356" s="32"/>
      <c r="DR356" s="32"/>
      <c r="DS356" s="32"/>
      <c r="DT356" s="32"/>
      <c r="DU356" s="32"/>
      <c r="DV356" s="32"/>
      <c r="DW356" s="32"/>
      <c r="DX356" s="32"/>
      <c r="DY356" s="32"/>
      <c r="DZ356" s="32"/>
      <c r="EA356" s="32"/>
      <c r="EB356" s="32"/>
      <c r="EC356" s="32"/>
      <c r="ED356" s="32"/>
      <c r="EE356" s="32"/>
      <c r="EF356" s="32"/>
      <c r="EG356" s="32"/>
      <c r="EH356" s="32"/>
      <c r="EI356" s="32"/>
      <c r="EJ356" s="32"/>
      <c r="EK356" s="32"/>
    </row>
    <row r="357" spans="42:141">
      <c r="AP357" s="32"/>
      <c r="AQ357" s="32"/>
      <c r="AR357" s="32"/>
      <c r="AS357" s="32"/>
      <c r="AT357" s="32"/>
      <c r="AU357" s="32"/>
      <c r="AV357" s="32"/>
      <c r="AW357" s="32"/>
      <c r="AX357" s="32"/>
      <c r="AY357" s="32"/>
      <c r="AZ357" s="32"/>
      <c r="BA357" s="32"/>
      <c r="BB357" s="32"/>
      <c r="BC357" s="32"/>
      <c r="BD357" s="32"/>
      <c r="BE357" s="32"/>
      <c r="BF357" s="32"/>
      <c r="BG357" s="32"/>
      <c r="BH357" s="32"/>
      <c r="BI357" s="32"/>
      <c r="BJ357" s="32"/>
      <c r="BK357" s="32"/>
      <c r="BL357" s="32"/>
      <c r="BM357" s="32"/>
      <c r="BN357" s="32"/>
      <c r="BO357" s="32"/>
      <c r="BP357" s="32"/>
      <c r="BQ357" s="32"/>
      <c r="BR357" s="32"/>
      <c r="BS357" s="32"/>
      <c r="BT357" s="32"/>
      <c r="BU357" s="32"/>
      <c r="BV357" s="32"/>
      <c r="BW357" s="32"/>
      <c r="BX357" s="32"/>
      <c r="BY357" s="32"/>
      <c r="BZ357" s="32"/>
      <c r="CA357" s="32"/>
      <c r="CB357" s="32"/>
      <c r="CC357" s="32"/>
      <c r="CD357" s="32"/>
      <c r="CE357" s="32"/>
      <c r="CF357" s="32"/>
      <c r="CG357" s="32"/>
      <c r="CH357" s="32"/>
      <c r="CI357" s="32"/>
      <c r="CJ357" s="32"/>
      <c r="CK357" s="32"/>
      <c r="CL357" s="32"/>
      <c r="CM357" s="32"/>
      <c r="CN357" s="32"/>
      <c r="CO357" s="32"/>
      <c r="CP357" s="32"/>
      <c r="CQ357" s="32"/>
      <c r="CR357" s="32"/>
      <c r="CS357" s="32"/>
      <c r="CT357" s="32"/>
      <c r="CU357" s="32"/>
      <c r="CV357" s="32"/>
      <c r="CW357" s="32"/>
      <c r="CX357" s="32"/>
      <c r="CY357" s="32"/>
      <c r="CZ357" s="32"/>
      <c r="DA357" s="32"/>
      <c r="DB357" s="32"/>
      <c r="DC357" s="32"/>
      <c r="DD357" s="32"/>
      <c r="DE357" s="32"/>
      <c r="DF357" s="32"/>
      <c r="DG357" s="32"/>
      <c r="DH357" s="32"/>
      <c r="DI357" s="32"/>
      <c r="DJ357" s="32"/>
      <c r="DK357" s="32"/>
      <c r="DL357" s="32"/>
      <c r="DM357" s="32"/>
      <c r="DN357" s="32"/>
      <c r="DO357" s="32"/>
      <c r="DP357" s="32"/>
      <c r="DQ357" s="32"/>
      <c r="DR357" s="32"/>
      <c r="DS357" s="32"/>
      <c r="DT357" s="32"/>
      <c r="DU357" s="32"/>
      <c r="DV357" s="32"/>
      <c r="DW357" s="32"/>
      <c r="DX357" s="32"/>
      <c r="DY357" s="32"/>
      <c r="DZ357" s="32"/>
      <c r="EA357" s="32"/>
      <c r="EB357" s="32"/>
      <c r="EC357" s="32"/>
      <c r="ED357" s="32"/>
      <c r="EE357" s="32"/>
      <c r="EF357" s="32"/>
      <c r="EG357" s="32"/>
      <c r="EH357" s="32"/>
      <c r="EI357" s="32"/>
      <c r="EJ357" s="32"/>
      <c r="EK357" s="32"/>
    </row>
    <row r="358" spans="42:141">
      <c r="AP358" s="32"/>
      <c r="AQ358" s="32"/>
      <c r="AR358" s="32"/>
      <c r="AS358" s="32"/>
      <c r="AT358" s="32"/>
      <c r="AU358" s="32"/>
      <c r="AV358" s="32"/>
      <c r="AW358" s="32"/>
      <c r="AX358" s="32"/>
      <c r="AY358" s="32"/>
      <c r="AZ358" s="32"/>
      <c r="BA358" s="32"/>
      <c r="BB358" s="32"/>
      <c r="BC358" s="32"/>
      <c r="BD358" s="32"/>
      <c r="BE358" s="32"/>
      <c r="BF358" s="32"/>
      <c r="BG358" s="32"/>
      <c r="BH358" s="32"/>
      <c r="BI358" s="32"/>
      <c r="BJ358" s="32"/>
      <c r="BK358" s="32"/>
      <c r="BL358" s="32"/>
      <c r="BM358" s="32"/>
      <c r="BN358" s="32"/>
      <c r="BO358" s="32"/>
      <c r="BP358" s="32"/>
      <c r="BQ358" s="32"/>
      <c r="BR358" s="32"/>
      <c r="BS358" s="32"/>
      <c r="BT358" s="32"/>
      <c r="BU358" s="32"/>
      <c r="BV358" s="32"/>
      <c r="BW358" s="32"/>
      <c r="BX358" s="32"/>
      <c r="BY358" s="32"/>
      <c r="BZ358" s="32"/>
      <c r="CA358" s="32"/>
      <c r="CB358" s="32"/>
      <c r="CC358" s="32"/>
      <c r="CD358" s="32"/>
      <c r="CE358" s="32"/>
      <c r="CF358" s="32"/>
      <c r="CG358" s="32"/>
      <c r="CH358" s="32"/>
      <c r="CI358" s="32"/>
      <c r="CJ358" s="32"/>
      <c r="CK358" s="32"/>
      <c r="CL358" s="32"/>
      <c r="CM358" s="32"/>
      <c r="CN358" s="32"/>
      <c r="CO358" s="32"/>
      <c r="CP358" s="32"/>
      <c r="CQ358" s="32"/>
      <c r="CR358" s="32"/>
      <c r="CS358" s="32"/>
      <c r="CT358" s="32"/>
      <c r="CU358" s="32"/>
      <c r="CV358" s="32"/>
      <c r="CW358" s="32"/>
      <c r="CX358" s="32"/>
      <c r="CY358" s="32"/>
      <c r="CZ358" s="32"/>
      <c r="DA358" s="32"/>
      <c r="DB358" s="32"/>
      <c r="DC358" s="32"/>
      <c r="DD358" s="32"/>
      <c r="DE358" s="32"/>
      <c r="DF358" s="32"/>
      <c r="DG358" s="32"/>
      <c r="DH358" s="32"/>
      <c r="DI358" s="32"/>
      <c r="DJ358" s="32"/>
      <c r="DK358" s="32"/>
      <c r="DL358" s="32"/>
      <c r="DM358" s="32"/>
      <c r="DN358" s="32"/>
      <c r="DO358" s="32"/>
      <c r="DP358" s="32"/>
      <c r="DQ358" s="32"/>
      <c r="DR358" s="32"/>
      <c r="DS358" s="32"/>
      <c r="DT358" s="32"/>
      <c r="DU358" s="32"/>
      <c r="DV358" s="32"/>
      <c r="DW358" s="32"/>
      <c r="DX358" s="32"/>
      <c r="DY358" s="32"/>
      <c r="DZ358" s="32"/>
      <c r="EA358" s="32"/>
      <c r="EB358" s="32"/>
      <c r="EC358" s="32"/>
      <c r="ED358" s="32"/>
      <c r="EE358" s="32"/>
      <c r="EF358" s="32"/>
      <c r="EG358" s="32"/>
      <c r="EH358" s="32"/>
      <c r="EI358" s="32"/>
      <c r="EJ358" s="32"/>
      <c r="EK358" s="32"/>
    </row>
    <row r="359" spans="42:141">
      <c r="AP359" s="32"/>
      <c r="AQ359" s="32"/>
      <c r="AR359" s="32"/>
      <c r="AS359" s="32"/>
      <c r="AT359" s="32"/>
      <c r="AU359" s="32"/>
      <c r="AV359" s="32"/>
      <c r="AW359" s="32"/>
      <c r="AX359" s="32"/>
      <c r="AY359" s="32"/>
      <c r="AZ359" s="32"/>
      <c r="BA359" s="32"/>
      <c r="BB359" s="32"/>
      <c r="BC359" s="32"/>
      <c r="BD359" s="32"/>
      <c r="BE359" s="32"/>
      <c r="BF359" s="32"/>
      <c r="BG359" s="32"/>
      <c r="BH359" s="32"/>
      <c r="BI359" s="32"/>
      <c r="BJ359" s="32"/>
      <c r="BK359" s="32"/>
      <c r="BL359" s="32"/>
      <c r="BM359" s="32"/>
      <c r="BN359" s="32"/>
      <c r="BO359" s="32"/>
      <c r="BP359" s="32"/>
      <c r="BQ359" s="32"/>
      <c r="BR359" s="32"/>
      <c r="BS359" s="32"/>
      <c r="BT359" s="32"/>
      <c r="BU359" s="32"/>
      <c r="BV359" s="32"/>
      <c r="BW359" s="32"/>
      <c r="BX359" s="32"/>
      <c r="BY359" s="32"/>
      <c r="BZ359" s="32"/>
      <c r="CA359" s="32"/>
      <c r="CB359" s="32"/>
      <c r="CC359" s="32"/>
      <c r="CD359" s="32"/>
      <c r="CE359" s="32"/>
      <c r="CF359" s="32"/>
      <c r="CG359" s="32"/>
      <c r="CH359" s="32"/>
      <c r="CI359" s="32"/>
      <c r="CJ359" s="32"/>
      <c r="CK359" s="32"/>
      <c r="CL359" s="32"/>
      <c r="CM359" s="32"/>
      <c r="CN359" s="32"/>
      <c r="CO359" s="32"/>
      <c r="CP359" s="32"/>
      <c r="CQ359" s="32"/>
      <c r="CR359" s="32"/>
      <c r="CS359" s="32"/>
      <c r="CT359" s="32"/>
      <c r="CU359" s="32"/>
      <c r="CV359" s="32"/>
      <c r="CW359" s="32"/>
      <c r="CX359" s="32"/>
      <c r="CY359" s="32"/>
      <c r="CZ359" s="32"/>
      <c r="DA359" s="32"/>
      <c r="DB359" s="32"/>
      <c r="DC359" s="32"/>
      <c r="DD359" s="32"/>
      <c r="DE359" s="32"/>
      <c r="DF359" s="32"/>
      <c r="DG359" s="32"/>
      <c r="DH359" s="32"/>
      <c r="DI359" s="32"/>
      <c r="DJ359" s="32"/>
      <c r="DK359" s="32"/>
      <c r="DL359" s="32"/>
      <c r="DM359" s="32"/>
      <c r="DN359" s="32"/>
      <c r="DO359" s="32"/>
      <c r="DP359" s="32"/>
      <c r="DQ359" s="32"/>
      <c r="DR359" s="32"/>
      <c r="DS359" s="32"/>
      <c r="DT359" s="32"/>
      <c r="DU359" s="32"/>
      <c r="DV359" s="32"/>
      <c r="DW359" s="32"/>
      <c r="DX359" s="32"/>
      <c r="DY359" s="32"/>
      <c r="DZ359" s="32"/>
      <c r="EA359" s="32"/>
      <c r="EB359" s="32"/>
      <c r="EC359" s="32"/>
      <c r="ED359" s="32"/>
      <c r="EE359" s="32"/>
      <c r="EF359" s="32"/>
      <c r="EG359" s="32"/>
      <c r="EH359" s="32"/>
      <c r="EI359" s="32"/>
      <c r="EJ359" s="32"/>
      <c r="EK359" s="32"/>
    </row>
    <row r="360" spans="42:141">
      <c r="AP360" s="32"/>
      <c r="AQ360" s="32"/>
      <c r="AR360" s="32"/>
      <c r="AS360" s="32"/>
      <c r="AT360" s="32"/>
      <c r="AU360" s="32"/>
      <c r="AV360" s="32"/>
      <c r="AW360" s="32"/>
      <c r="AX360" s="32"/>
      <c r="AY360" s="32"/>
      <c r="AZ360" s="32"/>
      <c r="BA360" s="32"/>
      <c r="BB360" s="32"/>
      <c r="BC360" s="32"/>
      <c r="BD360" s="32"/>
      <c r="BE360" s="32"/>
      <c r="BF360" s="32"/>
      <c r="BG360" s="32"/>
      <c r="BH360" s="32"/>
      <c r="BI360" s="32"/>
      <c r="BJ360" s="32"/>
      <c r="BK360" s="32"/>
      <c r="BL360" s="32"/>
      <c r="BM360" s="32"/>
      <c r="BN360" s="32"/>
      <c r="BO360" s="32"/>
      <c r="BP360" s="32"/>
      <c r="BQ360" s="32"/>
      <c r="BR360" s="32"/>
      <c r="BS360" s="32"/>
      <c r="BT360" s="32"/>
      <c r="BU360" s="32"/>
      <c r="BV360" s="32"/>
      <c r="BW360" s="32"/>
      <c r="BX360" s="32"/>
      <c r="BY360" s="32"/>
      <c r="BZ360" s="32"/>
      <c r="CA360" s="32"/>
      <c r="CB360" s="32"/>
      <c r="CC360" s="32"/>
      <c r="CD360" s="32"/>
      <c r="CE360" s="32"/>
      <c r="CF360" s="32"/>
      <c r="CG360" s="32"/>
      <c r="CH360" s="32"/>
      <c r="CI360" s="32"/>
      <c r="CJ360" s="32"/>
      <c r="CK360" s="32"/>
      <c r="CL360" s="32"/>
      <c r="CM360" s="32"/>
      <c r="CN360" s="32"/>
      <c r="CO360" s="32"/>
      <c r="CP360" s="32"/>
      <c r="CQ360" s="32"/>
      <c r="CR360" s="32"/>
      <c r="CS360" s="32"/>
      <c r="CT360" s="32"/>
      <c r="CU360" s="32"/>
      <c r="CV360" s="32"/>
      <c r="CW360" s="32"/>
      <c r="CX360" s="32"/>
      <c r="CY360" s="32"/>
      <c r="CZ360" s="32"/>
      <c r="DA360" s="32"/>
      <c r="DB360" s="32"/>
      <c r="DC360" s="32"/>
      <c r="DD360" s="32"/>
      <c r="DE360" s="32"/>
      <c r="DF360" s="32"/>
      <c r="DG360" s="32"/>
      <c r="DH360" s="32"/>
      <c r="DI360" s="32"/>
      <c r="DJ360" s="32"/>
      <c r="DK360" s="32"/>
      <c r="DL360" s="32"/>
      <c r="DM360" s="32"/>
      <c r="DN360" s="32"/>
      <c r="DO360" s="32"/>
      <c r="DP360" s="32"/>
      <c r="DQ360" s="32"/>
      <c r="DR360" s="32"/>
      <c r="DS360" s="32"/>
      <c r="DT360" s="32"/>
      <c r="DU360" s="32"/>
      <c r="DV360" s="32"/>
      <c r="DW360" s="32"/>
      <c r="DX360" s="32"/>
      <c r="DY360" s="32"/>
      <c r="DZ360" s="32"/>
      <c r="EA360" s="32"/>
      <c r="EB360" s="32"/>
      <c r="EC360" s="32"/>
      <c r="ED360" s="32"/>
      <c r="EE360" s="32"/>
      <c r="EF360" s="32"/>
      <c r="EG360" s="32"/>
      <c r="EH360" s="32"/>
      <c r="EI360" s="32"/>
      <c r="EJ360" s="32"/>
      <c r="EK360" s="32"/>
    </row>
    <row r="361" spans="42:141">
      <c r="AP361" s="32"/>
      <c r="AQ361" s="32"/>
      <c r="AR361" s="32"/>
      <c r="AS361" s="32"/>
      <c r="AT361" s="32"/>
      <c r="AU361" s="32"/>
      <c r="AV361" s="32"/>
      <c r="AW361" s="32"/>
      <c r="AX361" s="32"/>
      <c r="AY361" s="32"/>
      <c r="AZ361" s="32"/>
      <c r="BA361" s="32"/>
      <c r="BB361" s="32"/>
      <c r="BC361" s="32"/>
      <c r="BD361" s="32"/>
      <c r="BE361" s="32"/>
      <c r="BF361" s="32"/>
      <c r="BG361" s="32"/>
      <c r="BH361" s="32"/>
      <c r="BI361" s="32"/>
      <c r="BJ361" s="32"/>
      <c r="BK361" s="32"/>
      <c r="BL361" s="32"/>
      <c r="BM361" s="32"/>
      <c r="BN361" s="32"/>
      <c r="BO361" s="32"/>
      <c r="BP361" s="32"/>
      <c r="BQ361" s="32"/>
      <c r="BR361" s="32"/>
      <c r="BS361" s="32"/>
      <c r="BT361" s="32"/>
      <c r="BU361" s="32"/>
      <c r="BV361" s="32"/>
      <c r="BW361" s="32"/>
      <c r="BX361" s="32"/>
      <c r="BY361" s="32"/>
      <c r="BZ361" s="32"/>
      <c r="CA361" s="32"/>
      <c r="CB361" s="32"/>
      <c r="CC361" s="32"/>
      <c r="CD361" s="32"/>
      <c r="CE361" s="32"/>
      <c r="CF361" s="32"/>
      <c r="CG361" s="32"/>
      <c r="CH361" s="32"/>
      <c r="CI361" s="32"/>
      <c r="CJ361" s="32"/>
      <c r="CK361" s="32"/>
      <c r="CL361" s="32"/>
      <c r="CM361" s="32"/>
      <c r="CN361" s="32"/>
      <c r="CO361" s="32"/>
      <c r="CP361" s="32"/>
      <c r="CQ361" s="32"/>
      <c r="CR361" s="32"/>
      <c r="CS361" s="32"/>
      <c r="CT361" s="32"/>
      <c r="CU361" s="32"/>
      <c r="CV361" s="32"/>
      <c r="CW361" s="32"/>
      <c r="CX361" s="32"/>
      <c r="CY361" s="32"/>
      <c r="CZ361" s="32"/>
      <c r="DA361" s="32"/>
      <c r="DB361" s="32"/>
      <c r="DC361" s="32"/>
      <c r="DD361" s="32"/>
      <c r="DE361" s="32"/>
      <c r="DF361" s="32"/>
      <c r="DG361" s="32"/>
      <c r="DH361" s="32"/>
      <c r="DI361" s="32"/>
      <c r="DJ361" s="32"/>
      <c r="DK361" s="32"/>
      <c r="DL361" s="32"/>
      <c r="DM361" s="32"/>
      <c r="DN361" s="32"/>
      <c r="DO361" s="32"/>
      <c r="DP361" s="32"/>
      <c r="DQ361" s="32"/>
      <c r="DR361" s="32"/>
      <c r="DS361" s="32"/>
      <c r="DT361" s="32"/>
      <c r="DU361" s="32"/>
      <c r="DV361" s="32"/>
      <c r="DW361" s="32"/>
      <c r="DX361" s="32"/>
      <c r="DY361" s="32"/>
      <c r="DZ361" s="32"/>
      <c r="EA361" s="32"/>
      <c r="EB361" s="32"/>
      <c r="EC361" s="32"/>
      <c r="ED361" s="32"/>
      <c r="EE361" s="32"/>
      <c r="EF361" s="32"/>
      <c r="EG361" s="32"/>
      <c r="EH361" s="32"/>
      <c r="EI361" s="32"/>
      <c r="EJ361" s="32"/>
      <c r="EK361" s="32"/>
    </row>
    <row r="362" spans="42:141">
      <c r="AP362" s="32"/>
      <c r="AQ362" s="32"/>
      <c r="AR362" s="32"/>
      <c r="AS362" s="32"/>
      <c r="AT362" s="32"/>
      <c r="AU362" s="32"/>
      <c r="AV362" s="32"/>
      <c r="AW362" s="32"/>
      <c r="AX362" s="32"/>
      <c r="AY362" s="32"/>
      <c r="AZ362" s="32"/>
      <c r="BA362" s="32"/>
      <c r="BB362" s="32"/>
      <c r="BC362" s="32"/>
      <c r="BD362" s="32"/>
      <c r="BE362" s="32"/>
      <c r="BF362" s="32"/>
      <c r="BG362" s="32"/>
      <c r="BH362" s="32"/>
      <c r="BI362" s="32"/>
      <c r="BJ362" s="32"/>
      <c r="BK362" s="32"/>
      <c r="BL362" s="32"/>
      <c r="BM362" s="32"/>
      <c r="BN362" s="32"/>
      <c r="BO362" s="32"/>
      <c r="BP362" s="32"/>
      <c r="BQ362" s="32"/>
      <c r="BR362" s="32"/>
      <c r="BS362" s="32"/>
      <c r="BT362" s="32"/>
      <c r="BU362" s="32"/>
      <c r="BV362" s="32"/>
      <c r="BW362" s="32"/>
      <c r="BX362" s="32"/>
      <c r="BY362" s="32"/>
      <c r="BZ362" s="32"/>
      <c r="CA362" s="32"/>
      <c r="CB362" s="32"/>
      <c r="CC362" s="32"/>
      <c r="CD362" s="32"/>
      <c r="CE362" s="32"/>
      <c r="CF362" s="32"/>
      <c r="CG362" s="32"/>
      <c r="CH362" s="32"/>
      <c r="CI362" s="32"/>
      <c r="CJ362" s="32"/>
      <c r="CK362" s="32"/>
      <c r="CL362" s="32"/>
      <c r="CM362" s="32"/>
      <c r="CN362" s="32"/>
      <c r="CO362" s="32"/>
      <c r="CP362" s="32"/>
      <c r="CQ362" s="32"/>
      <c r="CR362" s="32"/>
      <c r="CS362" s="32"/>
      <c r="CT362" s="32"/>
      <c r="CU362" s="32"/>
      <c r="CV362" s="32"/>
      <c r="CW362" s="32"/>
      <c r="CX362" s="32"/>
      <c r="CY362" s="32"/>
      <c r="CZ362" s="32"/>
      <c r="DA362" s="32"/>
      <c r="DB362" s="32"/>
      <c r="DC362" s="32"/>
      <c r="DD362" s="32"/>
      <c r="DE362" s="32"/>
      <c r="DF362" s="32"/>
      <c r="DG362" s="32"/>
      <c r="DH362" s="32"/>
      <c r="DI362" s="32"/>
      <c r="DJ362" s="32"/>
      <c r="DK362" s="32"/>
      <c r="DL362" s="32"/>
      <c r="DM362" s="32"/>
      <c r="DN362" s="32"/>
      <c r="DO362" s="32"/>
      <c r="DP362" s="32"/>
      <c r="DQ362" s="32"/>
      <c r="DR362" s="32"/>
      <c r="DS362" s="32"/>
      <c r="DT362" s="32"/>
      <c r="DU362" s="32"/>
      <c r="DV362" s="32"/>
      <c r="DW362" s="32"/>
      <c r="DX362" s="32"/>
      <c r="DY362" s="32"/>
      <c r="DZ362" s="32"/>
      <c r="EA362" s="32"/>
      <c r="EB362" s="32"/>
      <c r="EC362" s="32"/>
      <c r="ED362" s="32"/>
      <c r="EE362" s="32"/>
      <c r="EF362" s="32"/>
      <c r="EG362" s="32"/>
      <c r="EH362" s="32"/>
      <c r="EI362" s="32"/>
      <c r="EJ362" s="32"/>
      <c r="EK362" s="32"/>
    </row>
    <row r="363" spans="42:141">
      <c r="AP363" s="32"/>
      <c r="AQ363" s="32"/>
      <c r="AR363" s="32"/>
      <c r="AS363" s="32"/>
      <c r="AT363" s="32"/>
      <c r="AU363" s="32"/>
      <c r="AV363" s="32"/>
      <c r="AW363" s="32"/>
      <c r="AX363" s="32"/>
      <c r="AY363" s="32"/>
      <c r="AZ363" s="32"/>
      <c r="BA363" s="32"/>
      <c r="BB363" s="32"/>
      <c r="BC363" s="32"/>
      <c r="BD363" s="32"/>
      <c r="BE363" s="32"/>
      <c r="BF363" s="32"/>
      <c r="BG363" s="32"/>
      <c r="BH363" s="32"/>
      <c r="BI363" s="32"/>
      <c r="BJ363" s="32"/>
      <c r="BK363" s="32"/>
      <c r="BL363" s="32"/>
      <c r="BM363" s="32"/>
      <c r="BN363" s="32"/>
      <c r="BO363" s="32"/>
      <c r="BP363" s="32"/>
      <c r="BQ363" s="32"/>
      <c r="BR363" s="32"/>
      <c r="BS363" s="32"/>
      <c r="BT363" s="32"/>
      <c r="BU363" s="32"/>
      <c r="BV363" s="32"/>
      <c r="BW363" s="32"/>
      <c r="BX363" s="32"/>
      <c r="BY363" s="32"/>
      <c r="BZ363" s="32"/>
      <c r="CA363" s="32"/>
      <c r="CB363" s="32"/>
      <c r="CC363" s="32"/>
      <c r="CD363" s="32"/>
      <c r="CE363" s="32"/>
      <c r="CF363" s="32"/>
      <c r="CG363" s="32"/>
      <c r="CH363" s="32"/>
      <c r="CI363" s="32"/>
      <c r="CJ363" s="32"/>
      <c r="CK363" s="32"/>
      <c r="CL363" s="32"/>
      <c r="CM363" s="32"/>
      <c r="CN363" s="32"/>
      <c r="CO363" s="32"/>
      <c r="CP363" s="32"/>
      <c r="CQ363" s="32"/>
      <c r="CR363" s="32"/>
      <c r="CS363" s="32"/>
      <c r="CT363" s="32"/>
      <c r="CU363" s="32"/>
      <c r="CV363" s="32"/>
      <c r="CW363" s="32"/>
      <c r="CX363" s="32"/>
      <c r="CY363" s="32"/>
      <c r="CZ363" s="32"/>
      <c r="DA363" s="32"/>
      <c r="DB363" s="32"/>
      <c r="DC363" s="32"/>
      <c r="DD363" s="32"/>
      <c r="DE363" s="32"/>
      <c r="DF363" s="32"/>
      <c r="DG363" s="32"/>
      <c r="DH363" s="32"/>
      <c r="DI363" s="32"/>
      <c r="DJ363" s="32"/>
      <c r="DK363" s="32"/>
      <c r="DL363" s="32"/>
      <c r="DM363" s="32"/>
      <c r="DN363" s="32"/>
      <c r="DO363" s="32"/>
      <c r="DP363" s="32"/>
      <c r="DQ363" s="32"/>
      <c r="DR363" s="32"/>
      <c r="DS363" s="32"/>
      <c r="DT363" s="32"/>
      <c r="DU363" s="32"/>
      <c r="DV363" s="32"/>
      <c r="DW363" s="32"/>
      <c r="DX363" s="32"/>
      <c r="DY363" s="32"/>
      <c r="DZ363" s="32"/>
      <c r="EA363" s="32"/>
      <c r="EB363" s="32"/>
      <c r="EC363" s="32"/>
      <c r="ED363" s="32"/>
      <c r="EE363" s="32"/>
      <c r="EF363" s="32"/>
      <c r="EG363" s="32"/>
      <c r="EH363" s="32"/>
      <c r="EI363" s="32"/>
      <c r="EJ363" s="32"/>
      <c r="EK363" s="32"/>
    </row>
    <row r="364" spans="42:141">
      <c r="AP364" s="32"/>
      <c r="AQ364" s="32"/>
      <c r="AR364" s="32"/>
      <c r="AS364" s="32"/>
      <c r="AT364" s="32"/>
      <c r="AU364" s="32"/>
      <c r="AV364" s="32"/>
      <c r="AW364" s="32"/>
      <c r="AX364" s="32"/>
      <c r="AY364" s="32"/>
      <c r="AZ364" s="32"/>
      <c r="BA364" s="32"/>
      <c r="BB364" s="32"/>
      <c r="BC364" s="32"/>
      <c r="BD364" s="32"/>
      <c r="BE364" s="32"/>
      <c r="BF364" s="32"/>
      <c r="BG364" s="32"/>
      <c r="BH364" s="32"/>
      <c r="BI364" s="32"/>
      <c r="BJ364" s="32"/>
      <c r="BK364" s="32"/>
      <c r="BL364" s="32"/>
      <c r="BM364" s="32"/>
      <c r="BN364" s="32"/>
      <c r="BO364" s="32"/>
      <c r="BP364" s="32"/>
      <c r="BQ364" s="32"/>
      <c r="BR364" s="32"/>
      <c r="BS364" s="32"/>
      <c r="BT364" s="32"/>
      <c r="BU364" s="32"/>
      <c r="BV364" s="32"/>
      <c r="BW364" s="32"/>
      <c r="BX364" s="32"/>
      <c r="BY364" s="32"/>
      <c r="BZ364" s="32"/>
      <c r="CA364" s="32"/>
      <c r="CB364" s="32"/>
      <c r="CC364" s="32"/>
      <c r="CD364" s="32"/>
      <c r="CE364" s="32"/>
      <c r="CF364" s="32"/>
      <c r="CG364" s="32"/>
      <c r="CH364" s="32"/>
      <c r="CI364" s="32"/>
      <c r="CJ364" s="32"/>
      <c r="CK364" s="32"/>
      <c r="CL364" s="32"/>
      <c r="CM364" s="32"/>
      <c r="CN364" s="32"/>
      <c r="CO364" s="32"/>
      <c r="CP364" s="32"/>
      <c r="CQ364" s="32"/>
      <c r="CR364" s="32"/>
      <c r="CS364" s="32"/>
      <c r="CT364" s="32"/>
      <c r="CU364" s="32"/>
      <c r="CV364" s="32"/>
      <c r="CW364" s="32"/>
      <c r="CX364" s="32"/>
      <c r="CY364" s="32"/>
      <c r="CZ364" s="32"/>
      <c r="DA364" s="32"/>
      <c r="DB364" s="32"/>
      <c r="DC364" s="32"/>
      <c r="DD364" s="32"/>
      <c r="DE364" s="32"/>
      <c r="DF364" s="32"/>
      <c r="DG364" s="32"/>
      <c r="DH364" s="32"/>
      <c r="DI364" s="32"/>
      <c r="DJ364" s="32"/>
      <c r="DK364" s="32"/>
      <c r="DL364" s="32"/>
      <c r="DM364" s="32"/>
      <c r="DN364" s="32"/>
      <c r="DO364" s="32"/>
      <c r="DP364" s="32"/>
      <c r="DQ364" s="32"/>
      <c r="DR364" s="32"/>
      <c r="DS364" s="32"/>
      <c r="DT364" s="32"/>
      <c r="DU364" s="32"/>
      <c r="DV364" s="32"/>
      <c r="DW364" s="32"/>
      <c r="DX364" s="32"/>
      <c r="DY364" s="32"/>
      <c r="DZ364" s="32"/>
      <c r="EA364" s="32"/>
      <c r="EB364" s="32"/>
      <c r="EC364" s="32"/>
      <c r="ED364" s="32"/>
      <c r="EE364" s="32"/>
      <c r="EF364" s="32"/>
      <c r="EG364" s="32"/>
      <c r="EH364" s="32"/>
      <c r="EI364" s="32"/>
      <c r="EJ364" s="32"/>
      <c r="EK364" s="32"/>
    </row>
    <row r="365" spans="42:141">
      <c r="AP365" s="32"/>
      <c r="AQ365" s="32"/>
      <c r="AR365" s="32"/>
      <c r="AS365" s="32"/>
      <c r="AT365" s="32"/>
      <c r="AU365" s="32"/>
      <c r="AV365" s="32"/>
      <c r="AW365" s="32"/>
      <c r="AX365" s="32"/>
      <c r="AY365" s="32"/>
      <c r="AZ365" s="32"/>
      <c r="BA365" s="32"/>
      <c r="BB365" s="32"/>
      <c r="BC365" s="32"/>
      <c r="BD365" s="32"/>
      <c r="BE365" s="32"/>
      <c r="BF365" s="32"/>
      <c r="BG365" s="32"/>
      <c r="BH365" s="32"/>
      <c r="BI365" s="32"/>
      <c r="BJ365" s="32"/>
      <c r="BK365" s="32"/>
      <c r="BL365" s="32"/>
      <c r="BM365" s="32"/>
      <c r="BN365" s="32"/>
      <c r="BO365" s="32"/>
      <c r="BP365" s="32"/>
      <c r="BQ365" s="32"/>
      <c r="BR365" s="32"/>
      <c r="BS365" s="32"/>
      <c r="BT365" s="32"/>
      <c r="BU365" s="32"/>
      <c r="BV365" s="32"/>
      <c r="BW365" s="32"/>
      <c r="BX365" s="32"/>
      <c r="BY365" s="32"/>
      <c r="BZ365" s="32"/>
      <c r="CA365" s="32"/>
      <c r="CB365" s="32"/>
      <c r="CC365" s="32"/>
      <c r="CD365" s="32"/>
      <c r="CE365" s="32"/>
      <c r="CF365" s="32"/>
      <c r="CG365" s="32"/>
      <c r="CH365" s="32"/>
      <c r="CI365" s="32"/>
      <c r="CJ365" s="32"/>
      <c r="CK365" s="32"/>
      <c r="CL365" s="32"/>
      <c r="CM365" s="32"/>
      <c r="CN365" s="32"/>
      <c r="CO365" s="32"/>
      <c r="CP365" s="32"/>
      <c r="CQ365" s="32"/>
      <c r="CR365" s="32"/>
      <c r="CS365" s="32"/>
      <c r="CT365" s="32"/>
      <c r="CU365" s="32"/>
      <c r="CV365" s="32"/>
      <c r="CW365" s="32"/>
      <c r="CX365" s="32"/>
      <c r="CY365" s="32"/>
      <c r="CZ365" s="32"/>
      <c r="DA365" s="32"/>
      <c r="DB365" s="32"/>
      <c r="DC365" s="32"/>
      <c r="DD365" s="32"/>
      <c r="DE365" s="32"/>
      <c r="DF365" s="32"/>
      <c r="DG365" s="32"/>
      <c r="DH365" s="32"/>
      <c r="DI365" s="32"/>
      <c r="DJ365" s="32"/>
      <c r="DK365" s="32"/>
      <c r="DL365" s="32"/>
      <c r="DM365" s="32"/>
      <c r="DN365" s="32"/>
      <c r="DO365" s="32"/>
      <c r="DP365" s="32"/>
      <c r="DQ365" s="32"/>
      <c r="DR365" s="32"/>
      <c r="DS365" s="32"/>
      <c r="DT365" s="32"/>
      <c r="DU365" s="32"/>
      <c r="DV365" s="32"/>
      <c r="DW365" s="32"/>
      <c r="DX365" s="32"/>
      <c r="DY365" s="32"/>
      <c r="DZ365" s="32"/>
      <c r="EA365" s="32"/>
      <c r="EB365" s="32"/>
      <c r="EC365" s="32"/>
      <c r="ED365" s="32"/>
      <c r="EE365" s="32"/>
      <c r="EF365" s="32"/>
      <c r="EG365" s="32"/>
      <c r="EH365" s="32"/>
      <c r="EI365" s="32"/>
      <c r="EJ365" s="32"/>
      <c r="EK365" s="32"/>
    </row>
    <row r="366" spans="42:141">
      <c r="AP366" s="32"/>
      <c r="AQ366" s="32"/>
      <c r="AR366" s="32"/>
      <c r="AS366" s="32"/>
      <c r="AT366" s="32"/>
      <c r="AU366" s="32"/>
      <c r="AV366" s="32"/>
      <c r="AW366" s="32"/>
      <c r="AX366" s="32"/>
      <c r="AY366" s="32"/>
      <c r="AZ366" s="32"/>
      <c r="BA366" s="32"/>
      <c r="BB366" s="32"/>
      <c r="BC366" s="32"/>
      <c r="BD366" s="32"/>
      <c r="BE366" s="32"/>
      <c r="BF366" s="32"/>
      <c r="BG366" s="32"/>
      <c r="BH366" s="32"/>
      <c r="BI366" s="32"/>
      <c r="BJ366" s="32"/>
      <c r="BK366" s="32"/>
      <c r="BL366" s="32"/>
      <c r="BM366" s="32"/>
      <c r="BN366" s="32"/>
      <c r="BO366" s="32"/>
      <c r="BP366" s="32"/>
      <c r="BQ366" s="32"/>
      <c r="BR366" s="32"/>
      <c r="BS366" s="32"/>
      <c r="BT366" s="32"/>
      <c r="BU366" s="32"/>
      <c r="BV366" s="32"/>
      <c r="BW366" s="32"/>
      <c r="BX366" s="32"/>
      <c r="BY366" s="32"/>
      <c r="BZ366" s="32"/>
      <c r="CA366" s="32"/>
      <c r="CB366" s="32"/>
      <c r="CC366" s="32"/>
      <c r="CD366" s="32"/>
      <c r="CE366" s="32"/>
      <c r="CF366" s="32"/>
      <c r="CG366" s="32"/>
      <c r="CH366" s="32"/>
      <c r="CI366" s="32"/>
      <c r="CJ366" s="32"/>
      <c r="CK366" s="32"/>
      <c r="CL366" s="32"/>
      <c r="CM366" s="32"/>
      <c r="CN366" s="32"/>
      <c r="CO366" s="32"/>
      <c r="CP366" s="32"/>
      <c r="CQ366" s="32"/>
      <c r="CR366" s="32"/>
      <c r="CS366" s="32"/>
      <c r="CT366" s="32"/>
      <c r="CU366" s="32"/>
      <c r="CV366" s="32"/>
      <c r="CW366" s="32"/>
      <c r="CX366" s="32"/>
      <c r="CY366" s="32"/>
      <c r="CZ366" s="32"/>
      <c r="DA366" s="32"/>
      <c r="DB366" s="32"/>
      <c r="DC366" s="32"/>
      <c r="DD366" s="32"/>
      <c r="DE366" s="32"/>
      <c r="DF366" s="32"/>
      <c r="DG366" s="32"/>
      <c r="DH366" s="32"/>
      <c r="DI366" s="32"/>
      <c r="DJ366" s="32"/>
      <c r="DK366" s="32"/>
      <c r="DL366" s="32"/>
      <c r="DM366" s="32"/>
      <c r="DN366" s="32"/>
      <c r="DO366" s="32"/>
      <c r="DP366" s="32"/>
      <c r="DQ366" s="32"/>
      <c r="DR366" s="32"/>
      <c r="DS366" s="32"/>
      <c r="DT366" s="32"/>
      <c r="DU366" s="32"/>
      <c r="DV366" s="32"/>
      <c r="DW366" s="32"/>
      <c r="DX366" s="32"/>
      <c r="DY366" s="32"/>
      <c r="DZ366" s="32"/>
      <c r="EA366" s="32"/>
      <c r="EB366" s="32"/>
      <c r="EC366" s="32"/>
      <c r="ED366" s="32"/>
      <c r="EE366" s="32"/>
      <c r="EF366" s="32"/>
      <c r="EG366" s="32"/>
      <c r="EH366" s="32"/>
      <c r="EI366" s="32"/>
      <c r="EJ366" s="32"/>
      <c r="EK366" s="32"/>
    </row>
    <row r="367" spans="42:141">
      <c r="AP367" s="32"/>
      <c r="AQ367" s="32"/>
      <c r="AR367" s="32"/>
      <c r="AS367" s="32"/>
      <c r="AT367" s="32"/>
      <c r="AU367" s="32"/>
      <c r="AV367" s="32"/>
      <c r="AW367" s="32"/>
      <c r="AX367" s="32"/>
      <c r="AY367" s="32"/>
      <c r="AZ367" s="32"/>
      <c r="BA367" s="32"/>
      <c r="BB367" s="32"/>
      <c r="BC367" s="32"/>
      <c r="BD367" s="32"/>
      <c r="BE367" s="32"/>
      <c r="BF367" s="32"/>
      <c r="BG367" s="32"/>
      <c r="BH367" s="32"/>
      <c r="BI367" s="32"/>
      <c r="BJ367" s="32"/>
      <c r="BK367" s="32"/>
      <c r="BL367" s="32"/>
      <c r="BM367" s="32"/>
      <c r="BN367" s="32"/>
      <c r="BO367" s="32"/>
      <c r="BP367" s="32"/>
      <c r="BQ367" s="32"/>
      <c r="BR367" s="32"/>
      <c r="BS367" s="32"/>
      <c r="BT367" s="32"/>
      <c r="BU367" s="32"/>
      <c r="BV367" s="32"/>
      <c r="BW367" s="32"/>
      <c r="BX367" s="32"/>
      <c r="BY367" s="32"/>
      <c r="BZ367" s="32"/>
      <c r="CA367" s="32"/>
      <c r="CB367" s="32"/>
      <c r="CC367" s="32"/>
      <c r="CD367" s="32"/>
      <c r="CE367" s="32"/>
      <c r="CF367" s="32"/>
      <c r="CG367" s="32"/>
      <c r="CH367" s="32"/>
      <c r="CI367" s="32"/>
      <c r="CJ367" s="32"/>
      <c r="CK367" s="32"/>
      <c r="CL367" s="32"/>
      <c r="CM367" s="32"/>
      <c r="CN367" s="32"/>
      <c r="CO367" s="32"/>
      <c r="CP367" s="32"/>
      <c r="CQ367" s="32"/>
      <c r="CR367" s="32"/>
      <c r="CS367" s="32"/>
      <c r="CT367" s="32"/>
      <c r="CU367" s="32"/>
      <c r="CV367" s="32"/>
      <c r="CW367" s="32"/>
      <c r="CX367" s="32"/>
      <c r="CY367" s="32"/>
      <c r="CZ367" s="32"/>
      <c r="DA367" s="32"/>
      <c r="DB367" s="32"/>
      <c r="DC367" s="32"/>
      <c r="DD367" s="32"/>
      <c r="DE367" s="32"/>
      <c r="DF367" s="32"/>
      <c r="DG367" s="32"/>
      <c r="DH367" s="32"/>
      <c r="DI367" s="32"/>
      <c r="DJ367" s="32"/>
      <c r="DK367" s="32"/>
      <c r="DL367" s="32"/>
      <c r="DM367" s="32"/>
      <c r="DN367" s="32"/>
      <c r="DO367" s="32"/>
      <c r="DP367" s="32"/>
      <c r="DQ367" s="32"/>
      <c r="DR367" s="32"/>
      <c r="DS367" s="32"/>
      <c r="DT367" s="32"/>
      <c r="DU367" s="32"/>
      <c r="DV367" s="32"/>
      <c r="DW367" s="32"/>
      <c r="DX367" s="32"/>
      <c r="DY367" s="32"/>
      <c r="DZ367" s="32"/>
      <c r="EA367" s="32"/>
      <c r="EB367" s="32"/>
      <c r="EC367" s="32"/>
      <c r="ED367" s="32"/>
      <c r="EE367" s="32"/>
      <c r="EF367" s="32"/>
      <c r="EG367" s="32"/>
      <c r="EH367" s="32"/>
      <c r="EI367" s="32"/>
      <c r="EJ367" s="32"/>
      <c r="EK367" s="32"/>
    </row>
    <row r="368" spans="42:141">
      <c r="AP368" s="32"/>
      <c r="AQ368" s="32"/>
      <c r="AR368" s="32"/>
      <c r="AS368" s="32"/>
      <c r="AT368" s="32"/>
      <c r="AU368" s="32"/>
      <c r="AV368" s="32"/>
      <c r="AW368" s="32"/>
      <c r="AX368" s="32"/>
      <c r="AY368" s="32"/>
      <c r="AZ368" s="32"/>
      <c r="BA368" s="32"/>
      <c r="BB368" s="32"/>
      <c r="BC368" s="32"/>
      <c r="BD368" s="32"/>
      <c r="BE368" s="32"/>
      <c r="BF368" s="32"/>
      <c r="BG368" s="32"/>
      <c r="BH368" s="32"/>
      <c r="BI368" s="32"/>
      <c r="BJ368" s="32"/>
      <c r="BK368" s="32"/>
      <c r="BL368" s="32"/>
      <c r="BM368" s="32"/>
      <c r="BN368" s="32"/>
      <c r="BO368" s="32"/>
      <c r="BP368" s="32"/>
      <c r="BQ368" s="32"/>
      <c r="BR368" s="32"/>
      <c r="BS368" s="32"/>
      <c r="BT368" s="32"/>
      <c r="BU368" s="32"/>
      <c r="BV368" s="32"/>
      <c r="BW368" s="32"/>
      <c r="BX368" s="32"/>
      <c r="BY368" s="32"/>
      <c r="BZ368" s="32"/>
      <c r="CA368" s="32"/>
      <c r="CB368" s="32"/>
      <c r="CC368" s="32"/>
      <c r="CD368" s="32"/>
      <c r="CE368" s="32"/>
      <c r="CF368" s="32"/>
      <c r="CG368" s="32"/>
      <c r="CH368" s="32"/>
      <c r="CI368" s="32"/>
      <c r="CJ368" s="32"/>
      <c r="CK368" s="32"/>
      <c r="CL368" s="32"/>
      <c r="CM368" s="32"/>
      <c r="CN368" s="32"/>
      <c r="CO368" s="32"/>
      <c r="CP368" s="32"/>
      <c r="CQ368" s="32"/>
      <c r="CR368" s="32"/>
      <c r="CS368" s="32"/>
      <c r="CT368" s="32"/>
      <c r="CU368" s="32"/>
      <c r="CV368" s="32"/>
      <c r="CW368" s="32"/>
      <c r="CX368" s="32"/>
      <c r="CY368" s="32"/>
      <c r="CZ368" s="32"/>
      <c r="DA368" s="32"/>
      <c r="DB368" s="32"/>
      <c r="DC368" s="32"/>
      <c r="DD368" s="32"/>
      <c r="DE368" s="32"/>
      <c r="DF368" s="32"/>
      <c r="DG368" s="32"/>
      <c r="DH368" s="32"/>
      <c r="DI368" s="32"/>
      <c r="DJ368" s="32"/>
      <c r="DK368" s="32"/>
      <c r="DL368" s="32"/>
      <c r="DM368" s="32"/>
      <c r="DN368" s="32"/>
      <c r="DO368" s="32"/>
      <c r="DP368" s="32"/>
      <c r="DQ368" s="32"/>
      <c r="DR368" s="32"/>
      <c r="DS368" s="32"/>
      <c r="DT368" s="32"/>
      <c r="DU368" s="32"/>
      <c r="DV368" s="32"/>
      <c r="DW368" s="32"/>
      <c r="DX368" s="32"/>
      <c r="DY368" s="32"/>
      <c r="DZ368" s="32"/>
      <c r="EA368" s="32"/>
      <c r="EB368" s="32"/>
      <c r="EC368" s="32"/>
      <c r="ED368" s="32"/>
      <c r="EE368" s="32"/>
      <c r="EF368" s="32"/>
      <c r="EG368" s="32"/>
      <c r="EH368" s="32"/>
      <c r="EI368" s="32"/>
      <c r="EJ368" s="32"/>
      <c r="EK368" s="32"/>
    </row>
    <row r="369" spans="42:141">
      <c r="AP369" s="32"/>
      <c r="AQ369" s="32"/>
      <c r="AR369" s="32"/>
      <c r="AS369" s="32"/>
      <c r="AT369" s="32"/>
      <c r="AU369" s="32"/>
      <c r="AV369" s="32"/>
      <c r="AW369" s="32"/>
      <c r="AX369" s="32"/>
      <c r="AY369" s="32"/>
      <c r="AZ369" s="32"/>
      <c r="BA369" s="32"/>
      <c r="BB369" s="32"/>
      <c r="BC369" s="32"/>
      <c r="BD369" s="32"/>
      <c r="BE369" s="32"/>
      <c r="BF369" s="32"/>
      <c r="BG369" s="32"/>
      <c r="BH369" s="32"/>
      <c r="BI369" s="32"/>
      <c r="BJ369" s="32"/>
      <c r="BK369" s="32"/>
      <c r="BL369" s="32"/>
      <c r="BM369" s="32"/>
      <c r="BN369" s="32"/>
      <c r="BO369" s="32"/>
      <c r="BP369" s="32"/>
      <c r="BQ369" s="32"/>
      <c r="BR369" s="32"/>
      <c r="BS369" s="32"/>
      <c r="BT369" s="32"/>
      <c r="BU369" s="32"/>
      <c r="BV369" s="32"/>
      <c r="BW369" s="32"/>
      <c r="BX369" s="32"/>
      <c r="BY369" s="32"/>
      <c r="BZ369" s="32"/>
      <c r="CA369" s="32"/>
      <c r="CB369" s="32"/>
      <c r="CC369" s="32"/>
      <c r="CD369" s="32"/>
      <c r="CE369" s="32"/>
      <c r="CF369" s="32"/>
      <c r="CG369" s="32"/>
      <c r="CH369" s="32"/>
      <c r="CI369" s="32"/>
      <c r="CJ369" s="32"/>
      <c r="CK369" s="32"/>
      <c r="CL369" s="32"/>
      <c r="CM369" s="32"/>
      <c r="CN369" s="32"/>
      <c r="CO369" s="32"/>
      <c r="CP369" s="32"/>
      <c r="CQ369" s="32"/>
      <c r="CR369" s="32"/>
      <c r="CS369" s="32"/>
      <c r="CT369" s="32"/>
      <c r="CU369" s="32"/>
      <c r="CV369" s="32"/>
      <c r="CW369" s="32"/>
      <c r="CX369" s="32"/>
      <c r="CY369" s="32"/>
      <c r="CZ369" s="32"/>
      <c r="DA369" s="32"/>
      <c r="DB369" s="32"/>
      <c r="DC369" s="32"/>
      <c r="DD369" s="32"/>
      <c r="DE369" s="32"/>
      <c r="DF369" s="32"/>
      <c r="DG369" s="32"/>
      <c r="DH369" s="32"/>
      <c r="DI369" s="32"/>
      <c r="DJ369" s="32"/>
      <c r="DK369" s="32"/>
      <c r="DL369" s="32"/>
      <c r="DM369" s="32"/>
      <c r="DN369" s="32"/>
      <c r="DO369" s="32"/>
      <c r="DP369" s="32"/>
      <c r="DQ369" s="32"/>
      <c r="DR369" s="32"/>
      <c r="DS369" s="32"/>
      <c r="DT369" s="32"/>
      <c r="DU369" s="32"/>
      <c r="DV369" s="32"/>
      <c r="DW369" s="32"/>
      <c r="DX369" s="32"/>
      <c r="DY369" s="32"/>
      <c r="DZ369" s="32"/>
      <c r="EA369" s="32"/>
      <c r="EB369" s="32"/>
      <c r="EC369" s="32"/>
      <c r="ED369" s="32"/>
      <c r="EE369" s="32"/>
      <c r="EF369" s="32"/>
      <c r="EG369" s="32"/>
      <c r="EH369" s="32"/>
      <c r="EI369" s="32"/>
      <c r="EJ369" s="32"/>
      <c r="EK369" s="32"/>
    </row>
    <row r="370" spans="42:141">
      <c r="AP370" s="32"/>
      <c r="AQ370" s="32"/>
      <c r="AR370" s="32"/>
      <c r="AS370" s="32"/>
      <c r="AT370" s="32"/>
      <c r="AU370" s="32"/>
      <c r="AV370" s="32"/>
      <c r="AW370" s="32"/>
      <c r="AX370" s="32"/>
      <c r="AY370" s="32"/>
      <c r="AZ370" s="32"/>
      <c r="BA370" s="32"/>
      <c r="BB370" s="32"/>
      <c r="BC370" s="32"/>
      <c r="BD370" s="32"/>
      <c r="BE370" s="32"/>
      <c r="BF370" s="32"/>
      <c r="BG370" s="32"/>
      <c r="BH370" s="32"/>
      <c r="BI370" s="32"/>
      <c r="BJ370" s="32"/>
      <c r="BK370" s="32"/>
      <c r="BL370" s="32"/>
      <c r="BM370" s="32"/>
      <c r="BN370" s="32"/>
      <c r="BO370" s="32"/>
      <c r="BP370" s="32"/>
      <c r="BQ370" s="32"/>
      <c r="BR370" s="32"/>
      <c r="BS370" s="32"/>
      <c r="BT370" s="32"/>
      <c r="BU370" s="32"/>
      <c r="BV370" s="32"/>
      <c r="BW370" s="32"/>
      <c r="BX370" s="32"/>
      <c r="BY370" s="32"/>
      <c r="BZ370" s="32"/>
      <c r="CA370" s="32"/>
      <c r="CB370" s="32"/>
      <c r="CC370" s="32"/>
      <c r="CD370" s="32"/>
      <c r="CE370" s="32"/>
      <c r="CF370" s="32"/>
      <c r="CG370" s="32"/>
      <c r="CH370" s="32"/>
      <c r="CI370" s="32"/>
      <c r="CJ370" s="32"/>
      <c r="CK370" s="32"/>
      <c r="CL370" s="32"/>
      <c r="CM370" s="32"/>
      <c r="CN370" s="32"/>
      <c r="CO370" s="32"/>
      <c r="CP370" s="32"/>
      <c r="CQ370" s="32"/>
      <c r="CR370" s="32"/>
      <c r="CS370" s="32"/>
      <c r="CT370" s="32"/>
      <c r="CU370" s="32"/>
      <c r="CV370" s="32"/>
      <c r="CW370" s="32"/>
      <c r="CX370" s="32"/>
      <c r="CY370" s="32"/>
      <c r="CZ370" s="32"/>
      <c r="DA370" s="32"/>
      <c r="DB370" s="32"/>
      <c r="DC370" s="32"/>
      <c r="DD370" s="32"/>
      <c r="DE370" s="32"/>
      <c r="DF370" s="32"/>
      <c r="DG370" s="32"/>
      <c r="DH370" s="32"/>
      <c r="DI370" s="32"/>
      <c r="DJ370" s="32"/>
      <c r="DK370" s="32"/>
      <c r="DL370" s="32"/>
      <c r="DM370" s="32"/>
      <c r="DN370" s="32"/>
      <c r="DO370" s="32"/>
      <c r="DP370" s="32"/>
      <c r="DQ370" s="32"/>
      <c r="DR370" s="32"/>
      <c r="DS370" s="32"/>
      <c r="DT370" s="32"/>
      <c r="DU370" s="32"/>
      <c r="DV370" s="32"/>
      <c r="DW370" s="32"/>
      <c r="DX370" s="32"/>
      <c r="DY370" s="32"/>
      <c r="DZ370" s="32"/>
      <c r="EA370" s="32"/>
      <c r="EB370" s="32"/>
      <c r="EC370" s="32"/>
      <c r="ED370" s="32"/>
      <c r="EE370" s="32"/>
      <c r="EF370" s="32"/>
      <c r="EG370" s="32"/>
      <c r="EH370" s="32"/>
      <c r="EI370" s="32"/>
      <c r="EJ370" s="32"/>
      <c r="EK370" s="32"/>
    </row>
    <row r="371" spans="42:141">
      <c r="AP371" s="32"/>
      <c r="AQ371" s="32"/>
      <c r="AR371" s="32"/>
      <c r="AS371" s="32"/>
      <c r="AT371" s="32"/>
      <c r="AU371" s="32"/>
      <c r="AV371" s="32"/>
      <c r="AW371" s="32"/>
      <c r="AX371" s="32"/>
      <c r="AY371" s="32"/>
      <c r="AZ371" s="32"/>
      <c r="BA371" s="32"/>
      <c r="BB371" s="32"/>
      <c r="BC371" s="32"/>
      <c r="BD371" s="32"/>
      <c r="BE371" s="32"/>
      <c r="BF371" s="32"/>
      <c r="BG371" s="32"/>
      <c r="BH371" s="32"/>
      <c r="BI371" s="32"/>
      <c r="BJ371" s="32"/>
      <c r="BK371" s="32"/>
      <c r="BL371" s="32"/>
      <c r="BM371" s="32"/>
      <c r="BN371" s="32"/>
      <c r="BO371" s="32"/>
      <c r="BP371" s="32"/>
      <c r="BQ371" s="32"/>
      <c r="BR371" s="32"/>
      <c r="BS371" s="32"/>
      <c r="BT371" s="32"/>
      <c r="BU371" s="32"/>
      <c r="BV371" s="32"/>
      <c r="BW371" s="32"/>
      <c r="BX371" s="32"/>
      <c r="BY371" s="32"/>
      <c r="BZ371" s="32"/>
      <c r="CA371" s="32"/>
      <c r="CB371" s="32"/>
      <c r="CC371" s="32"/>
      <c r="CD371" s="32"/>
      <c r="CE371" s="32"/>
      <c r="CF371" s="32"/>
      <c r="CG371" s="32"/>
      <c r="CH371" s="32"/>
      <c r="CI371" s="32"/>
      <c r="CJ371" s="32"/>
      <c r="CK371" s="32"/>
      <c r="CL371" s="32"/>
      <c r="CM371" s="32"/>
      <c r="CN371" s="32"/>
      <c r="CO371" s="32"/>
      <c r="CP371" s="32"/>
      <c r="CQ371" s="32"/>
      <c r="CR371" s="32"/>
      <c r="CS371" s="32"/>
      <c r="CT371" s="32"/>
      <c r="CU371" s="32"/>
      <c r="CV371" s="32"/>
      <c r="CW371" s="32"/>
      <c r="CX371" s="32"/>
      <c r="CY371" s="32"/>
      <c r="CZ371" s="32"/>
      <c r="DA371" s="32"/>
      <c r="DB371" s="32"/>
      <c r="DC371" s="32"/>
      <c r="DD371" s="32"/>
      <c r="DE371" s="32"/>
      <c r="DF371" s="32"/>
      <c r="DG371" s="32"/>
      <c r="DH371" s="32"/>
      <c r="DI371" s="32"/>
      <c r="DJ371" s="32"/>
      <c r="DK371" s="32"/>
      <c r="DL371" s="32"/>
      <c r="DM371" s="32"/>
      <c r="DN371" s="32"/>
      <c r="DO371" s="32"/>
      <c r="DP371" s="32"/>
      <c r="DQ371" s="32"/>
      <c r="DR371" s="32"/>
      <c r="DS371" s="32"/>
      <c r="DT371" s="32"/>
      <c r="DU371" s="32"/>
      <c r="DV371" s="32"/>
      <c r="DW371" s="32"/>
      <c r="DX371" s="32"/>
      <c r="DY371" s="32"/>
      <c r="DZ371" s="32"/>
      <c r="EA371" s="32"/>
      <c r="EB371" s="32"/>
      <c r="EC371" s="32"/>
      <c r="ED371" s="32"/>
      <c r="EE371" s="32"/>
      <c r="EF371" s="32"/>
      <c r="EG371" s="32"/>
      <c r="EH371" s="32"/>
      <c r="EI371" s="32"/>
      <c r="EJ371" s="32"/>
      <c r="EK371" s="32"/>
    </row>
    <row r="372" spans="42:141">
      <c r="AP372" s="32"/>
      <c r="AQ372" s="32"/>
      <c r="AR372" s="32"/>
      <c r="AS372" s="32"/>
      <c r="AT372" s="32"/>
      <c r="AU372" s="32"/>
      <c r="AV372" s="32"/>
      <c r="AW372" s="32"/>
      <c r="AX372" s="32"/>
      <c r="AY372" s="32"/>
      <c r="AZ372" s="32"/>
      <c r="BA372" s="32"/>
      <c r="BB372" s="32"/>
      <c r="BC372" s="32"/>
      <c r="BD372" s="32"/>
      <c r="BE372" s="32"/>
      <c r="BF372" s="32"/>
      <c r="BG372" s="32"/>
      <c r="BH372" s="32"/>
      <c r="BI372" s="32"/>
      <c r="BJ372" s="32"/>
      <c r="BK372" s="32"/>
      <c r="BL372" s="32"/>
      <c r="BM372" s="32"/>
      <c r="BN372" s="32"/>
      <c r="BO372" s="32"/>
      <c r="BP372" s="32"/>
      <c r="BQ372" s="32"/>
      <c r="BR372" s="32"/>
      <c r="BS372" s="32"/>
      <c r="BT372" s="32"/>
      <c r="BU372" s="32"/>
      <c r="BV372" s="32"/>
      <c r="BW372" s="32"/>
      <c r="BX372" s="32"/>
      <c r="BY372" s="32"/>
      <c r="BZ372" s="32"/>
      <c r="CA372" s="32"/>
      <c r="CB372" s="32"/>
      <c r="CC372" s="32"/>
      <c r="CD372" s="32"/>
      <c r="CE372" s="32"/>
      <c r="CF372" s="32"/>
      <c r="CG372" s="32"/>
      <c r="CH372" s="32"/>
      <c r="CI372" s="32"/>
      <c r="CJ372" s="32"/>
      <c r="CK372" s="32"/>
      <c r="CL372" s="32"/>
      <c r="CM372" s="32"/>
      <c r="CN372" s="32"/>
      <c r="CO372" s="32"/>
      <c r="CP372" s="32"/>
      <c r="CQ372" s="32"/>
      <c r="CR372" s="32"/>
      <c r="CS372" s="32"/>
      <c r="CT372" s="32"/>
      <c r="CU372" s="32"/>
      <c r="CV372" s="32"/>
      <c r="CW372" s="32"/>
      <c r="CX372" s="32"/>
      <c r="CY372" s="32"/>
      <c r="CZ372" s="32"/>
      <c r="DA372" s="32"/>
      <c r="DB372" s="32"/>
      <c r="DC372" s="32"/>
      <c r="DD372" s="32"/>
      <c r="DE372" s="32"/>
      <c r="DF372" s="32"/>
      <c r="DG372" s="32"/>
      <c r="DH372" s="32"/>
      <c r="DI372" s="32"/>
      <c r="DJ372" s="32"/>
      <c r="DK372" s="32"/>
      <c r="DL372" s="32"/>
      <c r="DM372" s="32"/>
      <c r="DN372" s="32"/>
      <c r="DO372" s="32"/>
      <c r="DP372" s="32"/>
      <c r="DQ372" s="32"/>
      <c r="DR372" s="32"/>
      <c r="DS372" s="32"/>
      <c r="DT372" s="32"/>
      <c r="DU372" s="32"/>
      <c r="DV372" s="32"/>
      <c r="DW372" s="32"/>
      <c r="DX372" s="32"/>
      <c r="DY372" s="32"/>
      <c r="DZ372" s="32"/>
      <c r="EA372" s="32"/>
      <c r="EB372" s="32"/>
      <c r="EC372" s="32"/>
      <c r="ED372" s="32"/>
      <c r="EE372" s="32"/>
      <c r="EF372" s="32"/>
      <c r="EG372" s="32"/>
      <c r="EH372" s="32"/>
      <c r="EI372" s="32"/>
      <c r="EJ372" s="32"/>
      <c r="EK372" s="32"/>
    </row>
    <row r="373" spans="42:141">
      <c r="AP373" s="32"/>
      <c r="AQ373" s="32"/>
      <c r="AR373" s="32"/>
      <c r="AS373" s="32"/>
      <c r="AT373" s="32"/>
      <c r="AU373" s="32"/>
      <c r="AV373" s="32"/>
      <c r="AW373" s="32"/>
      <c r="AX373" s="32"/>
      <c r="AY373" s="32"/>
      <c r="AZ373" s="32"/>
      <c r="BA373" s="32"/>
      <c r="BB373" s="32"/>
      <c r="BC373" s="32"/>
      <c r="BD373" s="32"/>
      <c r="BE373" s="32"/>
      <c r="BF373" s="32"/>
      <c r="BG373" s="32"/>
      <c r="BH373" s="32"/>
      <c r="BI373" s="32"/>
      <c r="BJ373" s="32"/>
      <c r="BK373" s="32"/>
      <c r="BL373" s="32"/>
      <c r="BM373" s="32"/>
      <c r="BN373" s="32"/>
      <c r="BO373" s="32"/>
      <c r="BP373" s="32"/>
      <c r="BQ373" s="32"/>
      <c r="BR373" s="32"/>
      <c r="BS373" s="32"/>
      <c r="BT373" s="32"/>
      <c r="BU373" s="32"/>
      <c r="BV373" s="32"/>
      <c r="BW373" s="32"/>
      <c r="BX373" s="32"/>
      <c r="BY373" s="32"/>
      <c r="BZ373" s="32"/>
      <c r="CA373" s="32"/>
      <c r="CB373" s="32"/>
      <c r="CC373" s="32"/>
      <c r="CD373" s="32"/>
      <c r="CE373" s="32"/>
      <c r="CF373" s="32"/>
      <c r="CG373" s="32"/>
      <c r="CH373" s="32"/>
      <c r="CI373" s="32"/>
      <c r="CJ373" s="32"/>
      <c r="CK373" s="32"/>
      <c r="CL373" s="32"/>
      <c r="CM373" s="32"/>
      <c r="CN373" s="32"/>
      <c r="CO373" s="32"/>
      <c r="CP373" s="32"/>
      <c r="CQ373" s="32"/>
      <c r="CR373" s="32"/>
      <c r="CS373" s="32"/>
      <c r="CT373" s="32"/>
      <c r="CU373" s="32"/>
      <c r="CV373" s="32"/>
      <c r="CW373" s="32"/>
      <c r="CX373" s="32"/>
      <c r="CY373" s="32"/>
      <c r="CZ373" s="32"/>
      <c r="DA373" s="32"/>
      <c r="DB373" s="32"/>
      <c r="DC373" s="32"/>
      <c r="DD373" s="32"/>
      <c r="DE373" s="32"/>
      <c r="DF373" s="32"/>
      <c r="DG373" s="32"/>
      <c r="DH373" s="32"/>
      <c r="DI373" s="32"/>
      <c r="DJ373" s="32"/>
      <c r="DK373" s="32"/>
      <c r="DL373" s="32"/>
      <c r="DM373" s="32"/>
      <c r="DN373" s="32"/>
      <c r="DO373" s="32"/>
      <c r="DP373" s="32"/>
      <c r="DQ373" s="32"/>
      <c r="DR373" s="32"/>
      <c r="DS373" s="32"/>
      <c r="DT373" s="32"/>
      <c r="DU373" s="32"/>
      <c r="DV373" s="32"/>
      <c r="DW373" s="32"/>
      <c r="DX373" s="32"/>
      <c r="DY373" s="32"/>
      <c r="DZ373" s="32"/>
      <c r="EA373" s="32"/>
      <c r="EB373" s="32"/>
      <c r="EC373" s="32"/>
      <c r="ED373" s="32"/>
      <c r="EE373" s="32"/>
      <c r="EF373" s="32"/>
      <c r="EG373" s="32"/>
      <c r="EH373" s="32"/>
      <c r="EI373" s="32"/>
      <c r="EJ373" s="32"/>
      <c r="EK373" s="32"/>
    </row>
    <row r="374" spans="42:141">
      <c r="AP374" s="32"/>
      <c r="AQ374" s="32"/>
      <c r="AR374" s="32"/>
      <c r="AS374" s="32"/>
      <c r="AT374" s="32"/>
      <c r="AU374" s="32"/>
      <c r="AV374" s="32"/>
      <c r="AW374" s="32"/>
      <c r="AX374" s="32"/>
      <c r="AY374" s="32"/>
      <c r="AZ374" s="32"/>
      <c r="BA374" s="32"/>
      <c r="BB374" s="32"/>
      <c r="BC374" s="32"/>
      <c r="BD374" s="32"/>
      <c r="BE374" s="32"/>
      <c r="BF374" s="32"/>
      <c r="BG374" s="32"/>
      <c r="BH374" s="32"/>
      <c r="BI374" s="32"/>
      <c r="BJ374" s="32"/>
      <c r="BK374" s="32"/>
      <c r="BL374" s="32"/>
      <c r="BM374" s="32"/>
      <c r="BN374" s="32"/>
      <c r="BO374" s="32"/>
      <c r="BP374" s="32"/>
      <c r="BQ374" s="32"/>
      <c r="BR374" s="32"/>
      <c r="BS374" s="32"/>
      <c r="BT374" s="32"/>
      <c r="BU374" s="32"/>
      <c r="BV374" s="32"/>
      <c r="BW374" s="32"/>
      <c r="BX374" s="32"/>
      <c r="BY374" s="32"/>
      <c r="BZ374" s="32"/>
      <c r="CA374" s="32"/>
      <c r="CB374" s="32"/>
      <c r="CC374" s="32"/>
      <c r="CD374" s="32"/>
      <c r="CE374" s="32"/>
      <c r="CF374" s="32"/>
      <c r="CG374" s="32"/>
      <c r="CH374" s="32"/>
      <c r="CI374" s="32"/>
      <c r="CJ374" s="32"/>
      <c r="CK374" s="32"/>
      <c r="CL374" s="32"/>
      <c r="CM374" s="32"/>
      <c r="CN374" s="32"/>
      <c r="CO374" s="32"/>
      <c r="CP374" s="32"/>
      <c r="CQ374" s="32"/>
      <c r="CR374" s="32"/>
      <c r="CS374" s="32"/>
      <c r="CT374" s="32"/>
      <c r="CU374" s="32"/>
      <c r="CV374" s="32"/>
      <c r="CW374" s="32"/>
      <c r="CX374" s="32"/>
      <c r="CY374" s="32"/>
      <c r="CZ374" s="32"/>
      <c r="DA374" s="32"/>
      <c r="DB374" s="32"/>
      <c r="DC374" s="32"/>
      <c r="DD374" s="32"/>
      <c r="DE374" s="32"/>
      <c r="DF374" s="32"/>
      <c r="DG374" s="32"/>
      <c r="DH374" s="32"/>
      <c r="DI374" s="32"/>
      <c r="DJ374" s="32"/>
      <c r="DK374" s="32"/>
      <c r="DL374" s="32"/>
      <c r="DM374" s="32"/>
      <c r="DN374" s="32"/>
      <c r="DO374" s="32"/>
      <c r="DP374" s="32"/>
      <c r="DQ374" s="32"/>
      <c r="DR374" s="32"/>
      <c r="DS374" s="32"/>
      <c r="DT374" s="32"/>
      <c r="DU374" s="32"/>
      <c r="DV374" s="32"/>
      <c r="DW374" s="32"/>
      <c r="DX374" s="32"/>
      <c r="DY374" s="32"/>
      <c r="DZ374" s="32"/>
      <c r="EA374" s="32"/>
      <c r="EB374" s="32"/>
      <c r="EC374" s="32"/>
      <c r="ED374" s="32"/>
      <c r="EE374" s="32"/>
      <c r="EF374" s="32"/>
      <c r="EG374" s="32"/>
      <c r="EH374" s="32"/>
      <c r="EI374" s="32"/>
      <c r="EJ374" s="32"/>
      <c r="EK374" s="32"/>
    </row>
    <row r="375" spans="42:141">
      <c r="AP375" s="32"/>
      <c r="AQ375" s="32"/>
      <c r="AR375" s="32"/>
      <c r="AS375" s="32"/>
      <c r="AT375" s="32"/>
      <c r="AU375" s="32"/>
      <c r="AV375" s="32"/>
      <c r="AW375" s="32"/>
      <c r="AX375" s="32"/>
      <c r="AY375" s="32"/>
      <c r="AZ375" s="32"/>
      <c r="BA375" s="32"/>
      <c r="BB375" s="32"/>
      <c r="BC375" s="32"/>
      <c r="BD375" s="32"/>
      <c r="BE375" s="32"/>
      <c r="BF375" s="32"/>
      <c r="BG375" s="32"/>
      <c r="BH375" s="32"/>
      <c r="BI375" s="32"/>
      <c r="BJ375" s="32"/>
      <c r="BK375" s="32"/>
      <c r="BL375" s="32"/>
      <c r="BM375" s="32"/>
      <c r="BN375" s="32"/>
      <c r="BO375" s="32"/>
      <c r="BP375" s="32"/>
      <c r="BQ375" s="32"/>
      <c r="BR375" s="32"/>
      <c r="BS375" s="32"/>
      <c r="BT375" s="32"/>
      <c r="BU375" s="32"/>
      <c r="BV375" s="32"/>
      <c r="BW375" s="32"/>
      <c r="BX375" s="32"/>
      <c r="BY375" s="32"/>
      <c r="BZ375" s="32"/>
      <c r="CA375" s="32"/>
      <c r="CB375" s="32"/>
      <c r="CC375" s="32"/>
      <c r="CD375" s="32"/>
      <c r="CE375" s="32"/>
      <c r="CF375" s="32"/>
      <c r="CG375" s="32"/>
      <c r="CH375" s="32"/>
      <c r="CI375" s="32"/>
      <c r="CJ375" s="32"/>
      <c r="CK375" s="32"/>
      <c r="CL375" s="32"/>
      <c r="CM375" s="32"/>
      <c r="CN375" s="32"/>
      <c r="CO375" s="32"/>
      <c r="CP375" s="32"/>
      <c r="CQ375" s="32"/>
      <c r="CR375" s="32"/>
      <c r="CS375" s="32"/>
      <c r="CT375" s="32"/>
      <c r="CU375" s="32"/>
      <c r="CV375" s="32"/>
      <c r="CW375" s="32"/>
      <c r="CX375" s="32"/>
      <c r="CY375" s="32"/>
      <c r="CZ375" s="32"/>
      <c r="DA375" s="32"/>
      <c r="DB375" s="32"/>
      <c r="DC375" s="32"/>
      <c r="DD375" s="32"/>
      <c r="DE375" s="32"/>
      <c r="DF375" s="32"/>
      <c r="DG375" s="32"/>
      <c r="DH375" s="32"/>
      <c r="DI375" s="32"/>
      <c r="DJ375" s="32"/>
      <c r="DK375" s="32"/>
      <c r="DL375" s="32"/>
      <c r="DM375" s="32"/>
      <c r="DN375" s="32"/>
      <c r="DO375" s="32"/>
      <c r="DP375" s="32"/>
      <c r="DQ375" s="32"/>
      <c r="DR375" s="32"/>
      <c r="DS375" s="32"/>
      <c r="DT375" s="32"/>
      <c r="DU375" s="32"/>
      <c r="DV375" s="32"/>
      <c r="DW375" s="32"/>
      <c r="DX375" s="32"/>
      <c r="DY375" s="32"/>
      <c r="DZ375" s="32"/>
      <c r="EA375" s="32"/>
      <c r="EB375" s="32"/>
      <c r="EC375" s="32"/>
      <c r="ED375" s="32"/>
      <c r="EE375" s="32"/>
      <c r="EF375" s="32"/>
      <c r="EG375" s="32"/>
      <c r="EH375" s="32"/>
      <c r="EI375" s="32"/>
      <c r="EJ375" s="32"/>
      <c r="EK375" s="32"/>
    </row>
    <row r="376" spans="42:141">
      <c r="AP376" s="32"/>
      <c r="AQ376" s="32"/>
      <c r="AR376" s="32"/>
      <c r="AS376" s="32"/>
      <c r="AT376" s="32"/>
      <c r="AU376" s="32"/>
      <c r="AV376" s="32"/>
      <c r="AW376" s="32"/>
      <c r="AX376" s="32"/>
      <c r="AY376" s="32"/>
      <c r="AZ376" s="32"/>
      <c r="BA376" s="32"/>
      <c r="BB376" s="32"/>
      <c r="BC376" s="32"/>
      <c r="BD376" s="32"/>
      <c r="BE376" s="32"/>
      <c r="BF376" s="32"/>
      <c r="BG376" s="32"/>
      <c r="BH376" s="32"/>
      <c r="BI376" s="32"/>
      <c r="BJ376" s="32"/>
      <c r="BK376" s="32"/>
      <c r="BL376" s="32"/>
      <c r="BM376" s="32"/>
      <c r="BN376" s="32"/>
      <c r="BO376" s="32"/>
      <c r="BP376" s="32"/>
      <c r="BQ376" s="32"/>
      <c r="BR376" s="32"/>
      <c r="BS376" s="32"/>
      <c r="BT376" s="32"/>
      <c r="BU376" s="32"/>
      <c r="BV376" s="32"/>
      <c r="BW376" s="32"/>
      <c r="BX376" s="32"/>
      <c r="BY376" s="32"/>
      <c r="BZ376" s="32"/>
      <c r="CA376" s="32"/>
      <c r="CB376" s="32"/>
      <c r="CC376" s="32"/>
      <c r="CD376" s="32"/>
      <c r="CE376" s="32"/>
      <c r="CF376" s="32"/>
      <c r="CG376" s="32"/>
      <c r="CH376" s="32"/>
      <c r="CI376" s="32"/>
      <c r="CJ376" s="32"/>
      <c r="CK376" s="32"/>
      <c r="CL376" s="32"/>
      <c r="CM376" s="32"/>
      <c r="CN376" s="32"/>
      <c r="CO376" s="32"/>
      <c r="CP376" s="32"/>
      <c r="CQ376" s="32"/>
      <c r="CR376" s="32"/>
      <c r="CS376" s="32"/>
      <c r="CT376" s="32"/>
      <c r="CU376" s="32"/>
      <c r="CV376" s="32"/>
      <c r="CW376" s="32"/>
      <c r="CX376" s="32"/>
      <c r="CY376" s="32"/>
      <c r="CZ376" s="32"/>
      <c r="DA376" s="32"/>
      <c r="DB376" s="32"/>
      <c r="DC376" s="32"/>
      <c r="DD376" s="32"/>
      <c r="DE376" s="32"/>
      <c r="DF376" s="32"/>
      <c r="DG376" s="32"/>
      <c r="DH376" s="32"/>
      <c r="DI376" s="32"/>
      <c r="DJ376" s="32"/>
      <c r="DK376" s="32"/>
      <c r="DL376" s="32"/>
      <c r="DM376" s="32"/>
      <c r="DN376" s="32"/>
      <c r="DO376" s="32"/>
      <c r="DP376" s="32"/>
      <c r="DQ376" s="32"/>
      <c r="DR376" s="32"/>
      <c r="DS376" s="32"/>
      <c r="DT376" s="32"/>
      <c r="DU376" s="32"/>
      <c r="DV376" s="32"/>
      <c r="DW376" s="32"/>
      <c r="DX376" s="32"/>
      <c r="DY376" s="32"/>
      <c r="DZ376" s="32"/>
      <c r="EA376" s="32"/>
      <c r="EB376" s="32"/>
      <c r="EC376" s="32"/>
      <c r="ED376" s="32"/>
      <c r="EE376" s="32"/>
      <c r="EF376" s="32"/>
      <c r="EG376" s="32"/>
      <c r="EH376" s="32"/>
      <c r="EI376" s="32"/>
      <c r="EJ376" s="32"/>
      <c r="EK376" s="32"/>
    </row>
    <row r="377" spans="42:141">
      <c r="AP377" s="32"/>
      <c r="AQ377" s="32"/>
      <c r="AR377" s="32"/>
      <c r="AS377" s="32"/>
      <c r="AT377" s="32"/>
      <c r="AU377" s="32"/>
      <c r="AV377" s="32"/>
      <c r="AW377" s="32"/>
      <c r="AX377" s="32"/>
      <c r="AY377" s="32"/>
      <c r="AZ377" s="32"/>
      <c r="BA377" s="32"/>
      <c r="BB377" s="32"/>
      <c r="BC377" s="32"/>
      <c r="BD377" s="32"/>
      <c r="BE377" s="32"/>
      <c r="BF377" s="32"/>
      <c r="BG377" s="32"/>
      <c r="BH377" s="32"/>
      <c r="BI377" s="32"/>
      <c r="BJ377" s="32"/>
      <c r="BK377" s="32"/>
      <c r="BL377" s="32"/>
      <c r="BM377" s="32"/>
      <c r="BN377" s="32"/>
      <c r="BO377" s="32"/>
      <c r="BP377" s="32"/>
      <c r="BQ377" s="32"/>
      <c r="BR377" s="32"/>
      <c r="BS377" s="32"/>
      <c r="BT377" s="32"/>
      <c r="BU377" s="32"/>
      <c r="BV377" s="32"/>
      <c r="BW377" s="32"/>
      <c r="BX377" s="32"/>
      <c r="BY377" s="32"/>
      <c r="BZ377" s="32"/>
      <c r="CA377" s="32"/>
      <c r="CB377" s="32"/>
      <c r="CC377" s="32"/>
      <c r="CD377" s="32"/>
      <c r="CE377" s="32"/>
      <c r="CF377" s="32"/>
      <c r="CG377" s="32"/>
      <c r="CH377" s="32"/>
      <c r="CI377" s="32"/>
      <c r="CJ377" s="32"/>
      <c r="CK377" s="32"/>
      <c r="CL377" s="32"/>
      <c r="CM377" s="32"/>
      <c r="CN377" s="32"/>
      <c r="CO377" s="32"/>
      <c r="CP377" s="32"/>
      <c r="CQ377" s="32"/>
      <c r="CR377" s="32"/>
      <c r="CS377" s="32"/>
      <c r="CT377" s="32"/>
      <c r="CU377" s="32"/>
      <c r="CV377" s="32"/>
      <c r="CW377" s="32"/>
      <c r="CX377" s="32"/>
      <c r="CY377" s="32"/>
      <c r="CZ377" s="32"/>
      <c r="DA377" s="32"/>
      <c r="DB377" s="32"/>
      <c r="DC377" s="32"/>
      <c r="DD377" s="32"/>
      <c r="DE377" s="32"/>
      <c r="DF377" s="32"/>
      <c r="DG377" s="32"/>
      <c r="DH377" s="32"/>
      <c r="DI377" s="32"/>
      <c r="DJ377" s="32"/>
      <c r="DK377" s="32"/>
      <c r="DL377" s="32"/>
      <c r="DM377" s="32"/>
      <c r="DN377" s="32"/>
      <c r="DO377" s="32"/>
      <c r="DP377" s="32"/>
      <c r="DQ377" s="32"/>
      <c r="DR377" s="32"/>
      <c r="DS377" s="32"/>
      <c r="DT377" s="32"/>
      <c r="DU377" s="32"/>
      <c r="DV377" s="32"/>
      <c r="DW377" s="32"/>
      <c r="DX377" s="32"/>
      <c r="DY377" s="32"/>
      <c r="DZ377" s="32"/>
      <c r="EA377" s="32"/>
      <c r="EB377" s="32"/>
      <c r="EC377" s="32"/>
      <c r="ED377" s="32"/>
      <c r="EE377" s="32"/>
      <c r="EF377" s="32"/>
      <c r="EG377" s="32"/>
      <c r="EH377" s="32"/>
      <c r="EI377" s="32"/>
      <c r="EJ377" s="32"/>
      <c r="EK377" s="32"/>
    </row>
    <row r="378" spans="42:141">
      <c r="AP378" s="32"/>
      <c r="AQ378" s="32"/>
      <c r="AR378" s="32"/>
      <c r="AS378" s="32"/>
      <c r="AT378" s="32"/>
      <c r="AU378" s="32"/>
      <c r="AV378" s="32"/>
      <c r="AW378" s="32"/>
      <c r="AX378" s="32"/>
      <c r="AY378" s="32"/>
      <c r="AZ378" s="32"/>
      <c r="BA378" s="32"/>
      <c r="BB378" s="32"/>
      <c r="BC378" s="32"/>
      <c r="BD378" s="32"/>
      <c r="BE378" s="32"/>
      <c r="BF378" s="32"/>
      <c r="BG378" s="32"/>
      <c r="BH378" s="32"/>
      <c r="BI378" s="32"/>
      <c r="BJ378" s="32"/>
      <c r="BK378" s="32"/>
      <c r="BL378" s="32"/>
      <c r="BM378" s="32"/>
      <c r="BN378" s="32"/>
      <c r="BO378" s="32"/>
      <c r="BP378" s="32"/>
      <c r="BQ378" s="32"/>
      <c r="BR378" s="32"/>
      <c r="BS378" s="32"/>
      <c r="BT378" s="32"/>
      <c r="BU378" s="32"/>
      <c r="BV378" s="32"/>
      <c r="BW378" s="32"/>
      <c r="BX378" s="32"/>
      <c r="BY378" s="32"/>
      <c r="BZ378" s="32"/>
      <c r="CA378" s="32"/>
      <c r="CB378" s="32"/>
      <c r="CC378" s="32"/>
      <c r="CD378" s="32"/>
      <c r="CE378" s="32"/>
      <c r="CF378" s="32"/>
      <c r="CG378" s="32"/>
      <c r="CH378" s="32"/>
      <c r="CI378" s="32"/>
      <c r="CJ378" s="32"/>
      <c r="CK378" s="32"/>
      <c r="CL378" s="32"/>
      <c r="CM378" s="32"/>
      <c r="CN378" s="32"/>
      <c r="CO378" s="32"/>
      <c r="CP378" s="32"/>
      <c r="CQ378" s="32"/>
      <c r="CR378" s="32"/>
      <c r="CS378" s="32"/>
      <c r="CT378" s="32"/>
      <c r="CU378" s="32"/>
      <c r="CV378" s="32"/>
      <c r="CW378" s="32"/>
      <c r="CX378" s="32"/>
      <c r="CY378" s="32"/>
      <c r="CZ378" s="32"/>
      <c r="DA378" s="32"/>
      <c r="DB378" s="32"/>
      <c r="DC378" s="32"/>
      <c r="DD378" s="32"/>
      <c r="DE378" s="32"/>
      <c r="DF378" s="32"/>
      <c r="DG378" s="32"/>
      <c r="DH378" s="32"/>
      <c r="DI378" s="32"/>
      <c r="DJ378" s="32"/>
      <c r="DK378" s="32"/>
      <c r="DL378" s="32"/>
      <c r="DM378" s="32"/>
      <c r="DN378" s="32"/>
      <c r="DO378" s="32"/>
      <c r="DP378" s="32"/>
      <c r="DQ378" s="32"/>
      <c r="DR378" s="32"/>
      <c r="DS378" s="32"/>
      <c r="DT378" s="32"/>
      <c r="DU378" s="32"/>
      <c r="DV378" s="32"/>
      <c r="DW378" s="32"/>
      <c r="DX378" s="32"/>
      <c r="DY378" s="32"/>
      <c r="DZ378" s="32"/>
      <c r="EA378" s="32"/>
      <c r="EB378" s="32"/>
      <c r="EC378" s="32"/>
      <c r="ED378" s="32"/>
      <c r="EE378" s="32"/>
      <c r="EF378" s="32"/>
      <c r="EG378" s="32"/>
      <c r="EH378" s="32"/>
      <c r="EI378" s="32"/>
      <c r="EJ378" s="32"/>
      <c r="EK378" s="32"/>
    </row>
    <row r="379" spans="42:141">
      <c r="AP379" s="32"/>
      <c r="AQ379" s="32"/>
      <c r="AR379" s="32"/>
      <c r="AS379" s="32"/>
      <c r="AT379" s="32"/>
      <c r="AU379" s="32"/>
      <c r="AV379" s="32"/>
      <c r="AW379" s="32"/>
      <c r="AX379" s="32"/>
      <c r="AY379" s="32"/>
      <c r="AZ379" s="32"/>
      <c r="BA379" s="32"/>
      <c r="BB379" s="32"/>
      <c r="BC379" s="32"/>
      <c r="BD379" s="32"/>
      <c r="BE379" s="32"/>
      <c r="BF379" s="32"/>
      <c r="BG379" s="32"/>
      <c r="BH379" s="32"/>
      <c r="BI379" s="32"/>
      <c r="BJ379" s="32"/>
      <c r="BK379" s="32"/>
      <c r="BL379" s="32"/>
      <c r="BM379" s="32"/>
      <c r="BN379" s="32"/>
      <c r="BO379" s="32"/>
      <c r="BP379" s="32"/>
      <c r="BQ379" s="32"/>
      <c r="BR379" s="32"/>
      <c r="BS379" s="32"/>
      <c r="BT379" s="32"/>
      <c r="BU379" s="32"/>
      <c r="BV379" s="32"/>
      <c r="BW379" s="32"/>
      <c r="BX379" s="32"/>
      <c r="BY379" s="32"/>
      <c r="BZ379" s="32"/>
      <c r="CA379" s="32"/>
      <c r="CB379" s="32"/>
      <c r="CC379" s="32"/>
      <c r="CD379" s="32"/>
      <c r="CE379" s="32"/>
      <c r="CF379" s="32"/>
      <c r="CG379" s="32"/>
      <c r="CH379" s="32"/>
      <c r="CI379" s="32"/>
      <c r="CJ379" s="32"/>
      <c r="CK379" s="32"/>
      <c r="CL379" s="32"/>
      <c r="CM379" s="32"/>
      <c r="CN379" s="32"/>
      <c r="CO379" s="32"/>
      <c r="CP379" s="32"/>
      <c r="CQ379" s="32"/>
      <c r="CR379" s="32"/>
      <c r="CS379" s="32"/>
      <c r="CT379" s="32"/>
      <c r="CU379" s="32"/>
      <c r="CV379" s="32"/>
      <c r="CW379" s="32"/>
      <c r="CX379" s="32"/>
      <c r="CY379" s="32"/>
      <c r="CZ379" s="32"/>
      <c r="DA379" s="32"/>
      <c r="DB379" s="32"/>
      <c r="DC379" s="32"/>
      <c r="DD379" s="32"/>
      <c r="DE379" s="32"/>
      <c r="DF379" s="32"/>
      <c r="DG379" s="32"/>
      <c r="DH379" s="32"/>
      <c r="DI379" s="32"/>
      <c r="DJ379" s="32"/>
      <c r="DK379" s="32"/>
      <c r="DL379" s="32"/>
      <c r="DM379" s="32"/>
      <c r="DN379" s="32"/>
      <c r="DO379" s="32"/>
      <c r="DP379" s="32"/>
      <c r="DQ379" s="32"/>
      <c r="DR379" s="32"/>
      <c r="DS379" s="32"/>
      <c r="DT379" s="32"/>
      <c r="DU379" s="32"/>
      <c r="DV379" s="32"/>
      <c r="DW379" s="32"/>
      <c r="DX379" s="32"/>
      <c r="DY379" s="32"/>
      <c r="DZ379" s="32"/>
      <c r="EA379" s="32"/>
      <c r="EB379" s="32"/>
      <c r="EC379" s="32"/>
      <c r="ED379" s="32"/>
      <c r="EE379" s="32"/>
      <c r="EF379" s="32"/>
      <c r="EG379" s="32"/>
      <c r="EH379" s="32"/>
      <c r="EI379" s="32"/>
      <c r="EJ379" s="32"/>
      <c r="EK379" s="32"/>
    </row>
    <row r="380" spans="42:141">
      <c r="AP380" s="32"/>
      <c r="AQ380" s="32"/>
      <c r="AR380" s="32"/>
      <c r="AS380" s="32"/>
      <c r="AT380" s="32"/>
      <c r="AU380" s="32"/>
      <c r="AV380" s="32"/>
      <c r="AW380" s="32"/>
      <c r="AX380" s="32"/>
      <c r="AY380" s="32"/>
      <c r="AZ380" s="32"/>
      <c r="BA380" s="32"/>
      <c r="BB380" s="32"/>
      <c r="BC380" s="32"/>
      <c r="BD380" s="32"/>
      <c r="BE380" s="32"/>
      <c r="BF380" s="32"/>
      <c r="BG380" s="32"/>
      <c r="BH380" s="32"/>
      <c r="BI380" s="32"/>
      <c r="BJ380" s="32"/>
      <c r="BK380" s="32"/>
      <c r="BL380" s="32"/>
      <c r="BM380" s="32"/>
      <c r="BN380" s="32"/>
      <c r="BO380" s="32"/>
      <c r="BP380" s="32"/>
      <c r="BQ380" s="32"/>
      <c r="BR380" s="32"/>
      <c r="BS380" s="32"/>
      <c r="BT380" s="32"/>
      <c r="BU380" s="32"/>
      <c r="BV380" s="32"/>
      <c r="BW380" s="32"/>
      <c r="BX380" s="32"/>
      <c r="BY380" s="32"/>
      <c r="BZ380" s="32"/>
      <c r="CA380" s="32"/>
      <c r="CB380" s="32"/>
      <c r="CC380" s="32"/>
      <c r="CD380" s="32"/>
      <c r="CE380" s="32"/>
      <c r="CF380" s="32"/>
      <c r="CG380" s="32"/>
      <c r="CH380" s="32"/>
      <c r="CI380" s="32"/>
      <c r="CJ380" s="32"/>
      <c r="CK380" s="32"/>
      <c r="CL380" s="32"/>
      <c r="CM380" s="32"/>
      <c r="CN380" s="32"/>
      <c r="CO380" s="32"/>
      <c r="CP380" s="32"/>
      <c r="CQ380" s="32"/>
      <c r="CR380" s="32"/>
      <c r="CS380" s="32"/>
      <c r="CT380" s="32"/>
      <c r="CU380" s="32"/>
      <c r="CV380" s="32"/>
      <c r="CW380" s="32"/>
      <c r="CX380" s="32"/>
      <c r="CY380" s="32"/>
      <c r="CZ380" s="32"/>
      <c r="DA380" s="32"/>
      <c r="DB380" s="32"/>
      <c r="DC380" s="32"/>
      <c r="DD380" s="32"/>
      <c r="DE380" s="32"/>
      <c r="DF380" s="32"/>
      <c r="DG380" s="32"/>
      <c r="DH380" s="32"/>
      <c r="DI380" s="32"/>
      <c r="DJ380" s="32"/>
      <c r="DK380" s="32"/>
      <c r="DL380" s="32"/>
      <c r="DM380" s="32"/>
      <c r="DN380" s="32"/>
      <c r="DO380" s="32"/>
      <c r="DP380" s="32"/>
      <c r="DQ380" s="32"/>
      <c r="DR380" s="32"/>
      <c r="DS380" s="32"/>
      <c r="DT380" s="32"/>
      <c r="DU380" s="32"/>
      <c r="DV380" s="32"/>
      <c r="DW380" s="32"/>
      <c r="DX380" s="32"/>
      <c r="DY380" s="32"/>
      <c r="DZ380" s="32"/>
      <c r="EA380" s="32"/>
      <c r="EB380" s="32"/>
      <c r="EC380" s="32"/>
      <c r="ED380" s="32"/>
      <c r="EE380" s="32"/>
      <c r="EF380" s="32"/>
      <c r="EG380" s="32"/>
      <c r="EH380" s="32"/>
      <c r="EI380" s="32"/>
      <c r="EJ380" s="32"/>
      <c r="EK380" s="32"/>
    </row>
    <row r="381" spans="42:141">
      <c r="AP381" s="32"/>
      <c r="AQ381" s="32"/>
      <c r="AR381" s="32"/>
      <c r="AS381" s="32"/>
      <c r="AT381" s="32"/>
      <c r="AU381" s="32"/>
      <c r="AV381" s="32"/>
      <c r="AW381" s="32"/>
      <c r="AX381" s="32"/>
      <c r="AY381" s="32"/>
      <c r="AZ381" s="32"/>
      <c r="BA381" s="32"/>
      <c r="BB381" s="32"/>
      <c r="BC381" s="32"/>
      <c r="BD381" s="32"/>
      <c r="BE381" s="32"/>
      <c r="BF381" s="32"/>
      <c r="BG381" s="32"/>
      <c r="BH381" s="32"/>
      <c r="BI381" s="32"/>
      <c r="BJ381" s="32"/>
      <c r="BK381" s="32"/>
      <c r="BL381" s="32"/>
      <c r="BM381" s="32"/>
      <c r="BN381" s="32"/>
      <c r="BO381" s="32"/>
      <c r="BP381" s="32"/>
      <c r="BQ381" s="32"/>
      <c r="BR381" s="32"/>
      <c r="BS381" s="32"/>
      <c r="BT381" s="32"/>
      <c r="BU381" s="32"/>
      <c r="BV381" s="32"/>
      <c r="BW381" s="32"/>
      <c r="BX381" s="32"/>
      <c r="BY381" s="32"/>
      <c r="BZ381" s="32"/>
      <c r="CA381" s="32"/>
      <c r="CB381" s="32"/>
      <c r="CC381" s="32"/>
      <c r="CD381" s="32"/>
      <c r="CE381" s="32"/>
      <c r="CF381" s="32"/>
      <c r="CG381" s="32"/>
      <c r="CH381" s="32"/>
      <c r="CI381" s="32"/>
      <c r="CJ381" s="32"/>
      <c r="CK381" s="32"/>
      <c r="CL381" s="32"/>
      <c r="CM381" s="32"/>
      <c r="CN381" s="32"/>
      <c r="CO381" s="32"/>
      <c r="CP381" s="32"/>
      <c r="CQ381" s="32"/>
      <c r="CR381" s="32"/>
      <c r="CS381" s="32"/>
      <c r="CT381" s="32"/>
      <c r="CU381" s="32"/>
      <c r="CV381" s="32"/>
      <c r="CW381" s="32"/>
      <c r="CX381" s="32"/>
      <c r="CY381" s="32"/>
      <c r="CZ381" s="32"/>
      <c r="DA381" s="32"/>
      <c r="DB381" s="32"/>
      <c r="DC381" s="32"/>
      <c r="DD381" s="32"/>
      <c r="DE381" s="32"/>
      <c r="DF381" s="32"/>
      <c r="DG381" s="32"/>
      <c r="DH381" s="32"/>
      <c r="DI381" s="32"/>
      <c r="DJ381" s="32"/>
      <c r="DK381" s="32"/>
      <c r="DL381" s="32"/>
      <c r="DM381" s="32"/>
      <c r="DN381" s="32"/>
      <c r="DO381" s="32"/>
      <c r="DP381" s="32"/>
      <c r="DQ381" s="32"/>
      <c r="DR381" s="32"/>
      <c r="DS381" s="32"/>
      <c r="DT381" s="32"/>
      <c r="DU381" s="32"/>
      <c r="DV381" s="32"/>
      <c r="DW381" s="32"/>
      <c r="DX381" s="32"/>
      <c r="DY381" s="32"/>
      <c r="DZ381" s="32"/>
      <c r="EA381" s="32"/>
      <c r="EB381" s="32"/>
      <c r="EC381" s="32"/>
      <c r="ED381" s="32"/>
      <c r="EE381" s="32"/>
      <c r="EF381" s="32"/>
      <c r="EG381" s="32"/>
      <c r="EH381" s="32"/>
      <c r="EI381" s="32"/>
      <c r="EJ381" s="32"/>
      <c r="EK381" s="32"/>
    </row>
    <row r="382" spans="42:141">
      <c r="AP382" s="32"/>
      <c r="AQ382" s="32"/>
      <c r="AR382" s="32"/>
      <c r="AS382" s="32"/>
      <c r="AT382" s="32"/>
      <c r="AU382" s="32"/>
      <c r="AV382" s="32"/>
      <c r="AW382" s="32"/>
      <c r="AX382" s="32"/>
      <c r="AY382" s="32"/>
      <c r="AZ382" s="32"/>
      <c r="BA382" s="32"/>
      <c r="BB382" s="32"/>
      <c r="BC382" s="32"/>
      <c r="BD382" s="32"/>
      <c r="BE382" s="32"/>
      <c r="BF382" s="32"/>
      <c r="BG382" s="32"/>
      <c r="BH382" s="32"/>
      <c r="BI382" s="32"/>
      <c r="BJ382" s="32"/>
      <c r="BK382" s="32"/>
      <c r="BL382" s="32"/>
      <c r="BM382" s="32"/>
      <c r="BN382" s="32"/>
      <c r="BO382" s="32"/>
      <c r="BP382" s="32"/>
      <c r="BQ382" s="32"/>
      <c r="BR382" s="32"/>
      <c r="BS382" s="32"/>
      <c r="BT382" s="32"/>
      <c r="BU382" s="32"/>
      <c r="BV382" s="32"/>
      <c r="BW382" s="32"/>
      <c r="BX382" s="32"/>
      <c r="BY382" s="32"/>
      <c r="BZ382" s="32"/>
      <c r="CA382" s="32"/>
      <c r="CB382" s="32"/>
      <c r="CC382" s="32"/>
      <c r="CD382" s="32"/>
      <c r="CE382" s="32"/>
      <c r="CF382" s="32"/>
      <c r="CG382" s="32"/>
      <c r="CH382" s="32"/>
      <c r="CI382" s="32"/>
      <c r="CJ382" s="32"/>
      <c r="CK382" s="32"/>
      <c r="CL382" s="32"/>
      <c r="CM382" s="32"/>
      <c r="CN382" s="32"/>
      <c r="CO382" s="32"/>
      <c r="CP382" s="32"/>
      <c r="CQ382" s="32"/>
      <c r="CR382" s="32"/>
      <c r="CS382" s="32"/>
      <c r="CT382" s="32"/>
      <c r="CU382" s="32"/>
      <c r="CV382" s="32"/>
      <c r="CW382" s="32"/>
      <c r="CX382" s="32"/>
      <c r="CY382" s="32"/>
      <c r="CZ382" s="32"/>
      <c r="DA382" s="32"/>
      <c r="DB382" s="32"/>
      <c r="DC382" s="32"/>
      <c r="DD382" s="32"/>
      <c r="DE382" s="32"/>
      <c r="DF382" s="32"/>
      <c r="DG382" s="32"/>
      <c r="DH382" s="32"/>
      <c r="DI382" s="32"/>
      <c r="DJ382" s="32"/>
      <c r="DK382" s="32"/>
      <c r="DL382" s="32"/>
      <c r="DM382" s="32"/>
      <c r="DN382" s="32"/>
      <c r="DO382" s="32"/>
      <c r="DP382" s="32"/>
      <c r="DQ382" s="32"/>
      <c r="DR382" s="32"/>
      <c r="DS382" s="32"/>
      <c r="DT382" s="32"/>
      <c r="DU382" s="32"/>
      <c r="DV382" s="32"/>
      <c r="DW382" s="32"/>
      <c r="DX382" s="32"/>
      <c r="DY382" s="32"/>
      <c r="DZ382" s="32"/>
      <c r="EA382" s="32"/>
      <c r="EB382" s="32"/>
      <c r="EC382" s="32"/>
      <c r="ED382" s="32"/>
      <c r="EE382" s="32"/>
      <c r="EF382" s="32"/>
      <c r="EG382" s="32"/>
      <c r="EH382" s="32"/>
      <c r="EI382" s="32"/>
      <c r="EJ382" s="32"/>
      <c r="EK382" s="32"/>
    </row>
    <row r="383" spans="42:141">
      <c r="AP383" s="32"/>
      <c r="AQ383" s="32"/>
      <c r="AR383" s="32"/>
      <c r="AS383" s="32"/>
      <c r="AT383" s="32"/>
      <c r="AU383" s="32"/>
      <c r="AV383" s="32"/>
      <c r="AW383" s="32"/>
      <c r="AX383" s="32"/>
      <c r="AY383" s="32"/>
      <c r="AZ383" s="32"/>
      <c r="BA383" s="32"/>
      <c r="BB383" s="32"/>
      <c r="BC383" s="32"/>
      <c r="BD383" s="32"/>
      <c r="BE383" s="32"/>
      <c r="BF383" s="32"/>
      <c r="BG383" s="32"/>
      <c r="BH383" s="32"/>
      <c r="BI383" s="32"/>
      <c r="BJ383" s="32"/>
      <c r="BK383" s="32"/>
      <c r="BL383" s="32"/>
      <c r="BM383" s="32"/>
      <c r="BN383" s="32"/>
      <c r="BO383" s="32"/>
      <c r="BP383" s="32"/>
      <c r="BQ383" s="32"/>
      <c r="BR383" s="32"/>
      <c r="BS383" s="32"/>
      <c r="BT383" s="32"/>
      <c r="BU383" s="32"/>
      <c r="BV383" s="32"/>
      <c r="BW383" s="32"/>
      <c r="BX383" s="32"/>
      <c r="BY383" s="32"/>
      <c r="BZ383" s="32"/>
      <c r="CA383" s="32"/>
      <c r="CB383" s="32"/>
      <c r="CC383" s="32"/>
      <c r="CD383" s="32"/>
      <c r="CE383" s="32"/>
      <c r="CF383" s="32"/>
      <c r="CG383" s="32"/>
      <c r="CH383" s="32"/>
      <c r="CI383" s="32"/>
      <c r="CJ383" s="32"/>
      <c r="CK383" s="32"/>
      <c r="CL383" s="32"/>
      <c r="CM383" s="32"/>
      <c r="CN383" s="32"/>
      <c r="CO383" s="32"/>
      <c r="CP383" s="32"/>
      <c r="CQ383" s="32"/>
      <c r="CR383" s="32"/>
      <c r="CS383" s="32"/>
      <c r="CT383" s="32"/>
      <c r="CU383" s="32"/>
      <c r="CV383" s="32"/>
      <c r="CW383" s="32"/>
      <c r="CX383" s="32"/>
      <c r="CY383" s="32"/>
      <c r="CZ383" s="32"/>
      <c r="DA383" s="32"/>
      <c r="DB383" s="32"/>
      <c r="DC383" s="32"/>
      <c r="DD383" s="32"/>
      <c r="DE383" s="32"/>
      <c r="DF383" s="32"/>
      <c r="DG383" s="32"/>
      <c r="DH383" s="32"/>
      <c r="DI383" s="32"/>
      <c r="DJ383" s="32"/>
      <c r="DK383" s="32"/>
      <c r="DL383" s="32"/>
      <c r="DM383" s="32"/>
      <c r="DN383" s="32"/>
      <c r="DO383" s="32"/>
      <c r="DP383" s="32"/>
      <c r="DQ383" s="32"/>
      <c r="DR383" s="32"/>
      <c r="DS383" s="32"/>
      <c r="DT383" s="32"/>
      <c r="DU383" s="32"/>
      <c r="DV383" s="32"/>
      <c r="DW383" s="32"/>
      <c r="DX383" s="32"/>
      <c r="DY383" s="32"/>
      <c r="DZ383" s="32"/>
      <c r="EA383" s="32"/>
      <c r="EB383" s="32"/>
      <c r="EC383" s="32"/>
      <c r="ED383" s="32"/>
      <c r="EE383" s="32"/>
      <c r="EF383" s="32"/>
      <c r="EG383" s="32"/>
      <c r="EH383" s="32"/>
      <c r="EI383" s="32"/>
      <c r="EJ383" s="32"/>
      <c r="EK383" s="32"/>
    </row>
    <row r="384" spans="42:141">
      <c r="AP384" s="32"/>
      <c r="AQ384" s="32"/>
      <c r="AR384" s="32"/>
      <c r="AS384" s="32"/>
      <c r="AT384" s="32"/>
      <c r="AU384" s="32"/>
      <c r="AV384" s="32"/>
      <c r="AW384" s="32"/>
      <c r="AX384" s="32"/>
      <c r="AY384" s="32"/>
      <c r="AZ384" s="32"/>
      <c r="BA384" s="32"/>
      <c r="BB384" s="32"/>
      <c r="BC384" s="32"/>
      <c r="BD384" s="32"/>
      <c r="BE384" s="32"/>
      <c r="BF384" s="32"/>
      <c r="BG384" s="32"/>
      <c r="BH384" s="32"/>
      <c r="BI384" s="32"/>
      <c r="BJ384" s="32"/>
      <c r="BK384" s="32"/>
      <c r="BL384" s="32"/>
      <c r="BM384" s="32"/>
      <c r="BN384" s="32"/>
      <c r="BO384" s="32"/>
      <c r="BP384" s="32"/>
      <c r="BQ384" s="32"/>
      <c r="BR384" s="32"/>
      <c r="BS384" s="32"/>
      <c r="BT384" s="32"/>
      <c r="BU384" s="32"/>
      <c r="BV384" s="32"/>
      <c r="BW384" s="32"/>
      <c r="BX384" s="32"/>
      <c r="BY384" s="32"/>
      <c r="BZ384" s="32"/>
      <c r="CA384" s="32"/>
      <c r="CB384" s="32"/>
      <c r="CC384" s="32"/>
      <c r="CD384" s="32"/>
      <c r="CE384" s="32"/>
      <c r="CF384" s="32"/>
      <c r="CG384" s="32"/>
      <c r="CH384" s="32"/>
      <c r="CI384" s="32"/>
      <c r="CJ384" s="32"/>
      <c r="CK384" s="32"/>
      <c r="CL384" s="32"/>
      <c r="CM384" s="32"/>
      <c r="CN384" s="32"/>
      <c r="CO384" s="32"/>
      <c r="CP384" s="32"/>
      <c r="CQ384" s="32"/>
      <c r="CR384" s="32"/>
      <c r="CS384" s="32"/>
      <c r="CT384" s="32"/>
      <c r="CU384" s="32"/>
      <c r="CV384" s="32"/>
      <c r="CW384" s="32"/>
      <c r="CX384" s="32"/>
      <c r="CY384" s="32"/>
      <c r="CZ384" s="32"/>
      <c r="DA384" s="32"/>
      <c r="DB384" s="32"/>
      <c r="DC384" s="32"/>
      <c r="DD384" s="32"/>
      <c r="DE384" s="32"/>
      <c r="DF384" s="32"/>
      <c r="DG384" s="32"/>
      <c r="DH384" s="32"/>
      <c r="DI384" s="32"/>
      <c r="DJ384" s="32"/>
      <c r="DK384" s="32"/>
      <c r="DL384" s="32"/>
      <c r="DM384" s="32"/>
      <c r="DN384" s="32"/>
      <c r="DO384" s="32"/>
      <c r="DP384" s="32"/>
      <c r="DQ384" s="32"/>
      <c r="DR384" s="32"/>
      <c r="DS384" s="32"/>
      <c r="DT384" s="32"/>
      <c r="DU384" s="32"/>
      <c r="DV384" s="32"/>
      <c r="DW384" s="32"/>
      <c r="DX384" s="32"/>
      <c r="DY384" s="32"/>
      <c r="DZ384" s="32"/>
      <c r="EA384" s="32"/>
      <c r="EB384" s="32"/>
      <c r="EC384" s="32"/>
      <c r="ED384" s="32"/>
      <c r="EE384" s="32"/>
      <c r="EF384" s="32"/>
      <c r="EG384" s="32"/>
      <c r="EH384" s="32"/>
      <c r="EI384" s="32"/>
      <c r="EJ384" s="32"/>
      <c r="EK384" s="32"/>
    </row>
    <row r="385" spans="42:141">
      <c r="AP385" s="32"/>
      <c r="AQ385" s="32"/>
      <c r="AR385" s="32"/>
      <c r="AS385" s="32"/>
      <c r="AT385" s="32"/>
      <c r="AU385" s="32"/>
      <c r="AV385" s="32"/>
      <c r="AW385" s="32"/>
      <c r="AX385" s="32"/>
      <c r="AY385" s="32"/>
      <c r="AZ385" s="32"/>
      <c r="BA385" s="32"/>
      <c r="BB385" s="32"/>
      <c r="BC385" s="32"/>
      <c r="BD385" s="32"/>
      <c r="BE385" s="32"/>
      <c r="BF385" s="32"/>
      <c r="BG385" s="32"/>
      <c r="BH385" s="32"/>
      <c r="BI385" s="32"/>
      <c r="BJ385" s="32"/>
      <c r="BK385" s="32"/>
      <c r="BL385" s="32"/>
      <c r="BM385" s="32"/>
      <c r="BN385" s="32"/>
      <c r="BO385" s="32"/>
      <c r="BP385" s="32"/>
      <c r="BQ385" s="32"/>
      <c r="BR385" s="32"/>
      <c r="BS385" s="32"/>
      <c r="BT385" s="32"/>
      <c r="BU385" s="32"/>
      <c r="BV385" s="32"/>
      <c r="BW385" s="32"/>
      <c r="BX385" s="32"/>
      <c r="BY385" s="32"/>
      <c r="BZ385" s="32"/>
      <c r="CA385" s="32"/>
      <c r="CB385" s="32"/>
      <c r="CC385" s="32"/>
      <c r="CD385" s="32"/>
      <c r="CE385" s="32"/>
      <c r="CF385" s="32"/>
      <c r="CG385" s="32"/>
      <c r="CH385" s="32"/>
      <c r="CI385" s="32"/>
      <c r="CJ385" s="32"/>
      <c r="CK385" s="32"/>
      <c r="CL385" s="32"/>
      <c r="CM385" s="32"/>
      <c r="CN385" s="32"/>
      <c r="CO385" s="32"/>
      <c r="CP385" s="32"/>
      <c r="CQ385" s="32"/>
      <c r="CR385" s="32"/>
      <c r="CS385" s="32"/>
      <c r="CT385" s="32"/>
      <c r="CU385" s="32"/>
      <c r="CV385" s="32"/>
      <c r="CW385" s="32"/>
      <c r="CX385" s="32"/>
      <c r="CY385" s="32"/>
      <c r="CZ385" s="32"/>
      <c r="DA385" s="32"/>
      <c r="DB385" s="32"/>
      <c r="DC385" s="32"/>
      <c r="DD385" s="32"/>
      <c r="DE385" s="32"/>
      <c r="DF385" s="32"/>
      <c r="DG385" s="32"/>
      <c r="DH385" s="32"/>
      <c r="DI385" s="32"/>
      <c r="DJ385" s="32"/>
      <c r="DK385" s="32"/>
      <c r="DL385" s="32"/>
      <c r="DM385" s="32"/>
      <c r="DN385" s="32"/>
      <c r="DO385" s="32"/>
      <c r="DP385" s="32"/>
      <c r="DQ385" s="32"/>
      <c r="DR385" s="32"/>
      <c r="DS385" s="32"/>
      <c r="DT385" s="32"/>
      <c r="DU385" s="32"/>
      <c r="DV385" s="32"/>
      <c r="DW385" s="32"/>
      <c r="DX385" s="32"/>
      <c r="DY385" s="32"/>
      <c r="DZ385" s="32"/>
      <c r="EA385" s="32"/>
      <c r="EB385" s="32"/>
      <c r="EC385" s="32"/>
      <c r="ED385" s="32"/>
      <c r="EE385" s="32"/>
      <c r="EF385" s="32"/>
      <c r="EG385" s="32"/>
      <c r="EH385" s="32"/>
      <c r="EI385" s="32"/>
      <c r="EJ385" s="32"/>
      <c r="EK385" s="32"/>
    </row>
    <row r="386" spans="42:141">
      <c r="AP386" s="32"/>
      <c r="AQ386" s="32"/>
      <c r="AR386" s="32"/>
      <c r="AS386" s="32"/>
      <c r="AT386" s="32"/>
      <c r="AU386" s="32"/>
      <c r="AV386" s="32"/>
      <c r="AW386" s="32"/>
      <c r="AX386" s="32"/>
      <c r="AY386" s="32"/>
      <c r="AZ386" s="32"/>
      <c r="BA386" s="32"/>
      <c r="BB386" s="32"/>
      <c r="BC386" s="32"/>
      <c r="BD386" s="32"/>
      <c r="BE386" s="32"/>
      <c r="BF386" s="32"/>
      <c r="BG386" s="32"/>
      <c r="BH386" s="32"/>
      <c r="BI386" s="32"/>
      <c r="BJ386" s="32"/>
      <c r="BK386" s="32"/>
      <c r="BL386" s="32"/>
      <c r="BM386" s="32"/>
      <c r="BN386" s="32"/>
      <c r="BO386" s="32"/>
      <c r="BP386" s="32"/>
      <c r="BQ386" s="32"/>
      <c r="BR386" s="32"/>
      <c r="BS386" s="32"/>
      <c r="BT386" s="32"/>
      <c r="BU386" s="32"/>
      <c r="BV386" s="32"/>
      <c r="BW386" s="32"/>
      <c r="BX386" s="32"/>
      <c r="BY386" s="32"/>
      <c r="BZ386" s="32"/>
      <c r="CA386" s="32"/>
      <c r="CB386" s="32"/>
      <c r="CC386" s="32"/>
      <c r="CD386" s="32"/>
      <c r="CE386" s="32"/>
      <c r="CF386" s="32"/>
      <c r="CG386" s="32"/>
      <c r="CH386" s="32"/>
      <c r="CI386" s="32"/>
      <c r="CJ386" s="32"/>
      <c r="CK386" s="32"/>
      <c r="CL386" s="32"/>
      <c r="CM386" s="32"/>
      <c r="CN386" s="32"/>
      <c r="CO386" s="32"/>
      <c r="CP386" s="32"/>
      <c r="CQ386" s="32"/>
      <c r="CR386" s="32"/>
      <c r="CS386" s="32"/>
      <c r="CT386" s="32"/>
      <c r="CU386" s="32"/>
      <c r="CV386" s="32"/>
      <c r="CW386" s="32"/>
      <c r="CX386" s="32"/>
      <c r="CY386" s="32"/>
      <c r="CZ386" s="32"/>
      <c r="DA386" s="32"/>
      <c r="DB386" s="32"/>
      <c r="DC386" s="32"/>
      <c r="DD386" s="32"/>
      <c r="DE386" s="32"/>
      <c r="DF386" s="32"/>
      <c r="DG386" s="32"/>
      <c r="DH386" s="32"/>
      <c r="DI386" s="32"/>
      <c r="DJ386" s="32"/>
      <c r="DK386" s="32"/>
      <c r="DL386" s="32"/>
      <c r="DM386" s="32"/>
      <c r="DN386" s="32"/>
      <c r="DO386" s="32"/>
      <c r="DP386" s="32"/>
      <c r="DQ386" s="32"/>
      <c r="DR386" s="32"/>
      <c r="DS386" s="32"/>
      <c r="DT386" s="32"/>
      <c r="DU386" s="32"/>
      <c r="DV386" s="32"/>
      <c r="DW386" s="32"/>
      <c r="DX386" s="32"/>
      <c r="DY386" s="32"/>
      <c r="DZ386" s="32"/>
      <c r="EA386" s="32"/>
      <c r="EB386" s="32"/>
      <c r="EC386" s="32"/>
      <c r="ED386" s="32"/>
      <c r="EE386" s="32"/>
      <c r="EF386" s="32"/>
      <c r="EG386" s="32"/>
      <c r="EH386" s="32"/>
      <c r="EI386" s="32"/>
      <c r="EJ386" s="32"/>
      <c r="EK386" s="32"/>
    </row>
    <row r="387" spans="42:141">
      <c r="AP387" s="32"/>
      <c r="AQ387" s="32"/>
      <c r="AR387" s="32"/>
      <c r="AS387" s="32"/>
      <c r="AT387" s="32"/>
      <c r="AU387" s="32"/>
      <c r="AV387" s="32"/>
      <c r="AW387" s="32"/>
      <c r="AX387" s="32"/>
      <c r="AY387" s="32"/>
      <c r="AZ387" s="32"/>
      <c r="BA387" s="32"/>
      <c r="BB387" s="32"/>
      <c r="BC387" s="32"/>
      <c r="BD387" s="32"/>
      <c r="BE387" s="32"/>
      <c r="BF387" s="32"/>
      <c r="BG387" s="32"/>
      <c r="BH387" s="32"/>
      <c r="BI387" s="32"/>
      <c r="BJ387" s="32"/>
      <c r="BK387" s="32"/>
      <c r="BL387" s="32"/>
      <c r="BM387" s="32"/>
      <c r="BN387" s="32"/>
      <c r="BO387" s="32"/>
      <c r="BP387" s="32"/>
      <c r="BQ387" s="32"/>
      <c r="BR387" s="32"/>
      <c r="BS387" s="32"/>
      <c r="BT387" s="32"/>
      <c r="BU387" s="32"/>
      <c r="BV387" s="32"/>
      <c r="BW387" s="32"/>
      <c r="BX387" s="32"/>
      <c r="BY387" s="32"/>
      <c r="BZ387" s="32"/>
      <c r="CA387" s="32"/>
      <c r="CB387" s="32"/>
      <c r="CC387" s="32"/>
      <c r="CD387" s="32"/>
      <c r="CE387" s="32"/>
      <c r="CF387" s="32"/>
      <c r="CG387" s="32"/>
      <c r="CH387" s="32"/>
      <c r="CI387" s="32"/>
      <c r="CJ387" s="32"/>
      <c r="CK387" s="32"/>
      <c r="CL387" s="32"/>
      <c r="CM387" s="32"/>
      <c r="CN387" s="32"/>
      <c r="CO387" s="32"/>
      <c r="CP387" s="32"/>
      <c r="CQ387" s="32"/>
      <c r="CR387" s="32"/>
      <c r="CS387" s="32"/>
      <c r="CT387" s="32"/>
      <c r="CU387" s="32"/>
      <c r="CV387" s="32"/>
      <c r="CW387" s="32"/>
      <c r="CX387" s="32"/>
      <c r="CY387" s="32"/>
      <c r="CZ387" s="32"/>
      <c r="DA387" s="32"/>
      <c r="DB387" s="32"/>
      <c r="DC387" s="32"/>
      <c r="DD387" s="32"/>
      <c r="DE387" s="32"/>
      <c r="DF387" s="32"/>
      <c r="DG387" s="32"/>
      <c r="DH387" s="32"/>
      <c r="DI387" s="32"/>
      <c r="DJ387" s="32"/>
      <c r="DK387" s="32"/>
      <c r="DL387" s="32"/>
      <c r="DM387" s="32"/>
      <c r="DN387" s="32"/>
      <c r="DO387" s="32"/>
      <c r="DP387" s="32"/>
      <c r="DQ387" s="32"/>
      <c r="DR387" s="32"/>
      <c r="DS387" s="32"/>
      <c r="DT387" s="32"/>
      <c r="DU387" s="32"/>
      <c r="DV387" s="32"/>
      <c r="DW387" s="32"/>
      <c r="DX387" s="32"/>
      <c r="DY387" s="32"/>
      <c r="DZ387" s="32"/>
      <c r="EA387" s="32"/>
      <c r="EB387" s="32"/>
      <c r="EC387" s="32"/>
      <c r="ED387" s="32"/>
      <c r="EE387" s="32"/>
      <c r="EF387" s="32"/>
      <c r="EG387" s="32"/>
      <c r="EH387" s="32"/>
      <c r="EI387" s="32"/>
      <c r="EJ387" s="32"/>
      <c r="EK387" s="32"/>
    </row>
    <row r="388" spans="42:141">
      <c r="AP388" s="32"/>
      <c r="AQ388" s="32"/>
      <c r="AR388" s="32"/>
      <c r="AS388" s="32"/>
      <c r="AT388" s="32"/>
      <c r="AU388" s="32"/>
      <c r="AV388" s="32"/>
      <c r="AW388" s="32"/>
      <c r="AX388" s="32"/>
      <c r="AY388" s="32"/>
      <c r="AZ388" s="32"/>
      <c r="BA388" s="32"/>
      <c r="BB388" s="32"/>
      <c r="BC388" s="32"/>
      <c r="BD388" s="32"/>
      <c r="BE388" s="32"/>
      <c r="BF388" s="32"/>
      <c r="BG388" s="32"/>
      <c r="BH388" s="32"/>
      <c r="BI388" s="32"/>
      <c r="BJ388" s="32"/>
      <c r="BK388" s="32"/>
      <c r="BL388" s="32"/>
      <c r="BM388" s="32"/>
      <c r="BN388" s="32"/>
      <c r="BO388" s="32"/>
      <c r="BP388" s="32"/>
      <c r="BQ388" s="32"/>
      <c r="BR388" s="32"/>
      <c r="BS388" s="32"/>
      <c r="BT388" s="32"/>
      <c r="BU388" s="32"/>
      <c r="BV388" s="32"/>
      <c r="BW388" s="32"/>
      <c r="BX388" s="32"/>
      <c r="BY388" s="32"/>
      <c r="BZ388" s="32"/>
      <c r="CA388" s="32"/>
      <c r="CB388" s="32"/>
      <c r="CC388" s="32"/>
      <c r="CD388" s="32"/>
      <c r="CE388" s="32"/>
      <c r="CF388" s="32"/>
      <c r="CG388" s="32"/>
      <c r="CH388" s="32"/>
      <c r="CI388" s="32"/>
      <c r="CJ388" s="32"/>
      <c r="CK388" s="32"/>
      <c r="CL388" s="32"/>
      <c r="CM388" s="32"/>
      <c r="CN388" s="32"/>
      <c r="CO388" s="32"/>
      <c r="CP388" s="32"/>
      <c r="CQ388" s="32"/>
      <c r="CR388" s="32"/>
      <c r="CS388" s="32"/>
      <c r="CT388" s="32"/>
      <c r="CU388" s="32"/>
      <c r="CV388" s="32"/>
      <c r="CW388" s="32"/>
      <c r="CX388" s="32"/>
      <c r="CY388" s="32"/>
      <c r="CZ388" s="32"/>
      <c r="DA388" s="32"/>
      <c r="DB388" s="32"/>
      <c r="DC388" s="32"/>
      <c r="DD388" s="32"/>
      <c r="DE388" s="32"/>
      <c r="DF388" s="32"/>
      <c r="DG388" s="32"/>
      <c r="DH388" s="32"/>
      <c r="DI388" s="32"/>
      <c r="DJ388" s="32"/>
      <c r="DK388" s="32"/>
      <c r="DL388" s="32"/>
      <c r="DM388" s="32"/>
      <c r="DN388" s="32"/>
      <c r="DO388" s="32"/>
      <c r="DP388" s="32"/>
      <c r="DQ388" s="32"/>
      <c r="DR388" s="32"/>
      <c r="DS388" s="32"/>
      <c r="DT388" s="32"/>
      <c r="DU388" s="32"/>
      <c r="DV388" s="32"/>
      <c r="DW388" s="32"/>
      <c r="DX388" s="32"/>
      <c r="DY388" s="32"/>
      <c r="DZ388" s="32"/>
      <c r="EA388" s="32"/>
      <c r="EB388" s="32"/>
      <c r="EC388" s="32"/>
      <c r="ED388" s="32"/>
      <c r="EE388" s="32"/>
      <c r="EF388" s="32"/>
      <c r="EG388" s="32"/>
      <c r="EH388" s="32"/>
      <c r="EI388" s="32"/>
      <c r="EJ388" s="32"/>
      <c r="EK388" s="32"/>
    </row>
    <row r="389" spans="42:141">
      <c r="AP389" s="32"/>
      <c r="AQ389" s="32"/>
      <c r="AR389" s="32"/>
      <c r="AS389" s="32"/>
      <c r="AT389" s="32"/>
      <c r="AU389" s="32"/>
      <c r="AV389" s="32"/>
      <c r="AW389" s="32"/>
      <c r="AX389" s="32"/>
      <c r="AY389" s="32"/>
      <c r="AZ389" s="32"/>
      <c r="BA389" s="32"/>
      <c r="BB389" s="32"/>
      <c r="BC389" s="32"/>
      <c r="BD389" s="32"/>
      <c r="BE389" s="32"/>
      <c r="BF389" s="32"/>
      <c r="BG389" s="32"/>
      <c r="BH389" s="32"/>
      <c r="BI389" s="32"/>
      <c r="BJ389" s="32"/>
      <c r="BK389" s="32"/>
      <c r="BL389" s="32"/>
      <c r="BM389" s="32"/>
      <c r="BN389" s="32"/>
      <c r="BO389" s="32"/>
      <c r="BP389" s="32"/>
      <c r="BQ389" s="32"/>
      <c r="BR389" s="32"/>
      <c r="BS389" s="32"/>
      <c r="BT389" s="32"/>
      <c r="BU389" s="32"/>
      <c r="BV389" s="32"/>
      <c r="BW389" s="32"/>
      <c r="BX389" s="32"/>
      <c r="BY389" s="32"/>
      <c r="BZ389" s="32"/>
      <c r="CA389" s="32"/>
      <c r="CB389" s="32"/>
      <c r="CC389" s="32"/>
      <c r="CD389" s="32"/>
      <c r="CE389" s="32"/>
      <c r="CF389" s="32"/>
      <c r="CG389" s="32"/>
      <c r="CH389" s="32"/>
      <c r="CI389" s="32"/>
      <c r="CJ389" s="32"/>
      <c r="CK389" s="32"/>
      <c r="CL389" s="32"/>
      <c r="CM389" s="32"/>
      <c r="CN389" s="32"/>
      <c r="CO389" s="32"/>
      <c r="CP389" s="32"/>
      <c r="CQ389" s="32"/>
      <c r="CR389" s="32"/>
      <c r="CS389" s="32"/>
      <c r="CT389" s="32"/>
      <c r="CU389" s="32"/>
      <c r="CV389" s="32"/>
      <c r="CW389" s="32"/>
      <c r="CX389" s="32"/>
      <c r="CY389" s="32"/>
      <c r="CZ389" s="32"/>
      <c r="DA389" s="32"/>
      <c r="DB389" s="32"/>
      <c r="DC389" s="32"/>
      <c r="DD389" s="32"/>
      <c r="DE389" s="32"/>
      <c r="DF389" s="32"/>
      <c r="DG389" s="32"/>
      <c r="DH389" s="32"/>
      <c r="DI389" s="32"/>
      <c r="DJ389" s="32"/>
      <c r="DK389" s="32"/>
      <c r="DL389" s="32"/>
      <c r="DM389" s="32"/>
      <c r="DN389" s="32"/>
      <c r="DO389" s="32"/>
      <c r="DP389" s="32"/>
      <c r="DQ389" s="32"/>
      <c r="DR389" s="32"/>
      <c r="DS389" s="32"/>
      <c r="DT389" s="32"/>
      <c r="DU389" s="32"/>
      <c r="DV389" s="32"/>
      <c r="DW389" s="32"/>
      <c r="DX389" s="32"/>
      <c r="DY389" s="32"/>
      <c r="DZ389" s="32"/>
      <c r="EA389" s="32"/>
      <c r="EB389" s="32"/>
      <c r="EC389" s="32"/>
      <c r="ED389" s="32"/>
      <c r="EE389" s="32"/>
      <c r="EF389" s="32"/>
      <c r="EG389" s="32"/>
      <c r="EH389" s="32"/>
      <c r="EI389" s="32"/>
      <c r="EJ389" s="32"/>
      <c r="EK389" s="32"/>
    </row>
    <row r="390" spans="42:141">
      <c r="AP390" s="32"/>
      <c r="AQ390" s="32"/>
      <c r="AR390" s="32"/>
      <c r="AS390" s="32"/>
      <c r="AT390" s="32"/>
      <c r="AU390" s="32"/>
      <c r="AV390" s="32"/>
      <c r="AW390" s="32"/>
      <c r="AX390" s="32"/>
      <c r="AY390" s="32"/>
      <c r="AZ390" s="32"/>
      <c r="BA390" s="32"/>
      <c r="BB390" s="32"/>
      <c r="BC390" s="32"/>
      <c r="BD390" s="32"/>
      <c r="BE390" s="32"/>
      <c r="BF390" s="32"/>
      <c r="BG390" s="32"/>
      <c r="BH390" s="32"/>
      <c r="BI390" s="32"/>
      <c r="BJ390" s="32"/>
      <c r="BK390" s="32"/>
      <c r="BL390" s="32"/>
      <c r="BM390" s="32"/>
      <c r="BN390" s="32"/>
      <c r="BO390" s="32"/>
      <c r="BP390" s="32"/>
      <c r="BQ390" s="32"/>
      <c r="BR390" s="32"/>
      <c r="BS390" s="32"/>
      <c r="BT390" s="32"/>
      <c r="BU390" s="32"/>
      <c r="BV390" s="32"/>
      <c r="BW390" s="32"/>
      <c r="BX390" s="32"/>
      <c r="BY390" s="32"/>
      <c r="BZ390" s="32"/>
      <c r="CA390" s="32"/>
      <c r="CB390" s="32"/>
      <c r="CC390" s="32"/>
      <c r="CD390" s="32"/>
      <c r="CE390" s="32"/>
      <c r="CF390" s="32"/>
      <c r="CG390" s="32"/>
      <c r="CH390" s="32"/>
      <c r="CI390" s="32"/>
      <c r="CJ390" s="32"/>
      <c r="CK390" s="32"/>
      <c r="CL390" s="32"/>
      <c r="CM390" s="32"/>
      <c r="CN390" s="32"/>
      <c r="CO390" s="32"/>
      <c r="CP390" s="32"/>
      <c r="CQ390" s="32"/>
      <c r="CR390" s="32"/>
      <c r="CS390" s="32"/>
      <c r="CT390" s="32"/>
      <c r="CU390" s="32"/>
      <c r="CV390" s="32"/>
      <c r="CW390" s="32"/>
      <c r="CX390" s="32"/>
      <c r="CY390" s="32"/>
      <c r="CZ390" s="32"/>
      <c r="DA390" s="32"/>
      <c r="DB390" s="32"/>
      <c r="DC390" s="32"/>
      <c r="DD390" s="32"/>
      <c r="DE390" s="32"/>
      <c r="DF390" s="32"/>
      <c r="DG390" s="32"/>
      <c r="DH390" s="32"/>
      <c r="DI390" s="32"/>
      <c r="DJ390" s="32"/>
      <c r="DK390" s="32"/>
      <c r="DL390" s="32"/>
      <c r="DM390" s="32"/>
      <c r="DN390" s="32"/>
      <c r="DO390" s="32"/>
      <c r="DP390" s="32"/>
      <c r="DQ390" s="32"/>
      <c r="DR390" s="32"/>
      <c r="DS390" s="32"/>
      <c r="DT390" s="32"/>
      <c r="DU390" s="32"/>
      <c r="DV390" s="32"/>
      <c r="DW390" s="32"/>
      <c r="DX390" s="32"/>
      <c r="DY390" s="32"/>
      <c r="DZ390" s="32"/>
      <c r="EA390" s="32"/>
      <c r="EB390" s="32"/>
      <c r="EC390" s="32"/>
      <c r="ED390" s="32"/>
      <c r="EE390" s="32"/>
      <c r="EF390" s="32"/>
      <c r="EG390" s="32"/>
      <c r="EH390" s="32"/>
      <c r="EI390" s="32"/>
      <c r="EJ390" s="32"/>
      <c r="EK390" s="32"/>
    </row>
    <row r="391" spans="42:141">
      <c r="AP391" s="32"/>
      <c r="AQ391" s="32"/>
      <c r="AR391" s="32"/>
      <c r="AS391" s="32"/>
      <c r="AT391" s="32"/>
      <c r="AU391" s="32"/>
      <c r="AV391" s="32"/>
      <c r="AW391" s="32"/>
      <c r="AX391" s="32"/>
      <c r="AY391" s="32"/>
      <c r="AZ391" s="32"/>
      <c r="BA391" s="32"/>
      <c r="BB391" s="32"/>
      <c r="BC391" s="32"/>
      <c r="BD391" s="32"/>
      <c r="BE391" s="32"/>
      <c r="BF391" s="32"/>
      <c r="BG391" s="32"/>
      <c r="BH391" s="32"/>
      <c r="BI391" s="32"/>
      <c r="BJ391" s="32"/>
      <c r="BK391" s="32"/>
      <c r="BL391" s="32"/>
      <c r="BM391" s="32"/>
      <c r="BN391" s="32"/>
      <c r="BO391" s="32"/>
      <c r="BP391" s="32"/>
      <c r="BQ391" s="32"/>
      <c r="BR391" s="32"/>
      <c r="BS391" s="32"/>
      <c r="BT391" s="32"/>
      <c r="BU391" s="32"/>
      <c r="BV391" s="32"/>
      <c r="BW391" s="32"/>
      <c r="BX391" s="32"/>
      <c r="BY391" s="32"/>
      <c r="BZ391" s="32"/>
      <c r="CA391" s="32"/>
      <c r="CB391" s="32"/>
      <c r="CC391" s="32"/>
      <c r="CD391" s="32"/>
      <c r="CE391" s="32"/>
      <c r="CF391" s="32"/>
      <c r="CG391" s="32"/>
      <c r="CH391" s="32"/>
      <c r="CI391" s="32"/>
      <c r="CJ391" s="32"/>
      <c r="CK391" s="32"/>
      <c r="CL391" s="32"/>
      <c r="CM391" s="32"/>
      <c r="CN391" s="32"/>
      <c r="CO391" s="32"/>
      <c r="CP391" s="32"/>
      <c r="CQ391" s="32"/>
      <c r="CR391" s="32"/>
      <c r="CS391" s="32"/>
      <c r="CT391" s="32"/>
      <c r="CU391" s="32"/>
      <c r="CV391" s="32"/>
      <c r="CW391" s="32"/>
      <c r="CX391" s="32"/>
      <c r="CY391" s="32"/>
      <c r="CZ391" s="32"/>
      <c r="DA391" s="32"/>
      <c r="DB391" s="32"/>
      <c r="DC391" s="32"/>
      <c r="DD391" s="32"/>
      <c r="DE391" s="32"/>
      <c r="DF391" s="32"/>
      <c r="DG391" s="32"/>
      <c r="DH391" s="32"/>
      <c r="DI391" s="32"/>
      <c r="DJ391" s="32"/>
      <c r="DK391" s="32"/>
      <c r="DL391" s="32"/>
      <c r="DM391" s="32"/>
      <c r="DN391" s="32"/>
      <c r="DO391" s="32"/>
      <c r="DP391" s="32"/>
      <c r="DQ391" s="32"/>
      <c r="DR391" s="32"/>
      <c r="DS391" s="32"/>
      <c r="DT391" s="32"/>
      <c r="DU391" s="32"/>
      <c r="DV391" s="32"/>
      <c r="DW391" s="32"/>
      <c r="DX391" s="32"/>
      <c r="DY391" s="32"/>
      <c r="DZ391" s="32"/>
      <c r="EA391" s="32"/>
      <c r="EB391" s="32"/>
      <c r="EC391" s="32"/>
      <c r="ED391" s="32"/>
      <c r="EE391" s="32"/>
      <c r="EF391" s="32"/>
      <c r="EG391" s="32"/>
      <c r="EH391" s="32"/>
      <c r="EI391" s="32"/>
      <c r="EJ391" s="32"/>
      <c r="EK391" s="32"/>
    </row>
    <row r="392" spans="42:141">
      <c r="AP392" s="32"/>
      <c r="AQ392" s="32"/>
      <c r="AR392" s="32"/>
      <c r="AS392" s="32"/>
      <c r="AT392" s="32"/>
      <c r="AU392" s="32"/>
      <c r="AV392" s="32"/>
      <c r="AW392" s="32"/>
      <c r="AX392" s="32"/>
      <c r="AY392" s="32"/>
      <c r="AZ392" s="32"/>
      <c r="BA392" s="32"/>
      <c r="BB392" s="32"/>
      <c r="BC392" s="32"/>
      <c r="BD392" s="32"/>
      <c r="BE392" s="32"/>
      <c r="BF392" s="32"/>
      <c r="BG392" s="32"/>
      <c r="BH392" s="32"/>
      <c r="BI392" s="32"/>
      <c r="BJ392" s="32"/>
      <c r="BK392" s="32"/>
      <c r="BL392" s="32"/>
      <c r="BM392" s="32"/>
      <c r="BN392" s="32"/>
      <c r="BO392" s="32"/>
      <c r="BP392" s="32"/>
      <c r="BQ392" s="32"/>
      <c r="BR392" s="32"/>
      <c r="BS392" s="32"/>
      <c r="BT392" s="32"/>
      <c r="BU392" s="32"/>
      <c r="BV392" s="32"/>
      <c r="BW392" s="32"/>
      <c r="BX392" s="32"/>
      <c r="BY392" s="32"/>
      <c r="BZ392" s="32"/>
      <c r="CA392" s="32"/>
      <c r="CB392" s="32"/>
      <c r="CC392" s="32"/>
      <c r="CD392" s="32"/>
      <c r="CE392" s="32"/>
      <c r="CF392" s="32"/>
      <c r="CG392" s="32"/>
      <c r="CH392" s="32"/>
      <c r="CI392" s="32"/>
      <c r="CJ392" s="32"/>
      <c r="CK392" s="32"/>
      <c r="CL392" s="32"/>
      <c r="CM392" s="32"/>
      <c r="CN392" s="32"/>
      <c r="CO392" s="32"/>
      <c r="CP392" s="32"/>
      <c r="CQ392" s="32"/>
      <c r="CR392" s="32"/>
      <c r="CS392" s="32"/>
      <c r="CT392" s="32"/>
      <c r="CU392" s="32"/>
      <c r="CV392" s="32"/>
      <c r="CW392" s="32"/>
      <c r="CX392" s="32"/>
      <c r="CY392" s="32"/>
      <c r="CZ392" s="32"/>
      <c r="DA392" s="32"/>
      <c r="DB392" s="32"/>
      <c r="DC392" s="32"/>
      <c r="DD392" s="32"/>
      <c r="DE392" s="32"/>
      <c r="DF392" s="32"/>
      <c r="DG392" s="32"/>
      <c r="DH392" s="32"/>
      <c r="DI392" s="32"/>
      <c r="DJ392" s="32"/>
      <c r="DK392" s="32"/>
      <c r="DL392" s="32"/>
      <c r="DM392" s="32"/>
      <c r="DN392" s="32"/>
      <c r="DO392" s="32"/>
      <c r="DP392" s="32"/>
      <c r="DQ392" s="32"/>
      <c r="DR392" s="32"/>
      <c r="DS392" s="32"/>
      <c r="DT392" s="32"/>
      <c r="DU392" s="32"/>
      <c r="DV392" s="32"/>
      <c r="DW392" s="32"/>
      <c r="DX392" s="32"/>
      <c r="DY392" s="32"/>
      <c r="DZ392" s="32"/>
      <c r="EA392" s="32"/>
      <c r="EB392" s="32"/>
      <c r="EC392" s="32"/>
      <c r="ED392" s="32"/>
      <c r="EE392" s="32"/>
      <c r="EF392" s="32"/>
      <c r="EG392" s="32"/>
      <c r="EH392" s="32"/>
      <c r="EI392" s="32"/>
      <c r="EJ392" s="32"/>
      <c r="EK392" s="32"/>
    </row>
    <row r="393" spans="42:141">
      <c r="AP393" s="32"/>
      <c r="AQ393" s="32"/>
      <c r="AR393" s="32"/>
      <c r="AS393" s="32"/>
      <c r="AT393" s="32"/>
      <c r="AU393" s="32"/>
      <c r="AV393" s="32"/>
      <c r="AW393" s="32"/>
      <c r="AX393" s="32"/>
      <c r="AY393" s="32"/>
      <c r="AZ393" s="32"/>
      <c r="BA393" s="32"/>
      <c r="BB393" s="32"/>
      <c r="BC393" s="32"/>
      <c r="BD393" s="32"/>
      <c r="BE393" s="32"/>
      <c r="BF393" s="32"/>
      <c r="BG393" s="32"/>
      <c r="BH393" s="32"/>
      <c r="BI393" s="32"/>
      <c r="BJ393" s="32"/>
      <c r="BK393" s="32"/>
      <c r="BL393" s="32"/>
      <c r="BM393" s="32"/>
      <c r="BN393" s="32"/>
      <c r="BO393" s="32"/>
      <c r="BP393" s="32"/>
      <c r="BQ393" s="32"/>
      <c r="BR393" s="32"/>
      <c r="BS393" s="32"/>
      <c r="BT393" s="32"/>
      <c r="BU393" s="32"/>
      <c r="BV393" s="32"/>
      <c r="BW393" s="32"/>
      <c r="BX393" s="32"/>
      <c r="BY393" s="32"/>
      <c r="BZ393" s="32"/>
      <c r="CA393" s="32"/>
      <c r="CB393" s="32"/>
      <c r="CC393" s="32"/>
      <c r="CD393" s="32"/>
      <c r="CE393" s="32"/>
      <c r="CF393" s="32"/>
      <c r="CG393" s="32"/>
      <c r="CH393" s="32"/>
      <c r="CI393" s="32"/>
      <c r="CJ393" s="32"/>
      <c r="CK393" s="32"/>
      <c r="CL393" s="32"/>
      <c r="CM393" s="32"/>
      <c r="CN393" s="32"/>
      <c r="CO393" s="32"/>
      <c r="CP393" s="32"/>
      <c r="CQ393" s="32"/>
      <c r="CR393" s="32"/>
      <c r="CS393" s="32"/>
      <c r="CT393" s="32"/>
      <c r="CU393" s="32"/>
      <c r="CV393" s="32"/>
      <c r="CW393" s="32"/>
      <c r="CX393" s="32"/>
      <c r="CY393" s="32"/>
      <c r="CZ393" s="32"/>
      <c r="DA393" s="32"/>
      <c r="DB393" s="32"/>
      <c r="DC393" s="32"/>
      <c r="DD393" s="32"/>
      <c r="DE393" s="32"/>
      <c r="DF393" s="32"/>
      <c r="DG393" s="32"/>
      <c r="DH393" s="32"/>
      <c r="DI393" s="32"/>
      <c r="DJ393" s="32"/>
      <c r="DK393" s="32"/>
      <c r="DL393" s="32"/>
      <c r="DM393" s="32"/>
      <c r="DN393" s="32"/>
      <c r="DO393" s="32"/>
      <c r="DP393" s="32"/>
      <c r="DQ393" s="32"/>
      <c r="DR393" s="32"/>
      <c r="DS393" s="32"/>
      <c r="DT393" s="32"/>
      <c r="DU393" s="32"/>
      <c r="DV393" s="32"/>
      <c r="DW393" s="32"/>
      <c r="DX393" s="32"/>
      <c r="DY393" s="32"/>
      <c r="DZ393" s="32"/>
      <c r="EA393" s="32"/>
      <c r="EB393" s="32"/>
      <c r="EC393" s="32"/>
      <c r="ED393" s="32"/>
      <c r="EE393" s="32"/>
      <c r="EF393" s="32"/>
      <c r="EG393" s="32"/>
      <c r="EH393" s="32"/>
      <c r="EI393" s="32"/>
      <c r="EJ393" s="32"/>
      <c r="EK393" s="32"/>
    </row>
    <row r="394" spans="42:141">
      <c r="AP394" s="32"/>
      <c r="AQ394" s="32"/>
      <c r="AR394" s="32"/>
      <c r="AS394" s="32"/>
      <c r="AT394" s="32"/>
      <c r="AU394" s="32"/>
      <c r="AV394" s="32"/>
      <c r="AW394" s="32"/>
      <c r="AX394" s="32"/>
      <c r="AY394" s="32"/>
      <c r="AZ394" s="32"/>
      <c r="BA394" s="32"/>
      <c r="BB394" s="32"/>
      <c r="BC394" s="32"/>
      <c r="BD394" s="32"/>
      <c r="BE394" s="32"/>
      <c r="BF394" s="32"/>
      <c r="BG394" s="32"/>
      <c r="BH394" s="32"/>
      <c r="BI394" s="32"/>
      <c r="BJ394" s="32"/>
      <c r="BK394" s="32"/>
      <c r="BL394" s="32"/>
      <c r="BM394" s="32"/>
      <c r="BN394" s="32"/>
      <c r="BO394" s="32"/>
      <c r="BP394" s="32"/>
      <c r="BQ394" s="32"/>
      <c r="BR394" s="32"/>
      <c r="BS394" s="32"/>
      <c r="BT394" s="32"/>
      <c r="BU394" s="32"/>
      <c r="BV394" s="32"/>
      <c r="BW394" s="32"/>
      <c r="BX394" s="32"/>
      <c r="BY394" s="32"/>
      <c r="BZ394" s="32"/>
      <c r="CA394" s="32"/>
      <c r="CB394" s="32"/>
      <c r="CC394" s="32"/>
      <c r="CD394" s="32"/>
      <c r="CE394" s="32"/>
      <c r="CF394" s="32"/>
      <c r="CG394" s="32"/>
      <c r="CH394" s="32"/>
      <c r="CI394" s="32"/>
      <c r="CJ394" s="32"/>
      <c r="CK394" s="32"/>
      <c r="CL394" s="32"/>
      <c r="CM394" s="32"/>
      <c r="CN394" s="32"/>
      <c r="CO394" s="32"/>
      <c r="CP394" s="32"/>
      <c r="CQ394" s="32"/>
      <c r="CR394" s="32"/>
      <c r="CS394" s="32"/>
      <c r="CT394" s="32"/>
      <c r="CU394" s="32"/>
      <c r="CV394" s="32"/>
      <c r="CW394" s="32"/>
      <c r="CX394" s="32"/>
      <c r="CY394" s="32"/>
      <c r="CZ394" s="32"/>
      <c r="DA394" s="32"/>
      <c r="DB394" s="32"/>
      <c r="DC394" s="32"/>
      <c r="DD394" s="32"/>
      <c r="DE394" s="32"/>
      <c r="DF394" s="32"/>
      <c r="DG394" s="32"/>
      <c r="DH394" s="32"/>
      <c r="DI394" s="32"/>
      <c r="DJ394" s="32"/>
      <c r="DK394" s="32"/>
      <c r="DL394" s="32"/>
      <c r="DM394" s="32"/>
      <c r="DN394" s="32"/>
      <c r="DO394" s="32"/>
      <c r="DP394" s="32"/>
      <c r="DQ394" s="32"/>
      <c r="DR394" s="32"/>
      <c r="DS394" s="32"/>
      <c r="DT394" s="32"/>
      <c r="DU394" s="32"/>
      <c r="DV394" s="32"/>
      <c r="DW394" s="32"/>
      <c r="DX394" s="32"/>
      <c r="DY394" s="32"/>
      <c r="DZ394" s="32"/>
      <c r="EA394" s="32"/>
      <c r="EB394" s="32"/>
      <c r="EC394" s="32"/>
      <c r="ED394" s="32"/>
      <c r="EE394" s="32"/>
      <c r="EF394" s="32"/>
      <c r="EG394" s="32"/>
      <c r="EH394" s="32"/>
      <c r="EI394" s="32"/>
      <c r="EJ394" s="32"/>
      <c r="EK394" s="32"/>
    </row>
    <row r="395" spans="42:141">
      <c r="AP395" s="32"/>
      <c r="AQ395" s="32"/>
      <c r="AR395" s="32"/>
      <c r="AS395" s="32"/>
      <c r="AT395" s="32"/>
      <c r="AU395" s="32"/>
      <c r="AV395" s="32"/>
      <c r="AW395" s="32"/>
      <c r="AX395" s="32"/>
      <c r="AY395" s="32"/>
      <c r="AZ395" s="32"/>
      <c r="BA395" s="32"/>
      <c r="BB395" s="32"/>
      <c r="BC395" s="32"/>
      <c r="BD395" s="32"/>
      <c r="BE395" s="32"/>
      <c r="BF395" s="32"/>
      <c r="BG395" s="32"/>
      <c r="BH395" s="32"/>
      <c r="BI395" s="32"/>
      <c r="BJ395" s="32"/>
      <c r="BK395" s="32"/>
      <c r="BL395" s="32"/>
      <c r="BM395" s="32"/>
      <c r="BN395" s="32"/>
      <c r="BO395" s="32"/>
      <c r="BP395" s="32"/>
      <c r="BQ395" s="32"/>
      <c r="BR395" s="32"/>
      <c r="BS395" s="32"/>
      <c r="BT395" s="32"/>
      <c r="BU395" s="32"/>
      <c r="BV395" s="32"/>
      <c r="BW395" s="32"/>
      <c r="BX395" s="32"/>
      <c r="BY395" s="32"/>
      <c r="BZ395" s="32"/>
      <c r="CA395" s="32"/>
      <c r="CB395" s="32"/>
      <c r="CC395" s="32"/>
      <c r="CD395" s="32"/>
      <c r="CE395" s="32"/>
      <c r="CF395" s="32"/>
      <c r="CG395" s="32"/>
      <c r="CH395" s="32"/>
      <c r="CI395" s="32"/>
      <c r="CJ395" s="32"/>
      <c r="CK395" s="32"/>
      <c r="CL395" s="32"/>
      <c r="CM395" s="32"/>
      <c r="CN395" s="32"/>
      <c r="CO395" s="32"/>
      <c r="CP395" s="32"/>
      <c r="CQ395" s="32"/>
      <c r="CR395" s="32"/>
      <c r="CS395" s="32"/>
      <c r="CT395" s="32"/>
      <c r="CU395" s="32"/>
      <c r="CV395" s="32"/>
      <c r="CW395" s="32"/>
      <c r="CX395" s="32"/>
      <c r="CY395" s="32"/>
      <c r="CZ395" s="32"/>
      <c r="DA395" s="32"/>
      <c r="DB395" s="32"/>
      <c r="DC395" s="32"/>
      <c r="DD395" s="32"/>
      <c r="DE395" s="32"/>
      <c r="DF395" s="32"/>
      <c r="DG395" s="32"/>
      <c r="DH395" s="32"/>
      <c r="DI395" s="32"/>
      <c r="DJ395" s="32"/>
      <c r="DK395" s="32"/>
      <c r="DL395" s="32"/>
      <c r="DM395" s="32"/>
      <c r="DN395" s="32"/>
      <c r="DO395" s="32"/>
      <c r="DP395" s="32"/>
      <c r="DQ395" s="32"/>
      <c r="DR395" s="32"/>
      <c r="DS395" s="32"/>
      <c r="DT395" s="32"/>
      <c r="DU395" s="32"/>
      <c r="DV395" s="32"/>
      <c r="DW395" s="32"/>
      <c r="DX395" s="32"/>
      <c r="DY395" s="32"/>
      <c r="DZ395" s="32"/>
      <c r="EA395" s="32"/>
      <c r="EB395" s="32"/>
      <c r="EC395" s="32"/>
      <c r="ED395" s="32"/>
      <c r="EE395" s="32"/>
      <c r="EF395" s="32"/>
      <c r="EG395" s="32"/>
      <c r="EH395" s="32"/>
      <c r="EI395" s="32"/>
      <c r="EJ395" s="32"/>
      <c r="EK395" s="32"/>
    </row>
    <row r="396" spans="42:141">
      <c r="AP396" s="32"/>
      <c r="AQ396" s="32"/>
      <c r="AR396" s="32"/>
      <c r="AS396" s="32"/>
      <c r="AT396" s="32"/>
      <c r="AU396" s="32"/>
      <c r="AV396" s="32"/>
      <c r="AW396" s="32"/>
      <c r="AX396" s="32"/>
      <c r="AY396" s="32"/>
      <c r="AZ396" s="32"/>
      <c r="BA396" s="32"/>
      <c r="BB396" s="32"/>
      <c r="BC396" s="32"/>
      <c r="BD396" s="32"/>
      <c r="BE396" s="32"/>
      <c r="BF396" s="32"/>
      <c r="BG396" s="32"/>
      <c r="BH396" s="32"/>
      <c r="BI396" s="32"/>
      <c r="BJ396" s="32"/>
      <c r="BK396" s="32"/>
      <c r="BL396" s="32"/>
      <c r="BM396" s="32"/>
      <c r="BN396" s="32"/>
      <c r="BO396" s="32"/>
      <c r="BP396" s="32"/>
      <c r="BQ396" s="32"/>
      <c r="BR396" s="32"/>
      <c r="BS396" s="32"/>
      <c r="BT396" s="32"/>
      <c r="BU396" s="32"/>
      <c r="BV396" s="32"/>
      <c r="BW396" s="32"/>
      <c r="BX396" s="32"/>
      <c r="BY396" s="32"/>
      <c r="BZ396" s="32"/>
      <c r="CA396" s="32"/>
      <c r="CB396" s="32"/>
      <c r="CC396" s="32"/>
      <c r="CD396" s="32"/>
      <c r="CE396" s="32"/>
      <c r="CF396" s="32"/>
      <c r="CG396" s="32"/>
      <c r="CH396" s="32"/>
      <c r="CI396" s="32"/>
      <c r="CJ396" s="32"/>
      <c r="CK396" s="32"/>
      <c r="CL396" s="32"/>
      <c r="CM396" s="32"/>
      <c r="CN396" s="32"/>
      <c r="CO396" s="32"/>
      <c r="CP396" s="32"/>
      <c r="CQ396" s="32"/>
      <c r="CR396" s="32"/>
      <c r="CS396" s="32"/>
      <c r="CT396" s="32"/>
      <c r="CU396" s="32"/>
      <c r="CV396" s="32"/>
      <c r="CW396" s="32"/>
      <c r="CX396" s="32"/>
      <c r="CY396" s="32"/>
      <c r="CZ396" s="32"/>
      <c r="DA396" s="32"/>
      <c r="DB396" s="32"/>
      <c r="DC396" s="32"/>
      <c r="DD396" s="32"/>
      <c r="DE396" s="32"/>
      <c r="DF396" s="32"/>
      <c r="DG396" s="32"/>
      <c r="DH396" s="32"/>
      <c r="DI396" s="32"/>
      <c r="DJ396" s="32"/>
      <c r="DK396" s="32"/>
      <c r="DL396" s="32"/>
      <c r="DM396" s="32"/>
      <c r="DN396" s="32"/>
      <c r="DO396" s="32"/>
      <c r="DP396" s="32"/>
      <c r="DQ396" s="32"/>
      <c r="DR396" s="32"/>
      <c r="DS396" s="32"/>
      <c r="DT396" s="32"/>
      <c r="DU396" s="32"/>
      <c r="DV396" s="32"/>
      <c r="DW396" s="32"/>
      <c r="DX396" s="32"/>
      <c r="DY396" s="32"/>
      <c r="DZ396" s="32"/>
      <c r="EA396" s="32"/>
      <c r="EB396" s="32"/>
      <c r="EC396" s="32"/>
      <c r="ED396" s="32"/>
      <c r="EE396" s="32"/>
      <c r="EF396" s="32"/>
      <c r="EG396" s="32"/>
      <c r="EH396" s="32"/>
      <c r="EI396" s="32"/>
      <c r="EJ396" s="32"/>
      <c r="EK396" s="32"/>
    </row>
    <row r="397" spans="42:141">
      <c r="AP397" s="32"/>
      <c r="AQ397" s="32"/>
      <c r="AR397" s="32"/>
      <c r="AS397" s="32"/>
      <c r="AT397" s="32"/>
      <c r="AU397" s="32"/>
      <c r="AV397" s="32"/>
      <c r="AW397" s="32"/>
      <c r="AX397" s="32"/>
      <c r="AY397" s="32"/>
      <c r="AZ397" s="32"/>
      <c r="BA397" s="32"/>
      <c r="BB397" s="32"/>
      <c r="BC397" s="32"/>
      <c r="BD397" s="32"/>
      <c r="BE397" s="32"/>
      <c r="BF397" s="32"/>
      <c r="BG397" s="32"/>
      <c r="BH397" s="32"/>
      <c r="BI397" s="32"/>
      <c r="BJ397" s="32"/>
      <c r="BK397" s="32"/>
      <c r="BL397" s="32"/>
      <c r="BM397" s="32"/>
      <c r="BN397" s="32"/>
      <c r="BO397" s="32"/>
      <c r="BP397" s="32"/>
      <c r="BQ397" s="32"/>
      <c r="BR397" s="32"/>
      <c r="BS397" s="32"/>
      <c r="BT397" s="32"/>
      <c r="BU397" s="32"/>
      <c r="BV397" s="32"/>
      <c r="BW397" s="32"/>
      <c r="BX397" s="32"/>
      <c r="BY397" s="32"/>
      <c r="BZ397" s="32"/>
      <c r="CA397" s="32"/>
      <c r="CB397" s="32"/>
      <c r="CC397" s="32"/>
      <c r="CD397" s="32"/>
      <c r="CE397" s="32"/>
      <c r="CF397" s="32"/>
      <c r="CG397" s="32"/>
      <c r="CH397" s="32"/>
      <c r="CI397" s="32"/>
      <c r="CJ397" s="32"/>
      <c r="CK397" s="32"/>
      <c r="CL397" s="32"/>
      <c r="CM397" s="32"/>
      <c r="CN397" s="32"/>
      <c r="CO397" s="32"/>
      <c r="CP397" s="32"/>
      <c r="CQ397" s="32"/>
      <c r="CR397" s="32"/>
      <c r="CS397" s="32"/>
      <c r="CT397" s="32"/>
      <c r="CU397" s="32"/>
      <c r="CV397" s="32"/>
      <c r="CW397" s="32"/>
      <c r="CX397" s="32"/>
      <c r="CY397" s="32"/>
      <c r="CZ397" s="32"/>
      <c r="DA397" s="32"/>
      <c r="DB397" s="32"/>
      <c r="DC397" s="32"/>
      <c r="DD397" s="32"/>
      <c r="DE397" s="32"/>
      <c r="DF397" s="32"/>
      <c r="DG397" s="32"/>
      <c r="DH397" s="32"/>
      <c r="DI397" s="32"/>
      <c r="DJ397" s="32"/>
      <c r="DK397" s="32"/>
      <c r="DL397" s="32"/>
      <c r="DM397" s="32"/>
      <c r="DN397" s="32"/>
      <c r="DO397" s="32"/>
      <c r="DP397" s="32"/>
      <c r="DQ397" s="32"/>
      <c r="DR397" s="32"/>
      <c r="DS397" s="32"/>
      <c r="DT397" s="32"/>
      <c r="DU397" s="32"/>
      <c r="DV397" s="32"/>
      <c r="DW397" s="32"/>
      <c r="DX397" s="32"/>
      <c r="DY397" s="32"/>
      <c r="DZ397" s="32"/>
      <c r="EA397" s="32"/>
      <c r="EB397" s="32"/>
      <c r="EC397" s="32"/>
      <c r="ED397" s="32"/>
      <c r="EE397" s="32"/>
      <c r="EF397" s="32"/>
      <c r="EG397" s="32"/>
      <c r="EH397" s="32"/>
      <c r="EI397" s="32"/>
      <c r="EJ397" s="32"/>
      <c r="EK397" s="32"/>
    </row>
    <row r="398" spans="42:141">
      <c r="AP398" s="32"/>
      <c r="AQ398" s="32"/>
      <c r="AR398" s="32"/>
      <c r="AS398" s="32"/>
      <c r="AT398" s="32"/>
      <c r="AU398" s="32"/>
      <c r="AV398" s="32"/>
      <c r="AW398" s="32"/>
      <c r="AX398" s="32"/>
      <c r="AY398" s="32"/>
      <c r="AZ398" s="32"/>
      <c r="BA398" s="32"/>
      <c r="BB398" s="32"/>
      <c r="BC398" s="32"/>
      <c r="BD398" s="32"/>
      <c r="BE398" s="32"/>
      <c r="BF398" s="32"/>
      <c r="BG398" s="32"/>
      <c r="BH398" s="32"/>
      <c r="BI398" s="32"/>
      <c r="BJ398" s="32"/>
      <c r="BK398" s="32"/>
      <c r="BL398" s="32"/>
      <c r="BM398" s="32"/>
      <c r="BN398" s="32"/>
      <c r="BO398" s="32"/>
      <c r="BP398" s="32"/>
      <c r="BQ398" s="32"/>
      <c r="BR398" s="32"/>
      <c r="BS398" s="32"/>
      <c r="BT398" s="32"/>
      <c r="BU398" s="32"/>
      <c r="BV398" s="32"/>
      <c r="BW398" s="32"/>
      <c r="BX398" s="32"/>
      <c r="BY398" s="32"/>
      <c r="BZ398" s="32"/>
      <c r="CA398" s="32"/>
      <c r="CB398" s="32"/>
      <c r="CC398" s="32"/>
      <c r="CD398" s="32"/>
      <c r="CE398" s="32"/>
      <c r="CF398" s="32"/>
      <c r="CG398" s="32"/>
      <c r="CH398" s="32"/>
      <c r="CI398" s="32"/>
      <c r="CJ398" s="32"/>
      <c r="CK398" s="32"/>
      <c r="CL398" s="32"/>
      <c r="CM398" s="32"/>
      <c r="CN398" s="32"/>
      <c r="CO398" s="32"/>
      <c r="CP398" s="32"/>
      <c r="CQ398" s="32"/>
      <c r="CR398" s="32"/>
      <c r="CS398" s="32"/>
      <c r="CT398" s="32"/>
      <c r="CU398" s="32"/>
      <c r="CV398" s="32"/>
      <c r="CW398" s="32"/>
      <c r="CX398" s="32"/>
      <c r="CY398" s="32"/>
      <c r="CZ398" s="32"/>
      <c r="DA398" s="32"/>
      <c r="DB398" s="32"/>
      <c r="DC398" s="32"/>
      <c r="DD398" s="32"/>
      <c r="DE398" s="32"/>
      <c r="DF398" s="32"/>
      <c r="DG398" s="32"/>
      <c r="DH398" s="32"/>
      <c r="DI398" s="32"/>
      <c r="DJ398" s="32"/>
      <c r="DK398" s="32"/>
      <c r="DL398" s="32"/>
      <c r="DM398" s="32"/>
      <c r="DN398" s="32"/>
      <c r="DO398" s="32"/>
      <c r="DP398" s="32"/>
      <c r="DQ398" s="32"/>
      <c r="DR398" s="32"/>
      <c r="DS398" s="32"/>
      <c r="DT398" s="32"/>
      <c r="DU398" s="32"/>
      <c r="DV398" s="32"/>
      <c r="DW398" s="32"/>
      <c r="DX398" s="32"/>
      <c r="DY398" s="32"/>
      <c r="DZ398" s="32"/>
      <c r="EA398" s="32"/>
      <c r="EB398" s="32"/>
      <c r="EC398" s="32"/>
      <c r="ED398" s="32"/>
      <c r="EE398" s="32"/>
      <c r="EF398" s="32"/>
      <c r="EG398" s="32"/>
      <c r="EH398" s="32"/>
      <c r="EI398" s="32"/>
      <c r="EJ398" s="32"/>
      <c r="EK398" s="32"/>
    </row>
    <row r="399" spans="42:141">
      <c r="AP399" s="32"/>
      <c r="AQ399" s="32"/>
      <c r="AR399" s="32"/>
      <c r="AS399" s="32"/>
      <c r="AT399" s="32"/>
      <c r="AU399" s="32"/>
      <c r="AV399" s="32"/>
      <c r="AW399" s="32"/>
      <c r="AX399" s="32"/>
      <c r="AY399" s="32"/>
      <c r="AZ399" s="32"/>
      <c r="BA399" s="32"/>
      <c r="BB399" s="32"/>
      <c r="BC399" s="32"/>
      <c r="BD399" s="32"/>
      <c r="BE399" s="32"/>
      <c r="BF399" s="32"/>
      <c r="BG399" s="32"/>
      <c r="BH399" s="32"/>
      <c r="BI399" s="32"/>
      <c r="BJ399" s="32"/>
      <c r="BK399" s="32"/>
      <c r="BL399" s="32"/>
      <c r="BM399" s="32"/>
      <c r="BN399" s="32"/>
      <c r="BO399" s="32"/>
      <c r="BP399" s="32"/>
      <c r="BQ399" s="32"/>
      <c r="BR399" s="32"/>
      <c r="BS399" s="32"/>
      <c r="BT399" s="32"/>
      <c r="BU399" s="32"/>
      <c r="BV399" s="32"/>
      <c r="BW399" s="32"/>
      <c r="BX399" s="32"/>
      <c r="BY399" s="32"/>
      <c r="BZ399" s="32"/>
      <c r="CA399" s="32"/>
      <c r="CB399" s="32"/>
      <c r="CC399" s="32"/>
      <c r="CD399" s="32"/>
      <c r="CE399" s="32"/>
      <c r="CF399" s="32"/>
      <c r="CG399" s="32"/>
      <c r="CH399" s="32"/>
      <c r="CI399" s="32"/>
      <c r="CJ399" s="32"/>
      <c r="CK399" s="32"/>
      <c r="CL399" s="32"/>
      <c r="CM399" s="32"/>
      <c r="CN399" s="32"/>
      <c r="CO399" s="32"/>
      <c r="CP399" s="32"/>
      <c r="CQ399" s="32"/>
      <c r="CR399" s="32"/>
      <c r="CS399" s="32"/>
      <c r="CT399" s="32"/>
      <c r="CU399" s="32"/>
      <c r="CV399" s="32"/>
      <c r="CW399" s="32"/>
      <c r="CX399" s="32"/>
      <c r="CY399" s="32"/>
      <c r="CZ399" s="32"/>
      <c r="DA399" s="32"/>
      <c r="DB399" s="32"/>
      <c r="DC399" s="32"/>
      <c r="DD399" s="32"/>
      <c r="DE399" s="32"/>
      <c r="DF399" s="32"/>
      <c r="DG399" s="32"/>
      <c r="DH399" s="32"/>
      <c r="DI399" s="32"/>
      <c r="DJ399" s="32"/>
      <c r="DK399" s="32"/>
      <c r="DL399" s="32"/>
      <c r="DM399" s="32"/>
      <c r="DN399" s="32"/>
      <c r="DO399" s="32"/>
      <c r="DP399" s="32"/>
      <c r="DQ399" s="32"/>
      <c r="DR399" s="32"/>
      <c r="DS399" s="32"/>
      <c r="DT399" s="32"/>
      <c r="DU399" s="32"/>
      <c r="DV399" s="32"/>
      <c r="DW399" s="32"/>
      <c r="DX399" s="32"/>
      <c r="DY399" s="32"/>
      <c r="DZ399" s="32"/>
      <c r="EA399" s="32"/>
      <c r="EB399" s="32"/>
      <c r="EC399" s="32"/>
      <c r="ED399" s="32"/>
      <c r="EE399" s="32"/>
      <c r="EF399" s="32"/>
      <c r="EG399" s="32"/>
      <c r="EH399" s="32"/>
      <c r="EI399" s="32"/>
      <c r="EJ399" s="32"/>
      <c r="EK399" s="32"/>
    </row>
    <row r="400" spans="42:141">
      <c r="AP400" s="32"/>
      <c r="AQ400" s="32"/>
      <c r="AR400" s="32"/>
      <c r="AS400" s="32"/>
      <c r="AT400" s="32"/>
      <c r="AU400" s="32"/>
      <c r="AV400" s="32"/>
      <c r="AW400" s="32"/>
      <c r="AX400" s="32"/>
      <c r="AY400" s="32"/>
      <c r="AZ400" s="32"/>
      <c r="BA400" s="32"/>
      <c r="BB400" s="32"/>
      <c r="BC400" s="32"/>
      <c r="BD400" s="32"/>
      <c r="BE400" s="32"/>
      <c r="BF400" s="32"/>
      <c r="BG400" s="32"/>
      <c r="BH400" s="32"/>
      <c r="BI400" s="32"/>
      <c r="BJ400" s="32"/>
      <c r="BK400" s="32"/>
      <c r="BL400" s="32"/>
      <c r="BM400" s="32"/>
      <c r="BN400" s="32"/>
      <c r="BO400" s="32"/>
      <c r="BP400" s="32"/>
      <c r="BQ400" s="32"/>
      <c r="BR400" s="32"/>
      <c r="BS400" s="32"/>
      <c r="BT400" s="32"/>
      <c r="BU400" s="32"/>
      <c r="BV400" s="32"/>
      <c r="BW400" s="32"/>
      <c r="BX400" s="32"/>
      <c r="BY400" s="32"/>
      <c r="BZ400" s="32"/>
      <c r="CA400" s="32"/>
      <c r="CB400" s="32"/>
      <c r="CC400" s="32"/>
      <c r="CD400" s="32"/>
      <c r="CE400" s="32"/>
      <c r="CF400" s="32"/>
      <c r="CG400" s="32"/>
      <c r="CH400" s="32"/>
      <c r="CI400" s="32"/>
      <c r="CJ400" s="32"/>
      <c r="CK400" s="32"/>
      <c r="CL400" s="32"/>
      <c r="CM400" s="32"/>
      <c r="CN400" s="32"/>
      <c r="CO400" s="32"/>
      <c r="CP400" s="32"/>
      <c r="CQ400" s="32"/>
      <c r="CR400" s="32"/>
      <c r="CS400" s="32"/>
      <c r="CT400" s="32"/>
      <c r="CU400" s="32"/>
      <c r="CV400" s="32"/>
      <c r="CW400" s="32"/>
      <c r="CX400" s="32"/>
      <c r="CY400" s="32"/>
      <c r="CZ400" s="32"/>
      <c r="DA400" s="32"/>
      <c r="DB400" s="32"/>
      <c r="DC400" s="32"/>
      <c r="DD400" s="32"/>
      <c r="DE400" s="32"/>
      <c r="DF400" s="32"/>
      <c r="DG400" s="32"/>
      <c r="DH400" s="32"/>
      <c r="DI400" s="32"/>
      <c r="DJ400" s="32"/>
      <c r="DK400" s="32"/>
      <c r="DL400" s="32"/>
      <c r="DM400" s="32"/>
      <c r="DN400" s="32"/>
      <c r="DO400" s="32"/>
      <c r="DP400" s="32"/>
      <c r="DQ400" s="32"/>
      <c r="DR400" s="32"/>
      <c r="DS400" s="32"/>
      <c r="DT400" s="32"/>
      <c r="DU400" s="32"/>
      <c r="DV400" s="32"/>
      <c r="DW400" s="32"/>
      <c r="DX400" s="32"/>
      <c r="DY400" s="32"/>
      <c r="DZ400" s="32"/>
      <c r="EA400" s="32"/>
      <c r="EB400" s="32"/>
      <c r="EC400" s="32"/>
      <c r="ED400" s="32"/>
      <c r="EE400" s="32"/>
      <c r="EF400" s="32"/>
      <c r="EG400" s="32"/>
      <c r="EH400" s="32"/>
      <c r="EI400" s="32"/>
      <c r="EJ400" s="32"/>
      <c r="EK400" s="32"/>
    </row>
    <row r="401" spans="42:141">
      <c r="AP401" s="32"/>
      <c r="AQ401" s="32"/>
      <c r="AR401" s="32"/>
      <c r="AS401" s="32"/>
      <c r="AT401" s="32"/>
      <c r="AU401" s="32"/>
      <c r="AV401" s="32"/>
      <c r="AW401" s="32"/>
      <c r="AX401" s="32"/>
      <c r="AY401" s="32"/>
      <c r="AZ401" s="32"/>
      <c r="BA401" s="32"/>
      <c r="BB401" s="32"/>
      <c r="BC401" s="32"/>
      <c r="BD401" s="32"/>
      <c r="BE401" s="32"/>
      <c r="BF401" s="32"/>
      <c r="BG401" s="32"/>
      <c r="BH401" s="32"/>
      <c r="BI401" s="32"/>
      <c r="BJ401" s="32"/>
      <c r="BK401" s="32"/>
      <c r="BL401" s="32"/>
      <c r="BM401" s="32"/>
      <c r="BN401" s="32"/>
      <c r="BO401" s="32"/>
      <c r="BP401" s="32"/>
      <c r="BQ401" s="32"/>
      <c r="BR401" s="32"/>
      <c r="BS401" s="32"/>
      <c r="BT401" s="32"/>
      <c r="BU401" s="32"/>
      <c r="BV401" s="32"/>
      <c r="BW401" s="32"/>
      <c r="BX401" s="32"/>
      <c r="BY401" s="32"/>
      <c r="BZ401" s="32"/>
      <c r="CA401" s="32"/>
      <c r="CB401" s="32"/>
      <c r="CC401" s="32"/>
      <c r="CD401" s="32"/>
      <c r="CE401" s="32"/>
      <c r="CF401" s="32"/>
      <c r="CG401" s="32"/>
      <c r="CH401" s="32"/>
      <c r="CI401" s="32"/>
      <c r="CJ401" s="32"/>
      <c r="CK401" s="32"/>
      <c r="CL401" s="32"/>
      <c r="CM401" s="32"/>
      <c r="CN401" s="32"/>
      <c r="CO401" s="32"/>
      <c r="CP401" s="32"/>
      <c r="CQ401" s="32"/>
      <c r="CR401" s="32"/>
      <c r="CS401" s="32"/>
      <c r="CT401" s="32"/>
      <c r="CU401" s="32"/>
      <c r="CV401" s="32"/>
      <c r="CW401" s="32"/>
      <c r="CX401" s="32"/>
      <c r="CY401" s="32"/>
      <c r="CZ401" s="32"/>
      <c r="DA401" s="32"/>
      <c r="DB401" s="32"/>
      <c r="DC401" s="32"/>
      <c r="DD401" s="32"/>
      <c r="DE401" s="32"/>
      <c r="DF401" s="32"/>
      <c r="DG401" s="32"/>
      <c r="DH401" s="32"/>
      <c r="DI401" s="32"/>
      <c r="DJ401" s="32"/>
      <c r="DK401" s="32"/>
      <c r="DL401" s="32"/>
      <c r="DM401" s="32"/>
      <c r="DN401" s="32"/>
      <c r="DO401" s="32"/>
      <c r="DP401" s="32"/>
      <c r="DQ401" s="32"/>
      <c r="DR401" s="32"/>
      <c r="DS401" s="32"/>
      <c r="DT401" s="32"/>
      <c r="DU401" s="32"/>
      <c r="DV401" s="32"/>
      <c r="DW401" s="32"/>
      <c r="DX401" s="32"/>
      <c r="DY401" s="32"/>
      <c r="DZ401" s="32"/>
      <c r="EA401" s="32"/>
      <c r="EB401" s="32"/>
      <c r="EC401" s="32"/>
      <c r="ED401" s="32"/>
      <c r="EE401" s="32"/>
      <c r="EF401" s="32"/>
      <c r="EG401" s="32"/>
      <c r="EH401" s="32"/>
      <c r="EI401" s="32"/>
      <c r="EJ401" s="32"/>
      <c r="EK401" s="32"/>
    </row>
    <row r="402" spans="42:141">
      <c r="AP402" s="32"/>
      <c r="AQ402" s="32"/>
      <c r="AR402" s="32"/>
      <c r="AS402" s="32"/>
      <c r="AT402" s="32"/>
      <c r="AU402" s="32"/>
      <c r="AV402" s="32"/>
      <c r="AW402" s="32"/>
      <c r="AX402" s="32"/>
      <c r="AY402" s="32"/>
      <c r="AZ402" s="32"/>
      <c r="BA402" s="32"/>
      <c r="BB402" s="32"/>
      <c r="BC402" s="32"/>
      <c r="BD402" s="32"/>
      <c r="BE402" s="32"/>
      <c r="BF402" s="32"/>
      <c r="BG402" s="32"/>
      <c r="BH402" s="32"/>
      <c r="BI402" s="32"/>
      <c r="BJ402" s="32"/>
      <c r="BK402" s="32"/>
      <c r="BL402" s="32"/>
      <c r="BM402" s="32"/>
      <c r="BN402" s="32"/>
      <c r="BO402" s="32"/>
      <c r="BP402" s="32"/>
      <c r="BQ402" s="32"/>
      <c r="BR402" s="32"/>
      <c r="BS402" s="32"/>
      <c r="BT402" s="32"/>
      <c r="BU402" s="32"/>
      <c r="BV402" s="32"/>
      <c r="BW402" s="32"/>
      <c r="BX402" s="32"/>
      <c r="BY402" s="32"/>
      <c r="BZ402" s="32"/>
      <c r="CA402" s="32"/>
      <c r="CB402" s="32"/>
      <c r="CC402" s="32"/>
      <c r="CD402" s="32"/>
      <c r="CE402" s="32"/>
      <c r="CF402" s="32"/>
      <c r="CG402" s="32"/>
      <c r="CH402" s="32"/>
      <c r="CI402" s="32"/>
      <c r="CJ402" s="32"/>
      <c r="CK402" s="32"/>
      <c r="CL402" s="32"/>
      <c r="CM402" s="32"/>
      <c r="CN402" s="32"/>
      <c r="CO402" s="32"/>
      <c r="CP402" s="32"/>
      <c r="CQ402" s="32"/>
      <c r="CR402" s="32"/>
      <c r="CS402" s="32"/>
      <c r="CT402" s="32"/>
      <c r="CU402" s="32"/>
      <c r="CV402" s="32"/>
      <c r="CW402" s="32"/>
      <c r="CX402" s="32"/>
      <c r="CY402" s="32"/>
      <c r="CZ402" s="32"/>
      <c r="DA402" s="32"/>
      <c r="DB402" s="32"/>
      <c r="DC402" s="32"/>
      <c r="DD402" s="32"/>
      <c r="DE402" s="32"/>
      <c r="DF402" s="32"/>
      <c r="DG402" s="32"/>
      <c r="DH402" s="32"/>
      <c r="DI402" s="32"/>
      <c r="DJ402" s="32"/>
      <c r="DK402" s="32"/>
      <c r="DL402" s="32"/>
      <c r="DM402" s="32"/>
      <c r="DN402" s="32"/>
      <c r="DO402" s="32"/>
      <c r="DP402" s="32"/>
      <c r="DQ402" s="32"/>
      <c r="DR402" s="32"/>
      <c r="DS402" s="32"/>
      <c r="DT402" s="32"/>
      <c r="DU402" s="32"/>
      <c r="DV402" s="32"/>
      <c r="DW402" s="32"/>
      <c r="DX402" s="32"/>
      <c r="DY402" s="32"/>
      <c r="DZ402" s="32"/>
      <c r="EA402" s="32"/>
      <c r="EB402" s="32"/>
      <c r="EC402" s="32"/>
      <c r="ED402" s="32"/>
      <c r="EE402" s="32"/>
      <c r="EF402" s="32"/>
      <c r="EG402" s="32"/>
      <c r="EH402" s="32"/>
      <c r="EI402" s="32"/>
      <c r="EJ402" s="32"/>
      <c r="EK402" s="32"/>
    </row>
    <row r="403" spans="42:141">
      <c r="AP403" s="32"/>
      <c r="AQ403" s="32"/>
      <c r="AR403" s="32"/>
      <c r="AS403" s="32"/>
      <c r="AT403" s="32"/>
      <c r="AU403" s="32"/>
      <c r="AV403" s="32"/>
      <c r="AW403" s="32"/>
      <c r="AX403" s="32"/>
      <c r="AY403" s="32"/>
      <c r="AZ403" s="32"/>
      <c r="BA403" s="32"/>
      <c r="BB403" s="32"/>
      <c r="BC403" s="32"/>
      <c r="BD403" s="32"/>
      <c r="BE403" s="32"/>
      <c r="BF403" s="32"/>
      <c r="BG403" s="32"/>
      <c r="BH403" s="32"/>
      <c r="BI403" s="32"/>
      <c r="BJ403" s="32"/>
      <c r="BK403" s="32"/>
      <c r="BL403" s="32"/>
      <c r="BM403" s="32"/>
      <c r="BN403" s="32"/>
      <c r="BO403" s="32"/>
      <c r="BP403" s="32"/>
      <c r="BQ403" s="32"/>
      <c r="BR403" s="32"/>
      <c r="BS403" s="32"/>
      <c r="BT403" s="32"/>
      <c r="BU403" s="32"/>
      <c r="BV403" s="32"/>
      <c r="BW403" s="32"/>
      <c r="BX403" s="32"/>
      <c r="BY403" s="32"/>
      <c r="BZ403" s="32"/>
      <c r="CA403" s="32"/>
      <c r="CB403" s="32"/>
      <c r="CC403" s="32"/>
      <c r="CD403" s="32"/>
      <c r="CE403" s="32"/>
      <c r="CF403" s="32"/>
      <c r="CG403" s="32"/>
      <c r="CH403" s="32"/>
      <c r="CI403" s="32"/>
      <c r="CJ403" s="32"/>
      <c r="CK403" s="32"/>
      <c r="CL403" s="32"/>
      <c r="CM403" s="32"/>
      <c r="CN403" s="32"/>
      <c r="CO403" s="32"/>
      <c r="CP403" s="32"/>
      <c r="CQ403" s="32"/>
      <c r="CR403" s="32"/>
      <c r="CS403" s="32"/>
      <c r="CT403" s="32"/>
      <c r="CU403" s="32"/>
      <c r="CV403" s="32"/>
      <c r="CW403" s="32"/>
      <c r="CX403" s="32"/>
      <c r="CY403" s="32"/>
      <c r="CZ403" s="32"/>
      <c r="DA403" s="32"/>
      <c r="DB403" s="32"/>
      <c r="DC403" s="32"/>
      <c r="DD403" s="32"/>
      <c r="DE403" s="32"/>
      <c r="DF403" s="32"/>
      <c r="DG403" s="32"/>
      <c r="DH403" s="32"/>
      <c r="DI403" s="32"/>
      <c r="DJ403" s="32"/>
      <c r="DK403" s="32"/>
      <c r="DL403" s="32"/>
      <c r="DM403" s="32"/>
      <c r="DN403" s="32"/>
      <c r="DO403" s="32"/>
      <c r="DP403" s="32"/>
      <c r="DQ403" s="32"/>
      <c r="DR403" s="32"/>
      <c r="DS403" s="32"/>
      <c r="DT403" s="32"/>
      <c r="DU403" s="32"/>
      <c r="DV403" s="32"/>
      <c r="DW403" s="32"/>
      <c r="DX403" s="32"/>
      <c r="DY403" s="32"/>
      <c r="DZ403" s="32"/>
      <c r="EA403" s="32"/>
      <c r="EB403" s="32"/>
      <c r="EC403" s="32"/>
      <c r="ED403" s="32"/>
      <c r="EE403" s="32"/>
      <c r="EF403" s="32"/>
      <c r="EG403" s="32"/>
      <c r="EH403" s="32"/>
      <c r="EI403" s="32"/>
      <c r="EJ403" s="32"/>
      <c r="EK403" s="32"/>
    </row>
    <row r="404" spans="42:141">
      <c r="AP404" s="32"/>
      <c r="AQ404" s="32"/>
      <c r="AR404" s="32"/>
      <c r="AS404" s="32"/>
      <c r="AT404" s="32"/>
      <c r="AU404" s="32"/>
      <c r="AV404" s="32"/>
      <c r="AW404" s="32"/>
      <c r="AX404" s="32"/>
      <c r="AY404" s="32"/>
      <c r="AZ404" s="32"/>
      <c r="BA404" s="32"/>
      <c r="BB404" s="32"/>
      <c r="BC404" s="32"/>
      <c r="BD404" s="32"/>
      <c r="BE404" s="32"/>
      <c r="BF404" s="32"/>
      <c r="BG404" s="32"/>
      <c r="BH404" s="32"/>
      <c r="BI404" s="32"/>
      <c r="BJ404" s="32"/>
      <c r="BK404" s="32"/>
      <c r="BL404" s="32"/>
      <c r="BM404" s="32"/>
      <c r="BN404" s="32"/>
      <c r="BO404" s="32"/>
      <c r="BP404" s="32"/>
      <c r="BQ404" s="32"/>
      <c r="BR404" s="32"/>
      <c r="BS404" s="32"/>
      <c r="BT404" s="32"/>
      <c r="BU404" s="32"/>
      <c r="BV404" s="32"/>
      <c r="BW404" s="32"/>
      <c r="BX404" s="32"/>
      <c r="BY404" s="32"/>
      <c r="BZ404" s="32"/>
      <c r="CA404" s="32"/>
      <c r="CB404" s="32"/>
      <c r="CC404" s="32"/>
      <c r="CD404" s="32"/>
      <c r="CE404" s="32"/>
      <c r="CF404" s="32"/>
      <c r="CG404" s="32"/>
      <c r="CH404" s="32"/>
      <c r="CI404" s="32"/>
      <c r="CJ404" s="32"/>
      <c r="CK404" s="32"/>
      <c r="CL404" s="32"/>
      <c r="CM404" s="32"/>
      <c r="CN404" s="32"/>
      <c r="CO404" s="32"/>
      <c r="CP404" s="32"/>
      <c r="CQ404" s="32"/>
      <c r="CR404" s="32"/>
      <c r="CS404" s="32"/>
      <c r="CT404" s="32"/>
      <c r="CU404" s="32"/>
      <c r="CV404" s="32"/>
      <c r="CW404" s="32"/>
      <c r="CX404" s="32"/>
      <c r="CY404" s="32"/>
      <c r="CZ404" s="32"/>
      <c r="DA404" s="32"/>
      <c r="DB404" s="32"/>
      <c r="DC404" s="32"/>
      <c r="DD404" s="32"/>
      <c r="DE404" s="32"/>
      <c r="DF404" s="32"/>
      <c r="DG404" s="32"/>
      <c r="DH404" s="32"/>
      <c r="DI404" s="32"/>
      <c r="DJ404" s="32"/>
      <c r="DK404" s="32"/>
      <c r="DL404" s="32"/>
      <c r="DM404" s="32"/>
      <c r="DN404" s="32"/>
      <c r="DO404" s="32"/>
      <c r="DP404" s="32"/>
      <c r="DQ404" s="32"/>
      <c r="DR404" s="32"/>
      <c r="DS404" s="32"/>
      <c r="DT404" s="32"/>
      <c r="DU404" s="32"/>
      <c r="DV404" s="32"/>
      <c r="DW404" s="32"/>
      <c r="DX404" s="32"/>
      <c r="DY404" s="32"/>
      <c r="DZ404" s="32"/>
      <c r="EA404" s="32"/>
      <c r="EB404" s="32"/>
      <c r="EC404" s="32"/>
      <c r="ED404" s="32"/>
      <c r="EE404" s="32"/>
      <c r="EF404" s="32"/>
      <c r="EG404" s="32"/>
      <c r="EH404" s="32"/>
      <c r="EI404" s="32"/>
      <c r="EJ404" s="32"/>
      <c r="EK404" s="32"/>
    </row>
    <row r="405" spans="42:141">
      <c r="AP405" s="32"/>
      <c r="AQ405" s="32"/>
      <c r="AR405" s="32"/>
      <c r="AS405" s="32"/>
      <c r="AT405" s="32"/>
      <c r="AU405" s="32"/>
      <c r="AV405" s="32"/>
      <c r="AW405" s="32"/>
      <c r="AX405" s="32"/>
      <c r="AY405" s="32"/>
      <c r="AZ405" s="32"/>
      <c r="BA405" s="32"/>
      <c r="BB405" s="32"/>
      <c r="BC405" s="32"/>
      <c r="BD405" s="32"/>
      <c r="BE405" s="32"/>
      <c r="BF405" s="32"/>
      <c r="BG405" s="32"/>
      <c r="BH405" s="32"/>
      <c r="BI405" s="32"/>
      <c r="BJ405" s="32"/>
      <c r="BK405" s="32"/>
      <c r="BL405" s="32"/>
      <c r="BM405" s="32"/>
      <c r="BN405" s="32"/>
      <c r="BO405" s="32"/>
      <c r="BP405" s="32"/>
      <c r="BQ405" s="32"/>
      <c r="BR405" s="32"/>
      <c r="BS405" s="32"/>
      <c r="BT405" s="32"/>
      <c r="BU405" s="32"/>
      <c r="BV405" s="32"/>
      <c r="BW405" s="32"/>
      <c r="BX405" s="32"/>
      <c r="BY405" s="32"/>
      <c r="BZ405" s="32"/>
      <c r="CA405" s="32"/>
      <c r="CB405" s="32"/>
      <c r="CC405" s="32"/>
      <c r="CD405" s="32"/>
      <c r="CE405" s="32"/>
      <c r="CF405" s="32"/>
      <c r="CG405" s="32"/>
      <c r="CH405" s="32"/>
      <c r="CI405" s="32"/>
      <c r="CJ405" s="32"/>
      <c r="CK405" s="32"/>
      <c r="CL405" s="32"/>
      <c r="CM405" s="32"/>
      <c r="CN405" s="32"/>
      <c r="CO405" s="32"/>
      <c r="CP405" s="32"/>
      <c r="CQ405" s="32"/>
      <c r="CR405" s="32"/>
      <c r="CS405" s="32"/>
      <c r="CT405" s="32"/>
      <c r="CU405" s="32"/>
      <c r="CV405" s="32"/>
      <c r="CW405" s="32"/>
      <c r="CX405" s="32"/>
      <c r="CY405" s="32"/>
      <c r="CZ405" s="32"/>
      <c r="DA405" s="32"/>
      <c r="DB405" s="32"/>
      <c r="DC405" s="32"/>
      <c r="DD405" s="32"/>
      <c r="DE405" s="32"/>
      <c r="DF405" s="32"/>
      <c r="DG405" s="32"/>
      <c r="DH405" s="32"/>
      <c r="DI405" s="32"/>
      <c r="DJ405" s="32"/>
      <c r="DK405" s="32"/>
      <c r="DL405" s="32"/>
      <c r="DM405" s="32"/>
      <c r="DN405" s="32"/>
      <c r="DO405" s="32"/>
      <c r="DP405" s="32"/>
      <c r="DQ405" s="32"/>
      <c r="DR405" s="32"/>
      <c r="DS405" s="32"/>
      <c r="DT405" s="32"/>
      <c r="DU405" s="32"/>
      <c r="DV405" s="32"/>
      <c r="DW405" s="32"/>
      <c r="DX405" s="32"/>
      <c r="DY405" s="32"/>
      <c r="DZ405" s="32"/>
      <c r="EA405" s="32"/>
      <c r="EB405" s="32"/>
      <c r="EC405" s="32"/>
      <c r="ED405" s="32"/>
      <c r="EE405" s="32"/>
      <c r="EF405" s="32"/>
      <c r="EG405" s="32"/>
      <c r="EH405" s="32"/>
      <c r="EI405" s="32"/>
      <c r="EJ405" s="32"/>
      <c r="EK405" s="32"/>
    </row>
    <row r="406" spans="42:141">
      <c r="AP406" s="32"/>
      <c r="AQ406" s="32"/>
      <c r="AR406" s="32"/>
      <c r="AS406" s="32"/>
      <c r="AT406" s="32"/>
      <c r="AU406" s="32"/>
      <c r="AV406" s="32"/>
      <c r="AW406" s="32"/>
      <c r="AX406" s="32"/>
      <c r="AY406" s="32"/>
      <c r="AZ406" s="32"/>
      <c r="BA406" s="32"/>
      <c r="BB406" s="32"/>
      <c r="BC406" s="32"/>
      <c r="BD406" s="32"/>
      <c r="BE406" s="32"/>
      <c r="BF406" s="32"/>
      <c r="BG406" s="32"/>
      <c r="BH406" s="32"/>
      <c r="BI406" s="32"/>
      <c r="BJ406" s="32"/>
      <c r="BK406" s="32"/>
      <c r="BL406" s="32"/>
      <c r="BM406" s="32"/>
      <c r="BN406" s="32"/>
      <c r="BO406" s="32"/>
      <c r="BP406" s="32"/>
      <c r="BQ406" s="32"/>
      <c r="BR406" s="32"/>
      <c r="BS406" s="32"/>
      <c r="BT406" s="32"/>
      <c r="BU406" s="32"/>
      <c r="BV406" s="32"/>
      <c r="BW406" s="32"/>
      <c r="BX406" s="32"/>
      <c r="BY406" s="32"/>
      <c r="BZ406" s="32"/>
      <c r="CA406" s="32"/>
      <c r="CB406" s="32"/>
      <c r="CC406" s="32"/>
      <c r="CD406" s="32"/>
      <c r="CE406" s="32"/>
      <c r="CF406" s="32"/>
      <c r="CG406" s="32"/>
      <c r="CH406" s="32"/>
      <c r="CI406" s="32"/>
      <c r="CJ406" s="32"/>
      <c r="CK406" s="32"/>
      <c r="CL406" s="32"/>
      <c r="CM406" s="32"/>
      <c r="CN406" s="32"/>
      <c r="CO406" s="32"/>
      <c r="CP406" s="32"/>
      <c r="CQ406" s="32"/>
      <c r="CR406" s="32"/>
      <c r="CS406" s="32"/>
      <c r="CT406" s="32"/>
      <c r="CU406" s="32"/>
      <c r="CV406" s="32"/>
      <c r="CW406" s="32"/>
      <c r="CX406" s="32"/>
      <c r="CY406" s="32"/>
      <c r="CZ406" s="32"/>
      <c r="DA406" s="32"/>
      <c r="DB406" s="32"/>
      <c r="DC406" s="32"/>
      <c r="DD406" s="32"/>
      <c r="DE406" s="32"/>
      <c r="DF406" s="32"/>
      <c r="DG406" s="32"/>
      <c r="DH406" s="32"/>
      <c r="DI406" s="32"/>
      <c r="DJ406" s="32"/>
      <c r="DK406" s="32"/>
      <c r="DL406" s="32"/>
      <c r="DM406" s="32"/>
      <c r="DN406" s="32"/>
      <c r="DO406" s="32"/>
      <c r="DP406" s="32"/>
      <c r="DQ406" s="32"/>
      <c r="DR406" s="32"/>
      <c r="DS406" s="32"/>
      <c r="DT406" s="32"/>
      <c r="DU406" s="32"/>
      <c r="DV406" s="32"/>
      <c r="DW406" s="32"/>
      <c r="DX406" s="32"/>
      <c r="DY406" s="32"/>
      <c r="DZ406" s="32"/>
      <c r="EA406" s="32"/>
      <c r="EB406" s="32"/>
      <c r="EC406" s="32"/>
      <c r="ED406" s="32"/>
      <c r="EE406" s="32"/>
      <c r="EF406" s="32"/>
      <c r="EG406" s="32"/>
      <c r="EH406" s="32"/>
      <c r="EI406" s="32"/>
      <c r="EJ406" s="32"/>
      <c r="EK406" s="32"/>
    </row>
    <row r="407" spans="42:141">
      <c r="AP407" s="32"/>
      <c r="AQ407" s="32"/>
      <c r="AR407" s="32"/>
      <c r="AS407" s="32"/>
      <c r="AT407" s="32"/>
      <c r="AU407" s="32"/>
      <c r="AV407" s="32"/>
      <c r="AW407" s="32"/>
      <c r="AX407" s="32"/>
      <c r="AY407" s="32"/>
      <c r="AZ407" s="32"/>
      <c r="BA407" s="32"/>
      <c r="BB407" s="32"/>
      <c r="BC407" s="32"/>
      <c r="BD407" s="32"/>
      <c r="BE407" s="32"/>
      <c r="BF407" s="32"/>
      <c r="BG407" s="32"/>
      <c r="BH407" s="32"/>
      <c r="BI407" s="32"/>
      <c r="BJ407" s="32"/>
      <c r="BK407" s="32"/>
      <c r="BL407" s="32"/>
      <c r="BM407" s="32"/>
      <c r="BN407" s="32"/>
      <c r="BO407" s="32"/>
      <c r="BP407" s="32"/>
      <c r="BQ407" s="32"/>
      <c r="BR407" s="32"/>
      <c r="BS407" s="32"/>
      <c r="BT407" s="32"/>
      <c r="BU407" s="32"/>
      <c r="BV407" s="32"/>
      <c r="BW407" s="32"/>
      <c r="BX407" s="32"/>
      <c r="BY407" s="32"/>
      <c r="BZ407" s="32"/>
      <c r="CA407" s="32"/>
      <c r="CB407" s="32"/>
      <c r="CC407" s="32"/>
      <c r="CD407" s="32"/>
      <c r="CE407" s="32"/>
      <c r="CF407" s="32"/>
      <c r="CG407" s="32"/>
      <c r="CH407" s="32"/>
      <c r="CI407" s="32"/>
      <c r="CJ407" s="32"/>
      <c r="CK407" s="32"/>
      <c r="CL407" s="32"/>
      <c r="CM407" s="32"/>
      <c r="CN407" s="32"/>
      <c r="CO407" s="32"/>
      <c r="CP407" s="32"/>
      <c r="CQ407" s="32"/>
      <c r="CR407" s="32"/>
      <c r="CS407" s="32"/>
      <c r="CT407" s="32"/>
      <c r="CU407" s="32"/>
      <c r="CV407" s="32"/>
      <c r="CW407" s="32"/>
      <c r="CX407" s="32"/>
      <c r="CY407" s="32"/>
      <c r="CZ407" s="32"/>
      <c r="DA407" s="32"/>
      <c r="DB407" s="32"/>
      <c r="DC407" s="32"/>
      <c r="DD407" s="32"/>
      <c r="DE407" s="32"/>
      <c r="DF407" s="32"/>
      <c r="DG407" s="32"/>
      <c r="DH407" s="32"/>
      <c r="DI407" s="32"/>
      <c r="DJ407" s="32"/>
      <c r="DK407" s="32"/>
      <c r="DL407" s="32"/>
      <c r="DM407" s="32"/>
      <c r="DN407" s="32"/>
      <c r="DO407" s="32"/>
      <c r="DP407" s="32"/>
      <c r="DQ407" s="32"/>
      <c r="DR407" s="32"/>
      <c r="DS407" s="32"/>
      <c r="DT407" s="32"/>
      <c r="DU407" s="32"/>
      <c r="DV407" s="32"/>
      <c r="DW407" s="32"/>
      <c r="DX407" s="32"/>
      <c r="DY407" s="32"/>
      <c r="DZ407" s="32"/>
      <c r="EA407" s="32"/>
      <c r="EB407" s="32"/>
      <c r="EC407" s="32"/>
      <c r="ED407" s="32"/>
      <c r="EE407" s="32"/>
      <c r="EF407" s="32"/>
      <c r="EG407" s="32"/>
      <c r="EH407" s="32"/>
      <c r="EI407" s="32"/>
      <c r="EJ407" s="32"/>
      <c r="EK407" s="32"/>
    </row>
    <row r="408" spans="42:141">
      <c r="AP408" s="32"/>
      <c r="AQ408" s="32"/>
      <c r="AR408" s="32"/>
      <c r="AS408" s="32"/>
      <c r="AT408" s="32"/>
      <c r="AU408" s="32"/>
      <c r="AV408" s="32"/>
      <c r="AW408" s="32"/>
      <c r="AX408" s="32"/>
      <c r="AY408" s="32"/>
      <c r="AZ408" s="32"/>
      <c r="BA408" s="32"/>
      <c r="BB408" s="32"/>
      <c r="BC408" s="32"/>
      <c r="BD408" s="32"/>
      <c r="BE408" s="32"/>
      <c r="BF408" s="32"/>
      <c r="BG408" s="32"/>
      <c r="BH408" s="32"/>
      <c r="BI408" s="32"/>
      <c r="BJ408" s="32"/>
      <c r="BK408" s="32"/>
      <c r="BL408" s="32"/>
      <c r="BM408" s="32"/>
      <c r="BN408" s="32"/>
      <c r="BO408" s="32"/>
      <c r="BP408" s="32"/>
      <c r="BQ408" s="32"/>
      <c r="BR408" s="32"/>
      <c r="BS408" s="32"/>
      <c r="BT408" s="32"/>
      <c r="BU408" s="32"/>
      <c r="BV408" s="32"/>
      <c r="BW408" s="32"/>
      <c r="BX408" s="32"/>
      <c r="BY408" s="32"/>
      <c r="BZ408" s="32"/>
      <c r="CA408" s="32"/>
      <c r="CB408" s="32"/>
      <c r="CC408" s="32"/>
      <c r="CD408" s="32"/>
      <c r="CE408" s="32"/>
      <c r="CF408" s="32"/>
      <c r="CG408" s="32"/>
      <c r="CH408" s="32"/>
      <c r="CI408" s="32"/>
      <c r="CJ408" s="32"/>
      <c r="CK408" s="32"/>
      <c r="CL408" s="32"/>
      <c r="CM408" s="32"/>
      <c r="CN408" s="32"/>
      <c r="CO408" s="32"/>
      <c r="CP408" s="32"/>
      <c r="CQ408" s="32"/>
      <c r="CR408" s="32"/>
      <c r="CS408" s="32"/>
      <c r="CT408" s="32"/>
      <c r="CU408" s="32"/>
      <c r="CV408" s="32"/>
      <c r="CW408" s="32"/>
      <c r="CX408" s="32"/>
      <c r="CY408" s="32"/>
      <c r="CZ408" s="32"/>
      <c r="DA408" s="32"/>
      <c r="DB408" s="32"/>
      <c r="DC408" s="32"/>
      <c r="DD408" s="32"/>
      <c r="DE408" s="32"/>
      <c r="DF408" s="32"/>
      <c r="DG408" s="32"/>
      <c r="DH408" s="32"/>
      <c r="DI408" s="32"/>
      <c r="DJ408" s="32"/>
      <c r="DK408" s="32"/>
      <c r="DL408" s="32"/>
      <c r="DM408" s="32"/>
      <c r="DN408" s="32"/>
      <c r="DO408" s="32"/>
      <c r="DP408" s="32"/>
      <c r="DQ408" s="32"/>
      <c r="DR408" s="32"/>
      <c r="DS408" s="32"/>
      <c r="DT408" s="32"/>
      <c r="DU408" s="32"/>
      <c r="DV408" s="32"/>
      <c r="DW408" s="32"/>
      <c r="DX408" s="32"/>
      <c r="DY408" s="32"/>
      <c r="DZ408" s="32"/>
      <c r="EA408" s="32"/>
      <c r="EB408" s="32"/>
      <c r="EC408" s="32"/>
      <c r="ED408" s="32"/>
      <c r="EE408" s="32"/>
      <c r="EF408" s="32"/>
      <c r="EG408" s="32"/>
      <c r="EH408" s="32"/>
      <c r="EI408" s="32"/>
      <c r="EJ408" s="32"/>
      <c r="EK408" s="32"/>
    </row>
    <row r="1000" spans="648:648" ht="15.75">
      <c r="XX1000" s="151">
        <v>125713</v>
      </c>
    </row>
  </sheetData>
  <mergeCells count="5">
    <mergeCell ref="G53:R53"/>
    <mergeCell ref="G54:R54"/>
    <mergeCell ref="G55:R55"/>
    <mergeCell ref="G56:R56"/>
    <mergeCell ref="G57:R57"/>
  </mergeCells>
  <phoneticPr fontId="3" type="noConversion"/>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iconSet" priority="16" id="{3872D944-ECBF-4E39-AF3E-3D7B266B678A}">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E71 E107 E143 E180 E217 E255 E297</xm:sqref>
        </x14:conditionalFormatting>
        <x14:conditionalFormatting xmlns:xm="http://schemas.microsoft.com/office/excel/2006/main">
          <x14:cfRule type="iconSet" priority="15" id="{11BD31AF-D2AF-42F5-BC8B-234A00B4B1B0}">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F53:F57</xm:sqref>
        </x14:conditionalFormatting>
        <x14:conditionalFormatting xmlns:xm="http://schemas.microsoft.com/office/excel/2006/main">
          <x14:cfRule type="iconSet" priority="45" id="{E0479ABC-BB17-49CF-AA18-365123131684}">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F63:F65</xm:sqref>
        </x14:conditionalFormatting>
        <x14:conditionalFormatting xmlns:xm="http://schemas.microsoft.com/office/excel/2006/main">
          <x14:cfRule type="iconSet" priority="43" id="{CA35CF4E-0D88-435C-BA3B-D6ACAD266C85}">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F66:F67 F205:F212 F71:F73 B71:D71 F58:F62 B107:D107 B143:D143 B180:D180 B217:D217 B255:D255 B297:D297 F297:F299 F255:F257 F217:F219 F143:F145 F107:F109 F75 F96:F102 F132:F137 F111 F168:F182 F147 F184 F242:F250 F221 F280:F293 F259 F322 F301</xm:sqref>
        </x14:conditionalFormatting>
        <x14:conditionalFormatting xmlns:xm="http://schemas.microsoft.com/office/excel/2006/main">
          <x14:cfRule type="iconSet" priority="39" id="{59EE1DBF-9C3E-4B27-BA4A-6FED8D996DF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F68:F70</xm:sqref>
        </x14:conditionalFormatting>
        <x14:conditionalFormatting xmlns:xm="http://schemas.microsoft.com/office/excel/2006/main">
          <x14:cfRule type="iconSet" priority="14" id="{BCB53BB3-6247-46AB-9CF0-40F003A4F8BB}">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F74</xm:sqref>
        </x14:conditionalFormatting>
        <x14:conditionalFormatting xmlns:xm="http://schemas.microsoft.com/office/excel/2006/main">
          <x14:cfRule type="iconSet" priority="13" id="{7914C570-89C2-4C1E-9466-1B51115C091F}">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F76:F95</xm:sqref>
        </x14:conditionalFormatting>
        <x14:conditionalFormatting xmlns:xm="http://schemas.microsoft.com/office/excel/2006/main">
          <x14:cfRule type="iconSet" priority="38" id="{BD35B29A-FFF2-4543-8950-3A1898B0874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F103:F106</xm:sqref>
        </x14:conditionalFormatting>
        <x14:conditionalFormatting xmlns:xm="http://schemas.microsoft.com/office/excel/2006/main">
          <x14:cfRule type="iconSet" priority="12" id="{A45D044C-650D-4E30-89BA-42D2BF029968}">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F110</xm:sqref>
        </x14:conditionalFormatting>
        <x14:conditionalFormatting xmlns:xm="http://schemas.microsoft.com/office/excel/2006/main">
          <x14:cfRule type="iconSet" priority="11" id="{FCBF3BE5-BF41-4FD1-B081-01C5EDD2525D}">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F112:F131</xm:sqref>
        </x14:conditionalFormatting>
        <x14:conditionalFormatting xmlns:xm="http://schemas.microsoft.com/office/excel/2006/main">
          <x14:cfRule type="iconSet" priority="32" id="{093E57EE-C37A-4D77-8B22-957DA1F652EA}">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F138:F142</xm:sqref>
        </x14:conditionalFormatting>
        <x14:conditionalFormatting xmlns:xm="http://schemas.microsoft.com/office/excel/2006/main">
          <x14:cfRule type="iconSet" priority="10" id="{89ADD484-2651-4061-ADEC-C8062533244E}">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F146</xm:sqref>
        </x14:conditionalFormatting>
        <x14:conditionalFormatting xmlns:xm="http://schemas.microsoft.com/office/excel/2006/main">
          <x14:cfRule type="iconSet" priority="9" id="{3911CA94-CE99-4BE1-AE5E-A447346F6A97}">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F148:F167</xm:sqref>
        </x14:conditionalFormatting>
        <x14:conditionalFormatting xmlns:xm="http://schemas.microsoft.com/office/excel/2006/main">
          <x14:cfRule type="iconSet" priority="8" id="{90AA4383-B9FE-4EFD-A271-1643C18C16E0}">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F183</xm:sqref>
        </x14:conditionalFormatting>
        <x14:conditionalFormatting xmlns:xm="http://schemas.microsoft.com/office/excel/2006/main">
          <x14:cfRule type="iconSet" priority="7" id="{1F228B09-FD8C-44B3-9FAD-86AFCF2C22E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F185:F204</xm:sqref>
        </x14:conditionalFormatting>
        <x14:conditionalFormatting xmlns:xm="http://schemas.microsoft.com/office/excel/2006/main">
          <x14:cfRule type="iconSet" priority="19" id="{E2541AD3-2E0A-4204-9BBA-DE36DD8849AE}">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F213:F216</xm:sqref>
        </x14:conditionalFormatting>
        <x14:conditionalFormatting xmlns:xm="http://schemas.microsoft.com/office/excel/2006/main">
          <x14:cfRule type="iconSet" priority="6" id="{AB7BC168-4735-470A-AF21-EBCE815F8851}">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F220</xm:sqref>
        </x14:conditionalFormatting>
        <x14:conditionalFormatting xmlns:xm="http://schemas.microsoft.com/office/excel/2006/main">
          <x14:cfRule type="iconSet" priority="5" id="{23F58749-E843-4D83-8917-69F38F7481EB}">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F222:F241</xm:sqref>
        </x14:conditionalFormatting>
        <x14:conditionalFormatting xmlns:xm="http://schemas.microsoft.com/office/excel/2006/main">
          <x14:cfRule type="iconSet" priority="37" id="{89A1EDA2-FAB0-48B1-B9D0-6BCD3F4E0EFD}">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F251:F254</xm:sqref>
        </x14:conditionalFormatting>
        <x14:conditionalFormatting xmlns:xm="http://schemas.microsoft.com/office/excel/2006/main">
          <x14:cfRule type="iconSet" priority="4" id="{CA349CAA-2B4D-4CF3-A344-81C25FAA3C94}">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F258</xm:sqref>
        </x14:conditionalFormatting>
        <x14:conditionalFormatting xmlns:xm="http://schemas.microsoft.com/office/excel/2006/main">
          <x14:cfRule type="iconSet" priority="3" id="{8E9F7E38-978E-4E58-B3A0-F88A5E0644EC}">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F260:F279</xm:sqref>
        </x14:conditionalFormatting>
        <x14:conditionalFormatting xmlns:xm="http://schemas.microsoft.com/office/excel/2006/main">
          <x14:cfRule type="iconSet" priority="36" id="{99B24B16-D78A-48D7-91FE-4037271635EC}">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F294:F296</xm:sqref>
        </x14:conditionalFormatting>
        <x14:conditionalFormatting xmlns:xm="http://schemas.microsoft.com/office/excel/2006/main">
          <x14:cfRule type="iconSet" priority="2" id="{0ADB2E3C-0EAA-4015-BFF2-E7149ADFAEC8}">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F300</xm:sqref>
        </x14:conditionalFormatting>
        <x14:conditionalFormatting xmlns:xm="http://schemas.microsoft.com/office/excel/2006/main">
          <x14:cfRule type="iconSet" priority="1" id="{B53FD1A0-D298-4BD4-821B-B556D957AF9B}">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F302:F321</xm:sqref>
        </x14:conditionalFormatting>
        <x14:conditionalFormatting xmlns:xm="http://schemas.microsoft.com/office/excel/2006/main">
          <x14:cfRule type="iconSet" priority="41" id="{F66DA535-960E-4C30-B309-F2A71521FB7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F364:F365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68678-C7F9-402C-A1EB-170731005845}">
  <dimension ref="A1:Q147"/>
  <sheetViews>
    <sheetView showGridLines="0" zoomScale="70" zoomScaleNormal="70" workbookViewId="0"/>
  </sheetViews>
  <sheetFormatPr defaultColWidth="8.7109375" defaultRowHeight="23.25" customHeight="1"/>
  <cols>
    <col min="1" max="1" width="3.28515625" style="119" customWidth="1"/>
    <col min="2" max="2" width="13" style="129" customWidth="1"/>
    <col min="3" max="3" width="57" style="130" customWidth="1"/>
    <col min="4" max="4" width="9.85546875" style="119" customWidth="1"/>
    <col min="5" max="17" width="5.7109375" style="119" customWidth="1"/>
    <col min="18" max="41" width="8.42578125" style="121" customWidth="1"/>
    <col min="42" max="67" width="6.42578125" style="121" customWidth="1"/>
    <col min="68" max="16384" width="8.7109375" style="121"/>
  </cols>
  <sheetData>
    <row r="1" spans="2:17" ht="23.25" customHeight="1" thickBot="1">
      <c r="B1" s="117" t="s">
        <v>148</v>
      </c>
      <c r="C1" s="118"/>
      <c r="F1" s="120"/>
      <c r="G1" s="120"/>
      <c r="H1" s="121"/>
      <c r="I1" s="121"/>
      <c r="J1" s="121"/>
      <c r="K1" s="121"/>
      <c r="L1" s="121"/>
      <c r="M1" s="121"/>
      <c r="N1" s="121"/>
      <c r="O1" s="121"/>
      <c r="P1" s="121"/>
      <c r="Q1" s="121"/>
    </row>
    <row r="2" spans="2:17" ht="23.25" customHeight="1" thickBot="1">
      <c r="B2" s="122" t="s">
        <v>8</v>
      </c>
      <c r="C2" s="123" t="s">
        <v>11</v>
      </c>
      <c r="D2" s="122" t="s">
        <v>10</v>
      </c>
      <c r="N2" s="121"/>
      <c r="O2" s="121"/>
      <c r="P2" s="121"/>
      <c r="Q2" s="121"/>
    </row>
    <row r="3" spans="2:17" ht="23.25" customHeight="1">
      <c r="B3" s="124" t="s">
        <v>26</v>
      </c>
      <c r="C3" s="125">
        <f>IF(ISBLANK(Case!E53),"",Case!E53)</f>
        <v>355</v>
      </c>
      <c r="D3" s="126">
        <v>50</v>
      </c>
      <c r="E3" s="121"/>
      <c r="F3" s="121"/>
      <c r="G3" s="121"/>
      <c r="H3" s="121"/>
      <c r="I3" s="121"/>
      <c r="J3" s="121"/>
      <c r="K3" s="121"/>
      <c r="L3" s="121"/>
      <c r="M3" s="121"/>
      <c r="N3" s="121"/>
      <c r="O3" s="121"/>
      <c r="P3" s="121"/>
      <c r="Q3" s="121"/>
    </row>
    <row r="4" spans="2:17" ht="23.25" customHeight="1">
      <c r="B4" s="127" t="s">
        <v>27</v>
      </c>
      <c r="C4" s="125">
        <f>IF(ISBLANK(Case!E54),"",Case!E54)</f>
        <v>53</v>
      </c>
      <c r="D4" s="128">
        <v>50</v>
      </c>
      <c r="E4" s="121"/>
      <c r="F4" s="121"/>
      <c r="G4" s="121"/>
      <c r="H4" s="121"/>
      <c r="I4" s="121"/>
      <c r="J4" s="121"/>
      <c r="K4" s="121"/>
      <c r="L4" s="121"/>
      <c r="M4" s="121"/>
      <c r="N4" s="121"/>
      <c r="O4" s="121"/>
      <c r="P4" s="121"/>
      <c r="Q4" s="121"/>
    </row>
    <row r="5" spans="2:17" ht="23.25" customHeight="1">
      <c r="B5" s="127" t="s">
        <v>28</v>
      </c>
      <c r="C5" s="125">
        <f>IF(ISBLANK(Case!E55),"",Case!E55)</f>
        <v>6</v>
      </c>
      <c r="D5" s="128">
        <v>50</v>
      </c>
      <c r="E5" s="121"/>
      <c r="F5" s="121"/>
      <c r="G5" s="121"/>
      <c r="H5" s="121"/>
      <c r="I5" s="121"/>
      <c r="J5" s="121"/>
      <c r="K5" s="121"/>
      <c r="L5" s="121"/>
      <c r="M5" s="121"/>
      <c r="N5" s="121"/>
      <c r="O5" s="121"/>
      <c r="P5" s="121"/>
      <c r="Q5" s="121"/>
    </row>
    <row r="6" spans="2:17" ht="23.25" customHeight="1">
      <c r="B6" s="127" t="s">
        <v>29</v>
      </c>
      <c r="C6" s="125">
        <f>IF(ISBLANK(Case!E56),"",Case!E56)</f>
        <v>10</v>
      </c>
      <c r="D6" s="128">
        <v>50</v>
      </c>
      <c r="E6" s="121"/>
      <c r="F6" s="121"/>
      <c r="G6" s="121"/>
      <c r="H6" s="121"/>
      <c r="I6" s="121"/>
      <c r="J6" s="121"/>
      <c r="K6" s="121"/>
      <c r="L6" s="121"/>
      <c r="M6" s="121"/>
      <c r="N6" s="121"/>
      <c r="O6" s="121"/>
      <c r="P6" s="121"/>
      <c r="Q6" s="121"/>
    </row>
    <row r="7" spans="2:17" ht="23.25" customHeight="1">
      <c r="B7" s="127" t="s">
        <v>30</v>
      </c>
      <c r="C7" s="125">
        <f>IF(ISBLANK(Case!E57),"",Case!E57)</f>
        <v>1746</v>
      </c>
      <c r="D7" s="128">
        <v>50</v>
      </c>
      <c r="E7" s="121"/>
      <c r="F7" s="121"/>
      <c r="G7" s="121"/>
      <c r="H7" s="121"/>
      <c r="I7" s="121"/>
      <c r="J7" s="121"/>
      <c r="K7" s="121"/>
      <c r="L7" s="121"/>
      <c r="M7" s="121"/>
      <c r="N7" s="121"/>
      <c r="O7" s="121"/>
      <c r="P7" s="121"/>
      <c r="Q7" s="121"/>
    </row>
    <row r="8" spans="2:17" ht="23.25" customHeight="1">
      <c r="B8" s="51">
        <v>1</v>
      </c>
      <c r="C8" s="125">
        <f>IF(ISBLANK(Case!E76),"",Case!E76)</f>
        <v>29</v>
      </c>
      <c r="D8" s="124">
        <v>4</v>
      </c>
      <c r="F8" s="121"/>
      <c r="G8" s="121"/>
      <c r="H8" s="121"/>
      <c r="I8" s="121"/>
      <c r="J8" s="121"/>
      <c r="K8" s="121"/>
      <c r="L8" s="121"/>
      <c r="M8" s="121"/>
      <c r="N8" s="121"/>
      <c r="O8" s="121"/>
      <c r="P8" s="121"/>
      <c r="Q8" s="121"/>
    </row>
    <row r="9" spans="2:17" ht="23.25" customHeight="1">
      <c r="B9" s="51">
        <f t="shared" ref="B9:B72" si="0">B8+1</f>
        <v>2</v>
      </c>
      <c r="C9" s="125">
        <f>IF(ISBLANK(Case!E77),"",Case!E77)</f>
        <v>31</v>
      </c>
      <c r="D9" s="124">
        <v>4</v>
      </c>
      <c r="F9" s="121"/>
      <c r="G9" s="121"/>
      <c r="H9" s="121"/>
      <c r="I9" s="121"/>
      <c r="J9" s="121"/>
      <c r="K9" s="121"/>
      <c r="L9" s="121"/>
      <c r="M9" s="121"/>
      <c r="N9" s="121"/>
      <c r="O9" s="121"/>
      <c r="P9" s="121"/>
      <c r="Q9" s="121"/>
    </row>
    <row r="10" spans="2:17" ht="23.25" customHeight="1">
      <c r="B10" s="51">
        <f t="shared" si="0"/>
        <v>3</v>
      </c>
      <c r="C10" s="125">
        <f>IF(ISBLANK(Case!E78),"",Case!E78)</f>
        <v>35</v>
      </c>
      <c r="D10" s="124">
        <v>4</v>
      </c>
      <c r="F10" s="121"/>
      <c r="G10" s="121"/>
      <c r="H10" s="121"/>
      <c r="I10" s="121"/>
      <c r="J10" s="121"/>
      <c r="K10" s="121"/>
      <c r="L10" s="121"/>
      <c r="M10" s="121"/>
      <c r="N10" s="121"/>
      <c r="O10" s="121"/>
      <c r="P10" s="121"/>
      <c r="Q10" s="121"/>
    </row>
    <row r="11" spans="2:17" ht="23.25" customHeight="1">
      <c r="B11" s="51">
        <f t="shared" si="0"/>
        <v>4</v>
      </c>
      <c r="C11" s="125">
        <f>IF(ISBLANK(Case!E79),"",Case!E79)</f>
        <v>35</v>
      </c>
      <c r="D11" s="124">
        <v>4</v>
      </c>
      <c r="F11" s="121"/>
      <c r="G11" s="121"/>
      <c r="H11" s="121"/>
      <c r="I11" s="121"/>
      <c r="J11" s="121"/>
      <c r="K11" s="121"/>
      <c r="L11" s="121"/>
      <c r="M11" s="121"/>
      <c r="N11" s="121"/>
      <c r="O11" s="121"/>
      <c r="P11" s="121"/>
      <c r="Q11" s="121"/>
    </row>
    <row r="12" spans="2:17" ht="23.25" customHeight="1">
      <c r="B12" s="51">
        <f t="shared" si="0"/>
        <v>5</v>
      </c>
      <c r="C12" s="125">
        <f>IF(ISBLANK(Case!E80),"",Case!E80)</f>
        <v>28</v>
      </c>
      <c r="D12" s="124">
        <v>4</v>
      </c>
      <c r="F12" s="121"/>
      <c r="G12" s="121"/>
      <c r="H12" s="121"/>
      <c r="I12" s="121"/>
      <c r="J12" s="121"/>
      <c r="K12" s="121"/>
      <c r="L12" s="121"/>
      <c r="M12" s="121"/>
      <c r="N12" s="121"/>
      <c r="O12" s="121"/>
      <c r="P12" s="121"/>
      <c r="Q12" s="121"/>
    </row>
    <row r="13" spans="2:17" ht="23.25" customHeight="1">
      <c r="B13" s="51">
        <f t="shared" si="0"/>
        <v>6</v>
      </c>
      <c r="C13" s="125">
        <f>IF(ISBLANK(Case!E81),"",Case!E81)</f>
        <v>31</v>
      </c>
      <c r="D13" s="124">
        <v>4</v>
      </c>
      <c r="F13" s="121"/>
      <c r="G13" s="121"/>
      <c r="H13" s="121"/>
      <c r="I13" s="121"/>
      <c r="J13" s="121"/>
      <c r="K13" s="121"/>
      <c r="L13" s="121"/>
      <c r="M13" s="121"/>
      <c r="N13" s="121"/>
      <c r="O13" s="121"/>
      <c r="P13" s="121"/>
      <c r="Q13" s="121"/>
    </row>
    <row r="14" spans="2:17" ht="23.25" customHeight="1">
      <c r="B14" s="51">
        <f t="shared" si="0"/>
        <v>7</v>
      </c>
      <c r="C14" s="125">
        <f>IF(ISBLANK(Case!E82),"",Case!E82)</f>
        <v>30</v>
      </c>
      <c r="D14" s="124">
        <v>4</v>
      </c>
      <c r="F14" s="121"/>
      <c r="G14" s="121"/>
      <c r="H14" s="121"/>
      <c r="I14" s="121"/>
      <c r="J14" s="121"/>
      <c r="K14" s="121"/>
      <c r="L14" s="121"/>
      <c r="M14" s="121"/>
      <c r="N14" s="121"/>
      <c r="O14" s="121"/>
      <c r="P14" s="121"/>
      <c r="Q14" s="121"/>
    </row>
    <row r="15" spans="2:17" ht="23.25" customHeight="1">
      <c r="B15" s="51">
        <f t="shared" si="0"/>
        <v>8</v>
      </c>
      <c r="C15" s="125">
        <f>IF(ISBLANK(Case!E83),"",Case!E83)</f>
        <v>32</v>
      </c>
      <c r="D15" s="124">
        <v>4</v>
      </c>
      <c r="F15" s="121"/>
      <c r="G15" s="121"/>
      <c r="H15" s="121"/>
      <c r="I15" s="121"/>
      <c r="J15" s="121"/>
      <c r="K15" s="121"/>
      <c r="L15" s="121"/>
      <c r="M15" s="121"/>
      <c r="N15" s="121"/>
      <c r="O15" s="121"/>
      <c r="P15" s="121"/>
      <c r="Q15" s="121"/>
    </row>
    <row r="16" spans="2:17" ht="23.25" customHeight="1">
      <c r="B16" s="51">
        <f t="shared" si="0"/>
        <v>9</v>
      </c>
      <c r="C16" s="125">
        <f>IF(ISBLANK(Case!E84),"",Case!E84)</f>
        <v>37</v>
      </c>
      <c r="D16" s="124">
        <v>4</v>
      </c>
      <c r="F16" s="121"/>
      <c r="G16" s="121"/>
      <c r="H16" s="121"/>
      <c r="I16" s="121"/>
      <c r="J16" s="121"/>
      <c r="K16" s="121"/>
      <c r="L16" s="121"/>
      <c r="M16" s="121"/>
      <c r="N16" s="121"/>
      <c r="O16" s="121"/>
      <c r="P16" s="121"/>
      <c r="Q16" s="121"/>
    </row>
    <row r="17" spans="2:17" ht="23.25" customHeight="1">
      <c r="B17" s="51">
        <f t="shared" si="0"/>
        <v>10</v>
      </c>
      <c r="C17" s="125">
        <f>IF(ISBLANK(Case!E85),"",Case!E85)</f>
        <v>33</v>
      </c>
      <c r="D17" s="124">
        <v>4</v>
      </c>
      <c r="F17" s="121"/>
      <c r="G17" s="121"/>
      <c r="H17" s="121"/>
      <c r="I17" s="121"/>
      <c r="J17" s="121"/>
      <c r="K17" s="121"/>
      <c r="L17" s="121"/>
      <c r="M17" s="121"/>
      <c r="N17" s="121"/>
      <c r="O17" s="121"/>
      <c r="P17" s="121"/>
      <c r="Q17" s="121"/>
    </row>
    <row r="18" spans="2:17" ht="23.25" customHeight="1">
      <c r="B18" s="51">
        <f t="shared" si="0"/>
        <v>11</v>
      </c>
      <c r="C18" s="125">
        <f>IF(ISBLANK(Case!E86),"",Case!E86)</f>
        <v>28</v>
      </c>
      <c r="D18" s="124">
        <v>4</v>
      </c>
      <c r="F18" s="121"/>
      <c r="G18" s="121"/>
      <c r="H18" s="121"/>
      <c r="I18" s="121"/>
      <c r="J18" s="121"/>
      <c r="K18" s="121"/>
      <c r="L18" s="121"/>
      <c r="M18" s="121"/>
      <c r="N18" s="121"/>
      <c r="O18" s="121"/>
      <c r="P18" s="121"/>
      <c r="Q18" s="121"/>
    </row>
    <row r="19" spans="2:17" ht="23.25" customHeight="1">
      <c r="B19" s="51">
        <f t="shared" si="0"/>
        <v>12</v>
      </c>
      <c r="C19" s="125">
        <f>IF(ISBLANK(Case!E87),"",Case!E87)</f>
        <v>34</v>
      </c>
      <c r="D19" s="124">
        <v>4</v>
      </c>
      <c r="F19" s="121"/>
      <c r="G19" s="121"/>
      <c r="H19" s="121"/>
      <c r="I19" s="121"/>
      <c r="J19" s="121"/>
      <c r="K19" s="121"/>
      <c r="L19" s="121"/>
      <c r="M19" s="121"/>
      <c r="N19" s="121"/>
      <c r="O19" s="121"/>
      <c r="P19" s="121"/>
      <c r="Q19" s="121"/>
    </row>
    <row r="20" spans="2:17" ht="23.25" customHeight="1">
      <c r="B20" s="51">
        <f t="shared" si="0"/>
        <v>13</v>
      </c>
      <c r="C20" s="125">
        <f>IF(ISBLANK(Case!E88),"",Case!E88)</f>
        <v>31</v>
      </c>
      <c r="D20" s="124">
        <v>4</v>
      </c>
      <c r="F20" s="121"/>
      <c r="G20" s="121"/>
      <c r="H20" s="121"/>
      <c r="I20" s="121"/>
      <c r="J20" s="121"/>
      <c r="K20" s="121"/>
      <c r="L20" s="121"/>
      <c r="M20" s="121"/>
      <c r="N20" s="121"/>
      <c r="O20" s="121"/>
      <c r="P20" s="121"/>
      <c r="Q20" s="121"/>
    </row>
    <row r="21" spans="2:17" ht="23.25" customHeight="1">
      <c r="B21" s="51">
        <f t="shared" si="0"/>
        <v>14</v>
      </c>
      <c r="C21" s="125">
        <f>IF(ISBLANK(Case!E89),"",Case!E89)</f>
        <v>35</v>
      </c>
      <c r="D21" s="124">
        <v>4</v>
      </c>
      <c r="F21" s="121"/>
      <c r="G21" s="121"/>
      <c r="H21" s="121"/>
      <c r="I21" s="121"/>
      <c r="J21" s="121"/>
      <c r="K21" s="121"/>
      <c r="L21" s="121"/>
      <c r="M21" s="121"/>
      <c r="N21" s="121"/>
      <c r="O21" s="121"/>
      <c r="P21" s="121"/>
      <c r="Q21" s="121"/>
    </row>
    <row r="22" spans="2:17" ht="23.25" customHeight="1">
      <c r="B22" s="51">
        <f t="shared" si="0"/>
        <v>15</v>
      </c>
      <c r="C22" s="125">
        <f>IF(ISBLANK(Case!E90),"",Case!E90)</f>
        <v>34</v>
      </c>
      <c r="D22" s="124">
        <v>4</v>
      </c>
      <c r="F22" s="121"/>
      <c r="G22" s="121"/>
      <c r="H22" s="121"/>
      <c r="I22" s="121"/>
      <c r="J22" s="121"/>
      <c r="K22" s="121"/>
      <c r="L22" s="121"/>
      <c r="M22" s="121"/>
      <c r="N22" s="121"/>
      <c r="O22" s="121"/>
      <c r="P22" s="121"/>
      <c r="Q22" s="121"/>
    </row>
    <row r="23" spans="2:17" ht="23.25" customHeight="1">
      <c r="B23" s="51">
        <f t="shared" si="0"/>
        <v>16</v>
      </c>
      <c r="C23" s="125">
        <f>IF(ISBLANK(Case!E91),"",Case!E91)</f>
        <v>30</v>
      </c>
      <c r="D23" s="124">
        <v>4</v>
      </c>
      <c r="F23" s="121"/>
      <c r="G23" s="121"/>
      <c r="H23" s="121"/>
      <c r="I23" s="121"/>
      <c r="J23" s="121"/>
      <c r="K23" s="121"/>
      <c r="L23" s="121"/>
      <c r="M23" s="121"/>
      <c r="N23" s="121"/>
      <c r="O23" s="121"/>
      <c r="P23" s="121"/>
      <c r="Q23" s="121"/>
    </row>
    <row r="24" spans="2:17" ht="23.25" customHeight="1">
      <c r="B24" s="51">
        <f t="shared" si="0"/>
        <v>17</v>
      </c>
      <c r="C24" s="125">
        <f>IF(ISBLANK(Case!E92),"",Case!E92)</f>
        <v>33</v>
      </c>
      <c r="D24" s="124">
        <v>4</v>
      </c>
      <c r="F24" s="121"/>
      <c r="G24" s="121"/>
      <c r="H24" s="121"/>
      <c r="I24" s="121"/>
      <c r="J24" s="121"/>
      <c r="K24" s="121"/>
      <c r="L24" s="121"/>
      <c r="M24" s="121"/>
      <c r="N24" s="121"/>
      <c r="O24" s="121"/>
      <c r="P24" s="121"/>
      <c r="Q24" s="121"/>
    </row>
    <row r="25" spans="2:17" ht="23.25" customHeight="1">
      <c r="B25" s="51">
        <f t="shared" si="0"/>
        <v>18</v>
      </c>
      <c r="C25" s="125">
        <f>IF(ISBLANK(Case!E93),"",Case!E93)</f>
        <v>29</v>
      </c>
      <c r="D25" s="124">
        <v>4</v>
      </c>
      <c r="F25" s="121"/>
      <c r="G25" s="121"/>
      <c r="H25" s="121"/>
      <c r="I25" s="121"/>
      <c r="J25" s="121"/>
      <c r="K25" s="121"/>
      <c r="L25" s="121"/>
      <c r="M25" s="121"/>
      <c r="N25" s="121"/>
      <c r="O25" s="121"/>
      <c r="P25" s="121"/>
      <c r="Q25" s="121"/>
    </row>
    <row r="26" spans="2:17" ht="23.25" customHeight="1">
      <c r="B26" s="51">
        <f t="shared" si="0"/>
        <v>19</v>
      </c>
      <c r="C26" s="125">
        <f>IF(ISBLANK(Case!E94),"",Case!E94)</f>
        <v>32</v>
      </c>
      <c r="D26" s="124">
        <v>4</v>
      </c>
      <c r="F26" s="121"/>
      <c r="G26" s="121"/>
      <c r="H26" s="121"/>
      <c r="I26" s="121"/>
      <c r="J26" s="121"/>
      <c r="K26" s="121"/>
      <c r="L26" s="121"/>
      <c r="M26" s="121"/>
      <c r="N26" s="121"/>
      <c r="O26" s="121"/>
      <c r="P26" s="121"/>
      <c r="Q26" s="121"/>
    </row>
    <row r="27" spans="2:17" ht="23.25" customHeight="1">
      <c r="B27" s="51">
        <f t="shared" si="0"/>
        <v>20</v>
      </c>
      <c r="C27" s="125">
        <f>IF(ISBLANK(Case!E95),"",Case!E95)</f>
        <v>34</v>
      </c>
      <c r="D27" s="124">
        <v>4</v>
      </c>
      <c r="F27" s="121"/>
      <c r="G27" s="121"/>
      <c r="H27" s="121"/>
      <c r="I27" s="121"/>
      <c r="J27" s="121"/>
      <c r="K27" s="121"/>
      <c r="L27" s="121"/>
      <c r="M27" s="121"/>
      <c r="N27" s="121"/>
      <c r="O27" s="121"/>
      <c r="P27" s="121"/>
      <c r="Q27" s="121"/>
    </row>
    <row r="28" spans="2:17" ht="23.25" customHeight="1">
      <c r="B28" s="51">
        <f t="shared" si="0"/>
        <v>21</v>
      </c>
      <c r="C28" s="125">
        <f>IF(ISBLANK(Case!E112),"",Case!E112)</f>
        <v>5</v>
      </c>
      <c r="D28" s="124">
        <v>5</v>
      </c>
    </row>
    <row r="29" spans="2:17" ht="23.25" customHeight="1">
      <c r="B29" s="51">
        <f t="shared" si="0"/>
        <v>22</v>
      </c>
      <c r="C29" s="125">
        <f>IF(ISBLANK(Case!E113),"",Case!E113)</f>
        <v>4</v>
      </c>
      <c r="D29" s="124">
        <v>5</v>
      </c>
    </row>
    <row r="30" spans="2:17" ht="23.25" customHeight="1">
      <c r="B30" s="51">
        <f t="shared" si="0"/>
        <v>23</v>
      </c>
      <c r="C30" s="125">
        <f>IF(ISBLANK(Case!E114),"",Case!E114)</f>
        <v>5</v>
      </c>
      <c r="D30" s="124">
        <v>5</v>
      </c>
    </row>
    <row r="31" spans="2:17" ht="23.25" customHeight="1">
      <c r="B31" s="51">
        <f t="shared" si="0"/>
        <v>24</v>
      </c>
      <c r="C31" s="125">
        <f>IF(ISBLANK(Case!E115),"",Case!E115)</f>
        <v>5</v>
      </c>
      <c r="D31" s="124">
        <v>5</v>
      </c>
    </row>
    <row r="32" spans="2:17" s="119" customFormat="1" ht="23.25" customHeight="1">
      <c r="B32" s="51">
        <f t="shared" si="0"/>
        <v>25</v>
      </c>
      <c r="C32" s="125">
        <f>IF(ISBLANK(Case!E116),"",Case!E116)</f>
        <v>5</v>
      </c>
      <c r="D32" s="124">
        <v>5</v>
      </c>
    </row>
    <row r="33" spans="2:4" s="119" customFormat="1" ht="23.25" customHeight="1">
      <c r="B33" s="51">
        <f t="shared" si="0"/>
        <v>26</v>
      </c>
      <c r="C33" s="125">
        <f>IF(ISBLANK(Case!E117),"",Case!E117)</f>
        <v>5</v>
      </c>
      <c r="D33" s="124">
        <v>5</v>
      </c>
    </row>
    <row r="34" spans="2:4" s="119" customFormat="1" ht="23.25" customHeight="1">
      <c r="B34" s="51">
        <f t="shared" si="0"/>
        <v>27</v>
      </c>
      <c r="C34" s="125">
        <f>IF(ISBLANK(Case!E118),"",Case!E118)</f>
        <v>3</v>
      </c>
      <c r="D34" s="124">
        <v>5</v>
      </c>
    </row>
    <row r="35" spans="2:4" s="119" customFormat="1" ht="23.25" customHeight="1">
      <c r="B35" s="51">
        <f t="shared" si="0"/>
        <v>28</v>
      </c>
      <c r="C35" s="125">
        <f>IF(ISBLANK(Case!E119),"",Case!E119)</f>
        <v>5</v>
      </c>
      <c r="D35" s="124">
        <v>5</v>
      </c>
    </row>
    <row r="36" spans="2:4" s="119" customFormat="1" ht="23.25" customHeight="1">
      <c r="B36" s="51">
        <f t="shared" si="0"/>
        <v>29</v>
      </c>
      <c r="C36" s="125">
        <f>IF(ISBLANK(Case!E120),"",Case!E120)</f>
        <v>5</v>
      </c>
      <c r="D36" s="124">
        <v>5</v>
      </c>
    </row>
    <row r="37" spans="2:4" s="119" customFormat="1" ht="23.25" customHeight="1">
      <c r="B37" s="51">
        <f t="shared" si="0"/>
        <v>30</v>
      </c>
      <c r="C37" s="125">
        <f>IF(ISBLANK(Case!E121),"",Case!E121)</f>
        <v>5</v>
      </c>
      <c r="D37" s="124">
        <v>5</v>
      </c>
    </row>
    <row r="38" spans="2:4" s="119" customFormat="1" ht="23.25" customHeight="1">
      <c r="B38" s="51">
        <f t="shared" si="0"/>
        <v>31</v>
      </c>
      <c r="C38" s="125">
        <f>IF(ISBLANK(Case!E122),"",Case!E122)</f>
        <v>5</v>
      </c>
      <c r="D38" s="124">
        <v>5</v>
      </c>
    </row>
    <row r="39" spans="2:4" s="119" customFormat="1" ht="23.25" customHeight="1">
      <c r="B39" s="51">
        <f t="shared" si="0"/>
        <v>32</v>
      </c>
      <c r="C39" s="125">
        <f>IF(ISBLANK(Case!E123),"",Case!E123)</f>
        <v>5</v>
      </c>
      <c r="D39" s="124">
        <v>5</v>
      </c>
    </row>
    <row r="40" spans="2:4" s="119" customFormat="1" ht="23.25" customHeight="1">
      <c r="B40" s="51">
        <f t="shared" si="0"/>
        <v>33</v>
      </c>
      <c r="C40" s="125">
        <f>IF(ISBLANK(Case!E124),"",Case!E124)</f>
        <v>5</v>
      </c>
      <c r="D40" s="124">
        <v>5</v>
      </c>
    </row>
    <row r="41" spans="2:4" s="119" customFormat="1" ht="23.25" customHeight="1">
      <c r="B41" s="51">
        <f t="shared" si="0"/>
        <v>34</v>
      </c>
      <c r="C41" s="125">
        <f>IF(ISBLANK(Case!E125),"",Case!E125)</f>
        <v>4</v>
      </c>
      <c r="D41" s="124">
        <v>5</v>
      </c>
    </row>
    <row r="42" spans="2:4" s="119" customFormat="1" ht="23.25" customHeight="1">
      <c r="B42" s="51">
        <f t="shared" si="0"/>
        <v>35</v>
      </c>
      <c r="C42" s="125">
        <f>IF(ISBLANK(Case!E126),"",Case!E126)</f>
        <v>4</v>
      </c>
      <c r="D42" s="124">
        <v>5</v>
      </c>
    </row>
    <row r="43" spans="2:4" s="119" customFormat="1" ht="23.25" customHeight="1">
      <c r="B43" s="51">
        <f t="shared" si="0"/>
        <v>36</v>
      </c>
      <c r="C43" s="125">
        <f>IF(ISBLANK(Case!E127),"",Case!E127)</f>
        <v>5</v>
      </c>
      <c r="D43" s="124">
        <v>5</v>
      </c>
    </row>
    <row r="44" spans="2:4" s="119" customFormat="1" ht="23.25" customHeight="1">
      <c r="B44" s="51">
        <f t="shared" si="0"/>
        <v>37</v>
      </c>
      <c r="C44" s="125">
        <f>IF(ISBLANK(Case!E128),"",Case!E128)</f>
        <v>5</v>
      </c>
      <c r="D44" s="124">
        <v>5</v>
      </c>
    </row>
    <row r="45" spans="2:4" s="119" customFormat="1" ht="23.25" customHeight="1">
      <c r="B45" s="51">
        <f t="shared" si="0"/>
        <v>38</v>
      </c>
      <c r="C45" s="125">
        <f>IF(ISBLANK(Case!E129),"",Case!E129)</f>
        <v>5</v>
      </c>
      <c r="D45" s="124">
        <v>5</v>
      </c>
    </row>
    <row r="46" spans="2:4" s="119" customFormat="1" ht="23.25" customHeight="1">
      <c r="B46" s="51">
        <f t="shared" si="0"/>
        <v>39</v>
      </c>
      <c r="C46" s="125">
        <f>IF(ISBLANK(Case!E130),"",Case!E130)</f>
        <v>4</v>
      </c>
      <c r="D46" s="124">
        <v>5</v>
      </c>
    </row>
    <row r="47" spans="2:4" s="119" customFormat="1" ht="23.25" customHeight="1">
      <c r="B47" s="51">
        <f t="shared" si="0"/>
        <v>40</v>
      </c>
      <c r="C47" s="125">
        <f>IF(ISBLANK(Case!E131),"",Case!E131)</f>
        <v>5</v>
      </c>
      <c r="D47" s="124">
        <v>5</v>
      </c>
    </row>
    <row r="48" spans="2:4" s="119" customFormat="1" ht="23.25" customHeight="1">
      <c r="B48" s="51">
        <f t="shared" si="0"/>
        <v>41</v>
      </c>
      <c r="C48" s="125">
        <f>IF(ISBLANK(Case!E148),"",Case!E148)</f>
        <v>8</v>
      </c>
      <c r="D48" s="124">
        <v>6</v>
      </c>
    </row>
    <row r="49" spans="2:4" s="119" customFormat="1" ht="23.25" customHeight="1">
      <c r="B49" s="51">
        <f t="shared" si="0"/>
        <v>42</v>
      </c>
      <c r="C49" s="125">
        <f>IF(ISBLANK(Case!E149),"",Case!E149)</f>
        <v>10</v>
      </c>
      <c r="D49" s="124">
        <v>6</v>
      </c>
    </row>
    <row r="50" spans="2:4" s="119" customFormat="1" ht="23.25" customHeight="1">
      <c r="B50" s="51">
        <f t="shared" si="0"/>
        <v>43</v>
      </c>
      <c r="C50" s="125">
        <f>IF(ISBLANK(Case!E150),"",Case!E150)</f>
        <v>9</v>
      </c>
      <c r="D50" s="124">
        <v>6</v>
      </c>
    </row>
    <row r="51" spans="2:4" s="119" customFormat="1" ht="23.25" customHeight="1">
      <c r="B51" s="51">
        <f t="shared" si="0"/>
        <v>44</v>
      </c>
      <c r="C51" s="125">
        <f>IF(ISBLANK(Case!E151),"",Case!E151)</f>
        <v>10</v>
      </c>
      <c r="D51" s="124">
        <v>6</v>
      </c>
    </row>
    <row r="52" spans="2:4" s="119" customFormat="1" ht="23.25" customHeight="1">
      <c r="B52" s="51">
        <f t="shared" si="0"/>
        <v>45</v>
      </c>
      <c r="C52" s="125">
        <f>IF(ISBLANK(Case!E152),"",Case!E152)</f>
        <v>10</v>
      </c>
      <c r="D52" s="124">
        <v>6</v>
      </c>
    </row>
    <row r="53" spans="2:4" s="119" customFormat="1" ht="23.25" customHeight="1">
      <c r="B53" s="51">
        <f t="shared" si="0"/>
        <v>46</v>
      </c>
      <c r="C53" s="125">
        <f>IF(ISBLANK(Case!E153),"",Case!E153)</f>
        <v>10</v>
      </c>
      <c r="D53" s="124">
        <v>6</v>
      </c>
    </row>
    <row r="54" spans="2:4" s="119" customFormat="1" ht="23.25" customHeight="1">
      <c r="B54" s="51">
        <f t="shared" si="0"/>
        <v>47</v>
      </c>
      <c r="C54" s="125">
        <f>IF(ISBLANK(Case!E154),"",Case!E154)</f>
        <v>10</v>
      </c>
      <c r="D54" s="124">
        <v>6</v>
      </c>
    </row>
    <row r="55" spans="2:4" s="119" customFormat="1" ht="23.25" customHeight="1">
      <c r="B55" s="51">
        <f t="shared" si="0"/>
        <v>48</v>
      </c>
      <c r="C55" s="125">
        <f>IF(ISBLANK(Case!E155),"",Case!E155)</f>
        <v>10</v>
      </c>
      <c r="D55" s="124">
        <v>6</v>
      </c>
    </row>
    <row r="56" spans="2:4" s="119" customFormat="1" ht="23.25" customHeight="1">
      <c r="B56" s="51">
        <f t="shared" si="0"/>
        <v>49</v>
      </c>
      <c r="C56" s="125">
        <f>IF(ISBLANK(Case!E156),"",Case!E156)</f>
        <v>10</v>
      </c>
      <c r="D56" s="124">
        <v>6</v>
      </c>
    </row>
    <row r="57" spans="2:4" s="119" customFormat="1" ht="23.25" customHeight="1">
      <c r="B57" s="51">
        <f t="shared" si="0"/>
        <v>50</v>
      </c>
      <c r="C57" s="125">
        <f>IF(ISBLANK(Case!E157),"",Case!E157)</f>
        <v>9</v>
      </c>
      <c r="D57" s="124">
        <v>6</v>
      </c>
    </row>
    <row r="58" spans="2:4" s="119" customFormat="1" ht="23.25" customHeight="1">
      <c r="B58" s="51">
        <f t="shared" si="0"/>
        <v>51</v>
      </c>
      <c r="C58" s="125">
        <f>IF(ISBLANK(Case!E158),"",Case!E158)</f>
        <v>10</v>
      </c>
      <c r="D58" s="124">
        <v>6</v>
      </c>
    </row>
    <row r="59" spans="2:4" s="119" customFormat="1" ht="23.25" customHeight="1">
      <c r="B59" s="51">
        <f t="shared" si="0"/>
        <v>52</v>
      </c>
      <c r="C59" s="125">
        <f>IF(ISBLANK(Case!E159),"",Case!E159)</f>
        <v>9</v>
      </c>
      <c r="D59" s="124">
        <v>6</v>
      </c>
    </row>
    <row r="60" spans="2:4" s="119" customFormat="1" ht="23.25" customHeight="1">
      <c r="B60" s="51">
        <f t="shared" si="0"/>
        <v>53</v>
      </c>
      <c r="C60" s="125">
        <f>IF(ISBLANK(Case!E160),"",Case!E160)</f>
        <v>10</v>
      </c>
      <c r="D60" s="124">
        <v>6</v>
      </c>
    </row>
    <row r="61" spans="2:4" s="119" customFormat="1" ht="23.25" customHeight="1">
      <c r="B61" s="51">
        <f t="shared" si="0"/>
        <v>54</v>
      </c>
      <c r="C61" s="125">
        <f>IF(ISBLANK(Case!E161),"",Case!E161)</f>
        <v>10</v>
      </c>
      <c r="D61" s="124">
        <v>6</v>
      </c>
    </row>
    <row r="62" spans="2:4" s="119" customFormat="1" ht="23.25" customHeight="1">
      <c r="B62" s="51">
        <f t="shared" si="0"/>
        <v>55</v>
      </c>
      <c r="C62" s="125">
        <f>IF(ISBLANK(Case!E162),"",Case!E162)</f>
        <v>10</v>
      </c>
      <c r="D62" s="124">
        <v>6</v>
      </c>
    </row>
    <row r="63" spans="2:4" s="119" customFormat="1" ht="23.25" customHeight="1">
      <c r="B63" s="51">
        <f t="shared" si="0"/>
        <v>56</v>
      </c>
      <c r="C63" s="125">
        <f>IF(ISBLANK(Case!E163),"",Case!E163)</f>
        <v>10</v>
      </c>
      <c r="D63" s="124">
        <v>6</v>
      </c>
    </row>
    <row r="64" spans="2:4" s="119" customFormat="1" ht="23.25" customHeight="1">
      <c r="B64" s="51">
        <f t="shared" si="0"/>
        <v>57</v>
      </c>
      <c r="C64" s="125">
        <f>IF(ISBLANK(Case!E164),"",Case!E164)</f>
        <v>10</v>
      </c>
      <c r="D64" s="124">
        <v>6</v>
      </c>
    </row>
    <row r="65" spans="2:4" s="119" customFormat="1" ht="23.25" customHeight="1">
      <c r="B65" s="51">
        <f t="shared" si="0"/>
        <v>58</v>
      </c>
      <c r="C65" s="125">
        <f>IF(ISBLANK(Case!E165),"",Case!E165)</f>
        <v>10</v>
      </c>
      <c r="D65" s="124">
        <v>6</v>
      </c>
    </row>
    <row r="66" spans="2:4" s="119" customFormat="1" ht="23.25" customHeight="1">
      <c r="B66" s="51">
        <f t="shared" si="0"/>
        <v>59</v>
      </c>
      <c r="C66" s="125">
        <f>IF(ISBLANK(Case!E166),"",Case!E166)</f>
        <v>9</v>
      </c>
      <c r="D66" s="124">
        <v>6</v>
      </c>
    </row>
    <row r="67" spans="2:4" s="119" customFormat="1" ht="23.25" customHeight="1">
      <c r="B67" s="51">
        <f t="shared" si="0"/>
        <v>60</v>
      </c>
      <c r="C67" s="125">
        <f>IF(ISBLANK(Case!E167),"",Case!E167)</f>
        <v>10</v>
      </c>
      <c r="D67" s="124">
        <v>6</v>
      </c>
    </row>
    <row r="68" spans="2:4" s="119" customFormat="1" ht="23.25" customHeight="1">
      <c r="B68" s="51">
        <f t="shared" si="0"/>
        <v>61</v>
      </c>
      <c r="C68" s="125">
        <f>IF(ISBLANK(Case!E185),"",Case!E185)</f>
        <v>25</v>
      </c>
      <c r="D68" s="124">
        <v>7</v>
      </c>
    </row>
    <row r="69" spans="2:4" s="119" customFormat="1" ht="23.25" customHeight="1">
      <c r="B69" s="51">
        <f t="shared" si="0"/>
        <v>62</v>
      </c>
      <c r="C69" s="125">
        <f>IF(ISBLANK(Case!E186),"",Case!E186)</f>
        <v>30</v>
      </c>
      <c r="D69" s="124">
        <v>7</v>
      </c>
    </row>
    <row r="70" spans="2:4" s="119" customFormat="1" ht="23.25" customHeight="1">
      <c r="B70" s="51">
        <f t="shared" si="0"/>
        <v>63</v>
      </c>
      <c r="C70" s="125">
        <f>IF(ISBLANK(Case!E187),"",Case!E187)</f>
        <v>12</v>
      </c>
      <c r="D70" s="124">
        <v>7</v>
      </c>
    </row>
    <row r="71" spans="2:4" s="119" customFormat="1" ht="23.25" customHeight="1">
      <c r="B71" s="51">
        <f t="shared" si="0"/>
        <v>64</v>
      </c>
      <c r="C71" s="125">
        <f>IF(ISBLANK(Case!E188),"",Case!E188)</f>
        <v>29</v>
      </c>
      <c r="D71" s="124">
        <v>7</v>
      </c>
    </row>
    <row r="72" spans="2:4" s="119" customFormat="1" ht="23.25" customHeight="1">
      <c r="B72" s="51">
        <f t="shared" si="0"/>
        <v>65</v>
      </c>
      <c r="C72" s="125">
        <f>IF(ISBLANK(Case!E189),"",Case!E189)</f>
        <v>25</v>
      </c>
      <c r="D72" s="124">
        <v>7</v>
      </c>
    </row>
    <row r="73" spans="2:4" s="119" customFormat="1" ht="23.25" customHeight="1">
      <c r="B73" s="51">
        <f t="shared" ref="B73:B136" si="1">B72+1</f>
        <v>66</v>
      </c>
      <c r="C73" s="125">
        <f>IF(ISBLANK(Case!E190),"",Case!E190)</f>
        <v>15</v>
      </c>
      <c r="D73" s="124">
        <v>7</v>
      </c>
    </row>
    <row r="74" spans="2:4" s="119" customFormat="1" ht="23.25" customHeight="1">
      <c r="B74" s="51">
        <f t="shared" si="1"/>
        <v>67</v>
      </c>
      <c r="C74" s="125">
        <f>IF(ISBLANK(Case!E191),"",Case!E191)</f>
        <v>28</v>
      </c>
      <c r="D74" s="124">
        <v>7</v>
      </c>
    </row>
    <row r="75" spans="2:4" s="119" customFormat="1" ht="23.25" customHeight="1">
      <c r="B75" s="51">
        <f t="shared" si="1"/>
        <v>68</v>
      </c>
      <c r="C75" s="125">
        <f>IF(ISBLANK(Case!E192),"",Case!E192)</f>
        <v>29</v>
      </c>
      <c r="D75" s="124">
        <v>7</v>
      </c>
    </row>
    <row r="76" spans="2:4" s="119" customFormat="1" ht="23.25" customHeight="1">
      <c r="B76" s="51">
        <f t="shared" si="1"/>
        <v>69</v>
      </c>
      <c r="C76" s="125">
        <f>IF(ISBLANK(Case!E193),"",Case!E193)</f>
        <v>31</v>
      </c>
      <c r="D76" s="124">
        <v>7</v>
      </c>
    </row>
    <row r="77" spans="2:4" s="119" customFormat="1" ht="23.25" customHeight="1">
      <c r="B77" s="51">
        <f t="shared" si="1"/>
        <v>70</v>
      </c>
      <c r="C77" s="125">
        <f>IF(ISBLANK(Case!E194),"",Case!E194)</f>
        <v>20</v>
      </c>
      <c r="D77" s="124">
        <v>7</v>
      </c>
    </row>
    <row r="78" spans="2:4" s="119" customFormat="1" ht="23.25" customHeight="1">
      <c r="B78" s="51">
        <f t="shared" si="1"/>
        <v>71</v>
      </c>
      <c r="C78" s="125">
        <f>IF(ISBLANK(Case!E195),"",Case!E195)</f>
        <v>19</v>
      </c>
      <c r="D78" s="124">
        <v>7</v>
      </c>
    </row>
    <row r="79" spans="2:4" s="119" customFormat="1" ht="23.25" customHeight="1">
      <c r="B79" s="51">
        <f t="shared" si="1"/>
        <v>72</v>
      </c>
      <c r="C79" s="125">
        <f>IF(ISBLANK(Case!E196),"",Case!E196)</f>
        <v>26</v>
      </c>
      <c r="D79" s="124">
        <v>7</v>
      </c>
    </row>
    <row r="80" spans="2:4" s="119" customFormat="1" ht="23.25" customHeight="1">
      <c r="B80" s="51">
        <f t="shared" si="1"/>
        <v>73</v>
      </c>
      <c r="C80" s="125">
        <f>IF(ISBLANK(Case!E197),"",Case!E197)</f>
        <v>18</v>
      </c>
      <c r="D80" s="124">
        <v>7</v>
      </c>
    </row>
    <row r="81" spans="2:4" s="119" customFormat="1" ht="23.25" customHeight="1">
      <c r="B81" s="51">
        <f t="shared" si="1"/>
        <v>74</v>
      </c>
      <c r="C81" s="125">
        <f>IF(ISBLANK(Case!E198),"",Case!E198)</f>
        <v>15</v>
      </c>
      <c r="D81" s="124">
        <v>7</v>
      </c>
    </row>
    <row r="82" spans="2:4" s="119" customFormat="1" ht="23.25" customHeight="1">
      <c r="B82" s="51">
        <f t="shared" si="1"/>
        <v>75</v>
      </c>
      <c r="C82" s="125">
        <f>IF(ISBLANK(Case!E199),"",Case!E199)</f>
        <v>15</v>
      </c>
      <c r="D82" s="124">
        <v>7</v>
      </c>
    </row>
    <row r="83" spans="2:4" s="119" customFormat="1" ht="23.25" customHeight="1">
      <c r="B83" s="51">
        <f t="shared" si="1"/>
        <v>76</v>
      </c>
      <c r="C83" s="125">
        <f>IF(ISBLANK(Case!E200),"",Case!E200)</f>
        <v>28</v>
      </c>
      <c r="D83" s="124">
        <v>7</v>
      </c>
    </row>
    <row r="84" spans="2:4" s="119" customFormat="1" ht="23.25" customHeight="1">
      <c r="B84" s="51">
        <f t="shared" si="1"/>
        <v>77</v>
      </c>
      <c r="C84" s="125">
        <f>IF(ISBLANK(Case!E201),"",Case!E201)</f>
        <v>20</v>
      </c>
      <c r="D84" s="124">
        <v>7</v>
      </c>
    </row>
    <row r="85" spans="2:4" s="119" customFormat="1" ht="23.25" customHeight="1">
      <c r="B85" s="51">
        <f t="shared" si="1"/>
        <v>78</v>
      </c>
      <c r="C85" s="125">
        <f>IF(ISBLANK(Case!E202),"",Case!E202)</f>
        <v>25</v>
      </c>
      <c r="D85" s="124">
        <v>7</v>
      </c>
    </row>
    <row r="86" spans="2:4" s="119" customFormat="1" ht="23.25" customHeight="1">
      <c r="B86" s="51">
        <f t="shared" si="1"/>
        <v>79</v>
      </c>
      <c r="C86" s="125">
        <f>IF(ISBLANK(Case!E203),"",Case!E203)</f>
        <v>26</v>
      </c>
      <c r="D86" s="124">
        <v>7</v>
      </c>
    </row>
    <row r="87" spans="2:4" s="119" customFormat="1" ht="23.25" customHeight="1">
      <c r="B87" s="51">
        <f t="shared" si="1"/>
        <v>80</v>
      </c>
      <c r="C87" s="125">
        <f>IF(ISBLANK(Case!E204),"",Case!E204)</f>
        <v>34</v>
      </c>
      <c r="D87" s="124">
        <v>7</v>
      </c>
    </row>
    <row r="88" spans="2:4" s="119" customFormat="1" ht="23.25" customHeight="1">
      <c r="B88" s="51">
        <f t="shared" si="1"/>
        <v>81</v>
      </c>
      <c r="C88" s="125">
        <f>IF(ISBLANK(Case!E222),"",Case!E222)</f>
        <v>9</v>
      </c>
      <c r="D88" s="124">
        <v>8</v>
      </c>
    </row>
    <row r="89" spans="2:4" s="119" customFormat="1" ht="23.25" customHeight="1">
      <c r="B89" s="51">
        <f t="shared" si="1"/>
        <v>82</v>
      </c>
      <c r="C89" s="125">
        <f>IF(ISBLANK(Case!E223),"",Case!E223)</f>
        <v>13</v>
      </c>
      <c r="D89" s="124">
        <v>8</v>
      </c>
    </row>
    <row r="90" spans="2:4" s="119" customFormat="1" ht="23.25" customHeight="1">
      <c r="B90" s="51">
        <f t="shared" si="1"/>
        <v>83</v>
      </c>
      <c r="C90" s="125">
        <f>IF(ISBLANK(Case!E224),"",Case!E224)</f>
        <v>13</v>
      </c>
      <c r="D90" s="124">
        <v>8</v>
      </c>
    </row>
    <row r="91" spans="2:4" s="119" customFormat="1" ht="23.25" customHeight="1">
      <c r="B91" s="51">
        <f t="shared" si="1"/>
        <v>84</v>
      </c>
      <c r="C91" s="125">
        <f>IF(ISBLANK(Case!E225),"",Case!E225)</f>
        <v>10</v>
      </c>
      <c r="D91" s="124">
        <v>8</v>
      </c>
    </row>
    <row r="92" spans="2:4" s="119" customFormat="1" ht="23.25" customHeight="1">
      <c r="B92" s="51">
        <f t="shared" si="1"/>
        <v>85</v>
      </c>
      <c r="C92" s="125">
        <f>IF(ISBLANK(Case!E226),"",Case!E226)</f>
        <v>6</v>
      </c>
      <c r="D92" s="124">
        <v>8</v>
      </c>
    </row>
    <row r="93" spans="2:4" s="119" customFormat="1" ht="23.25" customHeight="1">
      <c r="B93" s="51">
        <f t="shared" si="1"/>
        <v>86</v>
      </c>
      <c r="C93" s="125">
        <f>IF(ISBLANK(Case!E227),"",Case!E227)</f>
        <v>12</v>
      </c>
      <c r="D93" s="124">
        <v>8</v>
      </c>
    </row>
    <row r="94" spans="2:4" s="119" customFormat="1" ht="23.25" customHeight="1">
      <c r="B94" s="51">
        <f t="shared" si="1"/>
        <v>87</v>
      </c>
      <c r="C94" s="125">
        <f>IF(ISBLANK(Case!E228),"",Case!E228)</f>
        <v>3</v>
      </c>
      <c r="D94" s="124">
        <v>8</v>
      </c>
    </row>
    <row r="95" spans="2:4" s="119" customFormat="1" ht="23.25" customHeight="1">
      <c r="B95" s="51">
        <f t="shared" si="1"/>
        <v>88</v>
      </c>
      <c r="C95" s="125">
        <f>IF(ISBLANK(Case!E229),"",Case!E229)</f>
        <v>6</v>
      </c>
      <c r="D95" s="124">
        <v>8</v>
      </c>
    </row>
    <row r="96" spans="2:4" s="119" customFormat="1" ht="23.25" customHeight="1">
      <c r="B96" s="51">
        <f t="shared" si="1"/>
        <v>89</v>
      </c>
      <c r="C96" s="125">
        <f>IF(ISBLANK(Case!E230),"",Case!E230)</f>
        <v>9</v>
      </c>
      <c r="D96" s="124">
        <v>8</v>
      </c>
    </row>
    <row r="97" spans="2:4" s="119" customFormat="1" ht="23.25" customHeight="1">
      <c r="B97" s="51">
        <f t="shared" si="1"/>
        <v>90</v>
      </c>
      <c r="C97" s="125">
        <f>IF(ISBLANK(Case!E231),"",Case!E231)</f>
        <v>15</v>
      </c>
      <c r="D97" s="124">
        <v>8</v>
      </c>
    </row>
    <row r="98" spans="2:4" s="119" customFormat="1" ht="23.25" customHeight="1">
      <c r="B98" s="51">
        <f t="shared" si="1"/>
        <v>91</v>
      </c>
      <c r="C98" s="125">
        <f>IF(ISBLANK(Case!E232),"",Case!E232)</f>
        <v>6</v>
      </c>
      <c r="D98" s="124">
        <v>8</v>
      </c>
    </row>
    <row r="99" spans="2:4" s="119" customFormat="1" ht="23.25" customHeight="1">
      <c r="B99" s="51">
        <f t="shared" si="1"/>
        <v>92</v>
      </c>
      <c r="C99" s="125">
        <f>IF(ISBLANK(Case!E233),"",Case!E233)</f>
        <v>15</v>
      </c>
      <c r="D99" s="124">
        <v>8</v>
      </c>
    </row>
    <row r="100" spans="2:4" s="119" customFormat="1" ht="23.25" customHeight="1">
      <c r="B100" s="51">
        <f t="shared" si="1"/>
        <v>93</v>
      </c>
      <c r="C100" s="125">
        <f>IF(ISBLANK(Case!E234),"",Case!E234)</f>
        <v>11</v>
      </c>
      <c r="D100" s="124">
        <v>8</v>
      </c>
    </row>
    <row r="101" spans="2:4" s="119" customFormat="1" ht="23.25" customHeight="1">
      <c r="B101" s="51">
        <f t="shared" si="1"/>
        <v>94</v>
      </c>
      <c r="C101" s="125">
        <f>IF(ISBLANK(Case!E235),"",Case!E235)</f>
        <v>9</v>
      </c>
      <c r="D101" s="124">
        <v>8</v>
      </c>
    </row>
    <row r="102" spans="2:4" s="119" customFormat="1" ht="23.25" customHeight="1">
      <c r="B102" s="51">
        <f t="shared" si="1"/>
        <v>95</v>
      </c>
      <c r="C102" s="125">
        <f>IF(ISBLANK(Case!E236),"",Case!E236)</f>
        <v>11</v>
      </c>
      <c r="D102" s="124">
        <v>8</v>
      </c>
    </row>
    <row r="103" spans="2:4" s="119" customFormat="1" ht="23.25" customHeight="1">
      <c r="B103" s="51">
        <f t="shared" si="1"/>
        <v>96</v>
      </c>
      <c r="C103" s="125">
        <f>IF(ISBLANK(Case!E237),"",Case!E237)</f>
        <v>3</v>
      </c>
      <c r="D103" s="124">
        <v>8</v>
      </c>
    </row>
    <row r="104" spans="2:4" s="119" customFormat="1" ht="23.25" customHeight="1">
      <c r="B104" s="51">
        <f t="shared" si="1"/>
        <v>97</v>
      </c>
      <c r="C104" s="125">
        <f>IF(ISBLANK(Case!E238),"",Case!E238)</f>
        <v>6</v>
      </c>
      <c r="D104" s="124">
        <v>8</v>
      </c>
    </row>
    <row r="105" spans="2:4" s="119" customFormat="1" ht="23.25" customHeight="1">
      <c r="B105" s="51">
        <f t="shared" si="1"/>
        <v>98</v>
      </c>
      <c r="C105" s="125">
        <f>IF(ISBLANK(Case!E239),"",Case!E239)</f>
        <v>10</v>
      </c>
      <c r="D105" s="124">
        <v>8</v>
      </c>
    </row>
    <row r="106" spans="2:4" s="119" customFormat="1" ht="23.25" customHeight="1">
      <c r="B106" s="51">
        <f t="shared" si="1"/>
        <v>99</v>
      </c>
      <c r="C106" s="125">
        <f>IF(ISBLANK(Case!E240),"",Case!E240)</f>
        <v>3</v>
      </c>
      <c r="D106" s="124">
        <v>8</v>
      </c>
    </row>
    <row r="107" spans="2:4" s="119" customFormat="1" ht="23.25" customHeight="1">
      <c r="B107" s="51">
        <f t="shared" si="1"/>
        <v>100</v>
      </c>
      <c r="C107" s="125">
        <f>IF(ISBLANK(Case!E241),"",Case!E241)</f>
        <v>3</v>
      </c>
      <c r="D107" s="124">
        <v>8</v>
      </c>
    </row>
    <row r="108" spans="2:4" s="119" customFormat="1" ht="23.25" customHeight="1">
      <c r="B108" s="51">
        <f t="shared" si="1"/>
        <v>101</v>
      </c>
      <c r="C108" s="125">
        <f>IF(ISBLANK(Case!E260),"",Case!E260)</f>
        <v>3</v>
      </c>
      <c r="D108" s="124">
        <v>9</v>
      </c>
    </row>
    <row r="109" spans="2:4" s="119" customFormat="1" ht="23.25" customHeight="1">
      <c r="B109" s="51">
        <f t="shared" si="1"/>
        <v>102</v>
      </c>
      <c r="C109" s="125">
        <f>IF(ISBLANK(Case!E261),"",Case!E261)</f>
        <v>9</v>
      </c>
      <c r="D109" s="124">
        <v>9</v>
      </c>
    </row>
    <row r="110" spans="2:4" s="119" customFormat="1" ht="23.25" customHeight="1">
      <c r="B110" s="51">
        <f t="shared" si="1"/>
        <v>103</v>
      </c>
      <c r="C110" s="125">
        <f>IF(ISBLANK(Case!E262),"",Case!E262)</f>
        <v>6</v>
      </c>
      <c r="D110" s="124">
        <v>9</v>
      </c>
    </row>
    <row r="111" spans="2:4" s="119" customFormat="1" ht="23.25" customHeight="1">
      <c r="B111" s="51">
        <f t="shared" si="1"/>
        <v>104</v>
      </c>
      <c r="C111" s="125">
        <f>IF(ISBLANK(Case!E263),"",Case!E263)</f>
        <v>9</v>
      </c>
      <c r="D111" s="124">
        <v>9</v>
      </c>
    </row>
    <row r="112" spans="2:4" s="119" customFormat="1" ht="23.25" customHeight="1">
      <c r="B112" s="51">
        <f t="shared" si="1"/>
        <v>105</v>
      </c>
      <c r="C112" s="125">
        <f>IF(ISBLANK(Case!E264),"",Case!E264)</f>
        <v>3</v>
      </c>
      <c r="D112" s="124">
        <v>9</v>
      </c>
    </row>
    <row r="113" spans="2:4" s="119" customFormat="1" ht="23.25" customHeight="1">
      <c r="B113" s="51">
        <f t="shared" si="1"/>
        <v>106</v>
      </c>
      <c r="C113" s="125">
        <f>IF(ISBLANK(Case!E265),"",Case!E265)</f>
        <v>3</v>
      </c>
      <c r="D113" s="124">
        <v>9</v>
      </c>
    </row>
    <row r="114" spans="2:4" s="119" customFormat="1" ht="23.25" customHeight="1">
      <c r="B114" s="51">
        <f t="shared" si="1"/>
        <v>107</v>
      </c>
      <c r="C114" s="125">
        <f>IF(ISBLANK(Case!E266),"",Case!E266)</f>
        <v>9</v>
      </c>
      <c r="D114" s="124">
        <v>9</v>
      </c>
    </row>
    <row r="115" spans="2:4" s="119" customFormat="1" ht="23.25" customHeight="1">
      <c r="B115" s="51">
        <f t="shared" si="1"/>
        <v>108</v>
      </c>
      <c r="C115" s="125">
        <f>IF(ISBLANK(Case!E267),"",Case!E267)</f>
        <v>2</v>
      </c>
      <c r="D115" s="124">
        <v>9</v>
      </c>
    </row>
    <row r="116" spans="2:4" s="119" customFormat="1" ht="23.25" customHeight="1">
      <c r="B116" s="51">
        <f t="shared" si="1"/>
        <v>109</v>
      </c>
      <c r="C116" s="125">
        <f>IF(ISBLANK(Case!E268),"",Case!E268)</f>
        <v>9</v>
      </c>
      <c r="D116" s="124">
        <v>9</v>
      </c>
    </row>
    <row r="117" spans="2:4" s="119" customFormat="1" ht="23.25" customHeight="1">
      <c r="B117" s="51">
        <f t="shared" si="1"/>
        <v>110</v>
      </c>
      <c r="C117" s="125">
        <f>IF(ISBLANK(Case!E269),"",Case!E269)</f>
        <v>9</v>
      </c>
      <c r="D117" s="124">
        <v>9</v>
      </c>
    </row>
    <row r="118" spans="2:4" s="119" customFormat="1" ht="23.25" customHeight="1">
      <c r="B118" s="51">
        <f t="shared" si="1"/>
        <v>111</v>
      </c>
      <c r="C118" s="125">
        <f>IF(ISBLANK(Case!E270),"",Case!E270)</f>
        <v>6</v>
      </c>
      <c r="D118" s="124">
        <v>9</v>
      </c>
    </row>
    <row r="119" spans="2:4" s="119" customFormat="1" ht="23.25" customHeight="1">
      <c r="B119" s="51">
        <f t="shared" si="1"/>
        <v>112</v>
      </c>
      <c r="C119" s="125">
        <f>IF(ISBLANK(Case!E271),"",Case!E271)</f>
        <v>9</v>
      </c>
      <c r="D119" s="124">
        <v>9</v>
      </c>
    </row>
    <row r="120" spans="2:4" s="119" customFormat="1" ht="23.25" customHeight="1">
      <c r="B120" s="51">
        <f t="shared" si="1"/>
        <v>113</v>
      </c>
      <c r="C120" s="125">
        <f>IF(ISBLANK(Case!E272),"",Case!E272)</f>
        <v>9</v>
      </c>
      <c r="D120" s="124">
        <v>9</v>
      </c>
    </row>
    <row r="121" spans="2:4" s="119" customFormat="1" ht="23.25" customHeight="1">
      <c r="B121" s="51">
        <f t="shared" si="1"/>
        <v>114</v>
      </c>
      <c r="C121" s="125">
        <f>IF(ISBLANK(Case!E273),"",Case!E273)</f>
        <v>3</v>
      </c>
      <c r="D121" s="124">
        <v>9</v>
      </c>
    </row>
    <row r="122" spans="2:4" s="119" customFormat="1" ht="23.25" customHeight="1">
      <c r="B122" s="51">
        <f t="shared" si="1"/>
        <v>115</v>
      </c>
      <c r="C122" s="125">
        <f>IF(ISBLANK(Case!E274),"",Case!E274)</f>
        <v>9</v>
      </c>
      <c r="D122" s="124">
        <v>9</v>
      </c>
    </row>
    <row r="123" spans="2:4" s="119" customFormat="1" ht="23.25" customHeight="1">
      <c r="B123" s="51">
        <f t="shared" si="1"/>
        <v>116</v>
      </c>
      <c r="C123" s="125">
        <f>IF(ISBLANK(Case!E275),"",Case!E275)</f>
        <v>9</v>
      </c>
      <c r="D123" s="124">
        <v>9</v>
      </c>
    </row>
    <row r="124" spans="2:4" s="119" customFormat="1" ht="23.25" customHeight="1">
      <c r="B124" s="51">
        <f t="shared" si="1"/>
        <v>117</v>
      </c>
      <c r="C124" s="125">
        <f>IF(ISBLANK(Case!E276),"",Case!E276)</f>
        <v>3</v>
      </c>
      <c r="D124" s="124">
        <v>9</v>
      </c>
    </row>
    <row r="125" spans="2:4" s="119" customFormat="1" ht="23.25" customHeight="1">
      <c r="B125" s="51">
        <f t="shared" si="1"/>
        <v>118</v>
      </c>
      <c r="C125" s="125">
        <f>IF(ISBLANK(Case!E277),"",Case!E277)</f>
        <v>6</v>
      </c>
      <c r="D125" s="124">
        <v>9</v>
      </c>
    </row>
    <row r="126" spans="2:4" s="119" customFormat="1" ht="23.25" customHeight="1">
      <c r="B126" s="51">
        <f t="shared" si="1"/>
        <v>119</v>
      </c>
      <c r="C126" s="125">
        <f>IF(ISBLANK(Case!E278),"",Case!E278)</f>
        <v>6</v>
      </c>
      <c r="D126" s="124">
        <v>9</v>
      </c>
    </row>
    <row r="127" spans="2:4" s="119" customFormat="1" ht="23.25" customHeight="1">
      <c r="B127" s="51">
        <f t="shared" si="1"/>
        <v>120</v>
      </c>
      <c r="C127" s="125">
        <f>IF(ISBLANK(Case!E279),"",Case!E279)</f>
        <v>9</v>
      </c>
      <c r="D127" s="124">
        <v>9</v>
      </c>
    </row>
    <row r="128" spans="2:4" s="119" customFormat="1" ht="23.25" customHeight="1">
      <c r="B128" s="51">
        <f t="shared" si="1"/>
        <v>121</v>
      </c>
      <c r="C128" s="125">
        <f>IF(ISBLANK(Case!E302),"",Case!E302)</f>
        <v>95</v>
      </c>
      <c r="D128" s="124">
        <v>11</v>
      </c>
    </row>
    <row r="129" spans="2:4" ht="23.25" customHeight="1">
      <c r="B129" s="51">
        <f t="shared" si="1"/>
        <v>122</v>
      </c>
      <c r="C129" s="125">
        <f>IF(ISBLANK(Case!E303),"",Case!E303)</f>
        <v>89</v>
      </c>
      <c r="D129" s="124">
        <v>11</v>
      </c>
    </row>
    <row r="130" spans="2:4" ht="23.25" customHeight="1">
      <c r="B130" s="51">
        <f t="shared" si="1"/>
        <v>123</v>
      </c>
      <c r="C130" s="125">
        <f>IF(ISBLANK(Case!E304),"",Case!E304)</f>
        <v>82</v>
      </c>
      <c r="D130" s="124">
        <v>11</v>
      </c>
    </row>
    <row r="131" spans="2:4" ht="23.25" customHeight="1">
      <c r="B131" s="51">
        <f t="shared" si="1"/>
        <v>124</v>
      </c>
      <c r="C131" s="125">
        <f>IF(ISBLANK(Case!E305),"",Case!E305)</f>
        <v>82</v>
      </c>
      <c r="D131" s="124">
        <v>11</v>
      </c>
    </row>
    <row r="132" spans="2:4" ht="23.25" customHeight="1">
      <c r="B132" s="51">
        <f t="shared" si="1"/>
        <v>125</v>
      </c>
      <c r="C132" s="125">
        <f>IF(ISBLANK(Case!E306),"",Case!E306)</f>
        <v>95</v>
      </c>
      <c r="D132" s="124">
        <v>11</v>
      </c>
    </row>
    <row r="133" spans="2:4" ht="23.25" customHeight="1">
      <c r="B133" s="51">
        <f t="shared" si="1"/>
        <v>126</v>
      </c>
      <c r="C133" s="125">
        <f>IF(ISBLANK(Case!E307),"",Case!E307)</f>
        <v>60</v>
      </c>
      <c r="D133" s="124">
        <v>11</v>
      </c>
    </row>
    <row r="134" spans="2:4" ht="23.25" customHeight="1">
      <c r="B134" s="51">
        <f t="shared" si="1"/>
        <v>127</v>
      </c>
      <c r="C134" s="125">
        <f>IF(ISBLANK(Case!E308),"",Case!E308)</f>
        <v>92</v>
      </c>
      <c r="D134" s="124">
        <v>11</v>
      </c>
    </row>
    <row r="135" spans="2:4" ht="23.25" customHeight="1">
      <c r="B135" s="51">
        <f t="shared" si="1"/>
        <v>128</v>
      </c>
      <c r="C135" s="125">
        <f>IF(ISBLANK(Case!E309),"",Case!E309)</f>
        <v>95</v>
      </c>
      <c r="D135" s="124">
        <v>11</v>
      </c>
    </row>
    <row r="136" spans="2:4" ht="23.25" customHeight="1">
      <c r="B136" s="51">
        <f t="shared" si="1"/>
        <v>129</v>
      </c>
      <c r="C136" s="125">
        <f>IF(ISBLANK(Case!E310),"",Case!E310)</f>
        <v>95</v>
      </c>
      <c r="D136" s="124">
        <v>11</v>
      </c>
    </row>
    <row r="137" spans="2:4" ht="23.25" customHeight="1">
      <c r="B137" s="51">
        <f t="shared" ref="B137:B147" si="2">B136+1</f>
        <v>130</v>
      </c>
      <c r="C137" s="125">
        <f>IF(ISBLANK(Case!E311),"",Case!E311)</f>
        <v>95</v>
      </c>
      <c r="D137" s="124">
        <v>11</v>
      </c>
    </row>
    <row r="138" spans="2:4" ht="23.25" customHeight="1">
      <c r="B138" s="51">
        <f t="shared" si="2"/>
        <v>131</v>
      </c>
      <c r="C138" s="125">
        <f>IF(ISBLANK(Case!E312),"",Case!E312)</f>
        <v>95</v>
      </c>
      <c r="D138" s="124">
        <v>11</v>
      </c>
    </row>
    <row r="139" spans="2:4" ht="23.25" customHeight="1">
      <c r="B139" s="51">
        <f t="shared" si="2"/>
        <v>132</v>
      </c>
      <c r="C139" s="125">
        <f>IF(ISBLANK(Case!E313),"",Case!E313)</f>
        <v>95</v>
      </c>
      <c r="D139" s="124">
        <v>11</v>
      </c>
    </row>
    <row r="140" spans="2:4" ht="23.25" customHeight="1">
      <c r="B140" s="51">
        <f t="shared" si="2"/>
        <v>133</v>
      </c>
      <c r="C140" s="125">
        <f>IF(ISBLANK(Case!E314),"",Case!E314)</f>
        <v>92</v>
      </c>
      <c r="D140" s="124">
        <v>11</v>
      </c>
    </row>
    <row r="141" spans="2:4" ht="23.25" customHeight="1">
      <c r="B141" s="51">
        <f t="shared" si="2"/>
        <v>134</v>
      </c>
      <c r="C141" s="125">
        <f>IF(ISBLANK(Case!E315),"",Case!E315)</f>
        <v>95</v>
      </c>
      <c r="D141" s="124">
        <v>11</v>
      </c>
    </row>
    <row r="142" spans="2:4" ht="23.25" customHeight="1">
      <c r="B142" s="51">
        <f t="shared" si="2"/>
        <v>135</v>
      </c>
      <c r="C142" s="125">
        <f>IF(ISBLANK(Case!E316),"",Case!E316)</f>
        <v>95</v>
      </c>
      <c r="D142" s="124">
        <v>11</v>
      </c>
    </row>
    <row r="143" spans="2:4" ht="23.25" customHeight="1">
      <c r="B143" s="51">
        <f t="shared" si="2"/>
        <v>136</v>
      </c>
      <c r="C143" s="125">
        <f>IF(ISBLANK(Case!E317),"",Case!E317)</f>
        <v>82</v>
      </c>
      <c r="D143" s="124">
        <v>11</v>
      </c>
    </row>
    <row r="144" spans="2:4" ht="23.25" customHeight="1">
      <c r="B144" s="51">
        <f t="shared" si="2"/>
        <v>137</v>
      </c>
      <c r="C144" s="125">
        <f>IF(ISBLANK(Case!E318),"",Case!E318)</f>
        <v>95</v>
      </c>
      <c r="D144" s="124">
        <v>11</v>
      </c>
    </row>
    <row r="145" spans="2:4" ht="23.25" customHeight="1">
      <c r="B145" s="51">
        <f t="shared" si="2"/>
        <v>138</v>
      </c>
      <c r="C145" s="125">
        <f>IF(ISBLANK(Case!E319),"",Case!E319)</f>
        <v>92</v>
      </c>
      <c r="D145" s="124">
        <v>11</v>
      </c>
    </row>
    <row r="146" spans="2:4" ht="23.25" customHeight="1">
      <c r="B146" s="51">
        <f t="shared" si="2"/>
        <v>139</v>
      </c>
      <c r="C146" s="125">
        <f>IF(ISBLANK(Case!E320),"",Case!E320)</f>
        <v>92</v>
      </c>
      <c r="D146" s="124">
        <v>11</v>
      </c>
    </row>
    <row r="147" spans="2:4" ht="23.25" customHeight="1">
      <c r="B147" s="51">
        <f t="shared" si="2"/>
        <v>140</v>
      </c>
      <c r="C147" s="125">
        <f>IF(ISBLANK(Case!E321),"",Case!E321)</f>
        <v>95</v>
      </c>
      <c r="D147" s="124">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1624B-F82F-42D1-88F4-CD6862BB5BB9}">
  <sheetPr>
    <tabColor rgb="FFBC1F36"/>
    <pageSetUpPr autoPageBreaks="0"/>
  </sheetPr>
  <dimension ref="A1:XX1000"/>
  <sheetViews>
    <sheetView showGridLines="0" topLeftCell="A113" zoomScale="70" zoomScaleNormal="70" workbookViewId="0"/>
  </sheetViews>
  <sheetFormatPr defaultColWidth="4.140625" defaultRowHeight="15"/>
  <cols>
    <col min="1" max="1" width="4.7109375" style="32" customWidth="1"/>
    <col min="2" max="2" width="12.140625" style="32" customWidth="1"/>
    <col min="3" max="3" width="13" style="32" customWidth="1"/>
    <col min="4" max="4" width="10.42578125" style="32" customWidth="1"/>
    <col min="5" max="5" width="41.85546875" style="32" customWidth="1"/>
    <col min="6" max="6" width="4.85546875" style="32" customWidth="1"/>
    <col min="7" max="10" width="9.7109375" style="32" customWidth="1"/>
    <col min="11" max="15" width="9.7109375" style="33" customWidth="1"/>
    <col min="16" max="31" width="8.42578125" style="33" customWidth="1"/>
    <col min="32" max="131" width="5.140625" style="33" customWidth="1"/>
    <col min="132" max="16384" width="4.140625" style="33"/>
  </cols>
  <sheetData>
    <row r="1" spans="1:18" s="16" customFormat="1" ht="15" customHeight="1">
      <c r="A1" s="16" t="s">
        <v>22</v>
      </c>
    </row>
    <row r="2" spans="1:18" s="16" customFormat="1" ht="33" customHeight="1">
      <c r="B2" s="17" t="s">
        <v>130</v>
      </c>
      <c r="C2" s="18"/>
      <c r="D2" s="18"/>
      <c r="E2" s="18"/>
      <c r="F2" s="18"/>
      <c r="G2" s="18"/>
      <c r="H2" s="18"/>
      <c r="I2" s="18"/>
      <c r="J2" s="18"/>
      <c r="K2" s="18"/>
      <c r="L2" s="18"/>
      <c r="M2" s="18"/>
      <c r="N2" s="18"/>
      <c r="O2" s="18"/>
      <c r="P2" s="18"/>
      <c r="Q2" s="18"/>
      <c r="R2" s="18"/>
    </row>
    <row r="3" spans="1:18" s="16" customFormat="1" ht="15" customHeight="1">
      <c r="E3" s="19"/>
    </row>
    <row r="4" spans="1:18" s="16" customFormat="1" ht="30" customHeight="1">
      <c r="B4" s="20" t="s">
        <v>54</v>
      </c>
      <c r="C4" s="21"/>
      <c r="D4" s="21"/>
      <c r="E4" s="21"/>
      <c r="F4" s="21"/>
      <c r="G4" s="21"/>
      <c r="H4" s="21"/>
      <c r="I4" s="21"/>
      <c r="J4" s="21"/>
      <c r="K4" s="21"/>
      <c r="L4" s="21"/>
      <c r="N4" s="22" t="s">
        <v>83</v>
      </c>
      <c r="O4" s="22"/>
      <c r="P4" s="22"/>
      <c r="Q4" s="22"/>
      <c r="R4" s="22"/>
    </row>
    <row r="5" spans="1:18" s="16" customFormat="1" ht="30" customHeight="1">
      <c r="E5" s="19"/>
      <c r="N5" s="107" t="s">
        <v>88</v>
      </c>
      <c r="O5" s="108"/>
      <c r="P5" s="108"/>
      <c r="Q5" s="108"/>
      <c r="R5" s="108"/>
    </row>
    <row r="6" spans="1:18" s="16" customFormat="1" ht="30" customHeight="1">
      <c r="E6" s="19"/>
    </row>
    <row r="7" spans="1:18" s="16" customFormat="1" ht="30" customHeight="1">
      <c r="E7" s="19"/>
      <c r="N7" s="22" t="s">
        <v>84</v>
      </c>
      <c r="O7" s="22"/>
      <c r="P7" s="22"/>
      <c r="Q7" s="22"/>
      <c r="R7" s="22"/>
    </row>
    <row r="8" spans="1:18" s="16" customFormat="1" ht="30" customHeight="1">
      <c r="E8" s="19"/>
      <c r="N8" s="107" t="s">
        <v>85</v>
      </c>
      <c r="O8" s="108"/>
      <c r="P8" s="108"/>
      <c r="Q8" s="108"/>
      <c r="R8" s="108"/>
    </row>
    <row r="9" spans="1:18" s="16" customFormat="1" ht="30" customHeight="1">
      <c r="E9" s="19"/>
      <c r="N9" s="107" t="s">
        <v>86</v>
      </c>
      <c r="O9" s="108"/>
      <c r="P9" s="108"/>
      <c r="Q9" s="108"/>
      <c r="R9" s="108"/>
    </row>
    <row r="10" spans="1:18" s="16" customFormat="1" ht="30" customHeight="1">
      <c r="E10" s="19"/>
      <c r="N10" s="107" t="s">
        <v>87</v>
      </c>
      <c r="O10" s="108"/>
      <c r="P10" s="108"/>
      <c r="Q10" s="108"/>
      <c r="R10" s="108"/>
    </row>
    <row r="11" spans="1:18" s="16" customFormat="1" ht="30" customHeight="1">
      <c r="E11" s="19"/>
      <c r="N11" s="107" t="s">
        <v>131</v>
      </c>
      <c r="O11" s="108"/>
      <c r="P11" s="108"/>
      <c r="Q11" s="108"/>
      <c r="R11" s="108"/>
    </row>
    <row r="12" spans="1:18" s="16" customFormat="1" ht="30" customHeight="1">
      <c r="E12" s="19"/>
    </row>
    <row r="13" spans="1:18" s="16" customFormat="1" ht="30" customHeight="1">
      <c r="B13" s="23" t="s">
        <v>0</v>
      </c>
      <c r="C13" s="24"/>
      <c r="D13" s="24"/>
      <c r="E13" s="24"/>
      <c r="F13" s="24"/>
      <c r="G13" s="24"/>
      <c r="H13" s="24"/>
      <c r="I13" s="24"/>
      <c r="J13" s="24"/>
      <c r="K13" s="24"/>
      <c r="L13" s="24"/>
      <c r="M13" s="24"/>
      <c r="N13" s="24"/>
      <c r="O13" s="24"/>
      <c r="P13" s="24"/>
      <c r="Q13" s="24"/>
      <c r="R13" s="24"/>
    </row>
    <row r="14" spans="1:18" s="16" customFormat="1" ht="15" customHeight="1">
      <c r="B14" s="25" t="s">
        <v>59</v>
      </c>
      <c r="C14" s="26"/>
      <c r="D14" s="26"/>
      <c r="E14" s="26"/>
      <c r="F14" s="26"/>
      <c r="G14" s="26"/>
      <c r="H14" s="26"/>
      <c r="I14" s="26"/>
      <c r="J14" s="26"/>
      <c r="K14" s="26"/>
      <c r="L14" s="26"/>
      <c r="M14" s="26"/>
      <c r="N14" s="26"/>
      <c r="O14" s="26"/>
      <c r="P14" s="26"/>
      <c r="Q14" s="116"/>
      <c r="R14" s="27"/>
    </row>
    <row r="15" spans="1:18" s="16" customFormat="1" ht="15" customHeight="1">
      <c r="B15" s="28" t="s">
        <v>60</v>
      </c>
      <c r="C15" s="29"/>
      <c r="D15" s="29"/>
      <c r="E15" s="29"/>
      <c r="F15" s="29"/>
      <c r="G15" s="29"/>
      <c r="H15" s="29"/>
      <c r="I15" s="29"/>
      <c r="J15" s="29"/>
      <c r="K15" s="29"/>
      <c r="L15" s="29"/>
      <c r="M15" s="29"/>
      <c r="N15" s="29"/>
      <c r="O15" s="29"/>
      <c r="P15" s="29"/>
      <c r="R15" s="30"/>
    </row>
    <row r="16" spans="1:18" s="16" customFormat="1" ht="15" customHeight="1">
      <c r="B16" s="31"/>
      <c r="R16" s="30"/>
    </row>
    <row r="17" spans="2:18" s="16" customFormat="1" ht="15" customHeight="1">
      <c r="B17" s="31" t="s">
        <v>61</v>
      </c>
      <c r="R17" s="30"/>
    </row>
    <row r="18" spans="2:18" s="16" customFormat="1" ht="15" customHeight="1">
      <c r="B18" s="31" t="s">
        <v>62</v>
      </c>
      <c r="R18" s="30"/>
    </row>
    <row r="19" spans="2:18" s="16" customFormat="1" ht="15" customHeight="1">
      <c r="B19" s="31" t="s">
        <v>63</v>
      </c>
      <c r="R19" s="30"/>
    </row>
    <row r="20" spans="2:18" s="16" customFormat="1" ht="15" customHeight="1">
      <c r="B20" s="31" t="s">
        <v>72</v>
      </c>
      <c r="R20" s="30"/>
    </row>
    <row r="21" spans="2:18" s="16" customFormat="1" ht="15" customHeight="1">
      <c r="B21" s="31" t="s">
        <v>132</v>
      </c>
      <c r="R21" s="30"/>
    </row>
    <row r="22" spans="2:18" s="16" customFormat="1" ht="15" customHeight="1">
      <c r="B22" s="31"/>
      <c r="R22" s="30"/>
    </row>
    <row r="23" spans="2:18" s="16" customFormat="1" ht="15" customHeight="1">
      <c r="B23" s="31" t="s">
        <v>64</v>
      </c>
      <c r="R23" s="30"/>
    </row>
    <row r="24" spans="2:18" s="16" customFormat="1" ht="15" customHeight="1">
      <c r="B24" s="31" t="s">
        <v>65</v>
      </c>
      <c r="R24" s="30"/>
    </row>
    <row r="25" spans="2:18" s="16" customFormat="1" ht="15" customHeight="1">
      <c r="B25" s="31" t="s">
        <v>73</v>
      </c>
      <c r="R25" s="30"/>
    </row>
    <row r="26" spans="2:18" s="16" customFormat="1" ht="15" customHeight="1">
      <c r="B26" s="31" t="s">
        <v>128</v>
      </c>
      <c r="R26" s="30"/>
    </row>
    <row r="27" spans="2:18" s="16" customFormat="1" ht="15" customHeight="1">
      <c r="B27" s="31" t="s">
        <v>133</v>
      </c>
      <c r="R27" s="30"/>
    </row>
    <row r="28" spans="2:18" ht="15.75">
      <c r="B28" s="28"/>
      <c r="R28" s="34"/>
    </row>
    <row r="29" spans="2:18" ht="15.75">
      <c r="B29" s="28" t="s">
        <v>66</v>
      </c>
      <c r="R29" s="34"/>
    </row>
    <row r="30" spans="2:18" ht="15.75">
      <c r="B30" s="28" t="s">
        <v>67</v>
      </c>
      <c r="R30" s="34"/>
    </row>
    <row r="31" spans="2:18" ht="15.75">
      <c r="B31" s="28" t="s">
        <v>68</v>
      </c>
      <c r="R31" s="34"/>
    </row>
    <row r="32" spans="2:18" ht="15.75">
      <c r="B32" s="28" t="s">
        <v>69</v>
      </c>
      <c r="R32" s="34"/>
    </row>
    <row r="33" spans="2:18" ht="15.75">
      <c r="B33" s="28" t="s">
        <v>70</v>
      </c>
      <c r="R33" s="34"/>
    </row>
    <row r="34" spans="2:18" ht="15.75">
      <c r="B34" s="28" t="s">
        <v>71</v>
      </c>
      <c r="R34" s="34"/>
    </row>
    <row r="35" spans="2:18" s="16" customFormat="1" ht="15" customHeight="1">
      <c r="B35" s="35"/>
      <c r="C35" s="36"/>
      <c r="D35" s="36"/>
      <c r="E35" s="36"/>
      <c r="F35" s="36"/>
      <c r="G35" s="36"/>
      <c r="H35" s="36"/>
      <c r="I35" s="36"/>
      <c r="J35" s="36"/>
      <c r="K35" s="36"/>
      <c r="L35" s="36"/>
      <c r="M35" s="36"/>
      <c r="N35" s="36"/>
      <c r="O35" s="36"/>
      <c r="P35" s="36"/>
      <c r="Q35" s="36"/>
      <c r="R35" s="37"/>
    </row>
    <row r="36" spans="2:18" s="16" customFormat="1" ht="15" customHeight="1" thickBot="1">
      <c r="B36" s="84"/>
      <c r="C36" s="29"/>
      <c r="D36" s="29"/>
      <c r="E36" s="29"/>
      <c r="F36" s="29"/>
      <c r="G36" s="29"/>
      <c r="H36" s="29"/>
      <c r="I36" s="29"/>
      <c r="J36" s="29"/>
      <c r="K36" s="29"/>
      <c r="L36" s="29"/>
      <c r="M36" s="29"/>
      <c r="N36" s="29"/>
      <c r="O36" s="29"/>
      <c r="P36" s="29"/>
      <c r="Q36" s="29"/>
      <c r="R36" s="29"/>
    </row>
    <row r="37" spans="2:18" s="16" customFormat="1" ht="15" customHeight="1" thickBot="1">
      <c r="B37" s="89" t="s">
        <v>74</v>
      </c>
      <c r="C37" s="90"/>
      <c r="D37" s="90"/>
      <c r="E37" s="90"/>
      <c r="F37" s="91"/>
      <c r="G37" s="29"/>
      <c r="H37" s="29"/>
      <c r="I37" s="89" t="s">
        <v>80</v>
      </c>
      <c r="J37" s="90"/>
      <c r="K37" s="90"/>
      <c r="L37" s="90"/>
      <c r="M37" s="90"/>
      <c r="N37" s="90"/>
      <c r="O37" s="90"/>
      <c r="P37" s="91"/>
      <c r="R37" s="29"/>
    </row>
    <row r="38" spans="2:18" s="16" customFormat="1" ht="15" customHeight="1" thickBot="1">
      <c r="B38" s="92" t="s">
        <v>75</v>
      </c>
      <c r="C38" s="29"/>
      <c r="D38" s="29"/>
      <c r="E38" s="84" t="s">
        <v>81</v>
      </c>
      <c r="F38" s="93"/>
      <c r="G38" s="29"/>
      <c r="H38" s="29"/>
      <c r="I38" s="88"/>
      <c r="J38" s="88">
        <v>1</v>
      </c>
      <c r="K38" s="88">
        <v>2</v>
      </c>
      <c r="L38" s="88">
        <v>3</v>
      </c>
      <c r="M38" s="88">
        <v>4</v>
      </c>
      <c r="N38" s="88">
        <v>5</v>
      </c>
      <c r="O38" s="88">
        <v>6</v>
      </c>
      <c r="P38" s="88">
        <v>7</v>
      </c>
      <c r="R38" s="29"/>
    </row>
    <row r="39" spans="2:18" s="16" customFormat="1" ht="15" customHeight="1">
      <c r="B39" s="92" t="s">
        <v>76</v>
      </c>
      <c r="C39" s="29"/>
      <c r="D39" s="29"/>
      <c r="E39" s="84" t="s">
        <v>82</v>
      </c>
      <c r="F39" s="93"/>
      <c r="G39" s="29"/>
      <c r="H39" s="29"/>
      <c r="I39" s="87" t="s">
        <v>1</v>
      </c>
      <c r="J39" s="1">
        <v>3</v>
      </c>
      <c r="K39" s="2">
        <v>1</v>
      </c>
      <c r="L39" s="2">
        <v>2</v>
      </c>
      <c r="M39" s="2">
        <v>2</v>
      </c>
      <c r="N39" s="2">
        <v>2</v>
      </c>
      <c r="O39" s="2">
        <v>1</v>
      </c>
      <c r="P39" s="3">
        <v>2</v>
      </c>
      <c r="R39" s="29"/>
    </row>
    <row r="40" spans="2:18" s="16" customFormat="1" ht="15" customHeight="1" thickBot="1">
      <c r="B40" s="94" t="s">
        <v>77</v>
      </c>
      <c r="C40" s="95"/>
      <c r="D40" s="95"/>
      <c r="E40" s="96" t="s">
        <v>134</v>
      </c>
      <c r="F40" s="97"/>
      <c r="G40" s="29"/>
      <c r="H40" s="29"/>
      <c r="I40" s="87" t="s">
        <v>2</v>
      </c>
      <c r="J40" s="4">
        <v>2</v>
      </c>
      <c r="K40" s="15">
        <v>3</v>
      </c>
      <c r="L40" s="15">
        <v>5</v>
      </c>
      <c r="M40" s="15">
        <v>5</v>
      </c>
      <c r="N40" s="15">
        <v>5</v>
      </c>
      <c r="O40" s="15">
        <v>3</v>
      </c>
      <c r="P40" s="5">
        <v>1</v>
      </c>
      <c r="R40" s="29"/>
    </row>
    <row r="41" spans="2:18" s="16" customFormat="1" ht="15" customHeight="1" thickBot="1">
      <c r="E41" s="29"/>
      <c r="F41" s="29"/>
      <c r="G41" s="29"/>
      <c r="H41" s="29"/>
      <c r="I41" s="87" t="s">
        <v>3</v>
      </c>
      <c r="J41" s="4">
        <v>3</v>
      </c>
      <c r="K41" s="15">
        <v>3</v>
      </c>
      <c r="L41" s="10">
        <v>3</v>
      </c>
      <c r="M41" s="11">
        <v>5</v>
      </c>
      <c r="N41" s="10">
        <v>3</v>
      </c>
      <c r="O41" s="15">
        <v>2</v>
      </c>
      <c r="P41" s="5">
        <v>2</v>
      </c>
      <c r="R41" s="29"/>
    </row>
    <row r="42" spans="2:18" s="16" customFormat="1" ht="15" customHeight="1" thickBot="1">
      <c r="B42" s="89" t="s">
        <v>21</v>
      </c>
      <c r="C42" s="90"/>
      <c r="D42" s="90"/>
      <c r="E42" s="90"/>
      <c r="F42" s="91"/>
      <c r="G42" s="29"/>
      <c r="H42" s="29"/>
      <c r="I42" s="87" t="s">
        <v>4</v>
      </c>
      <c r="J42" s="4">
        <v>3</v>
      </c>
      <c r="K42" s="15">
        <v>2</v>
      </c>
      <c r="L42" s="12">
        <v>4</v>
      </c>
      <c r="M42" s="9">
        <v>3</v>
      </c>
      <c r="N42" s="13">
        <v>3</v>
      </c>
      <c r="O42" s="15">
        <v>2</v>
      </c>
      <c r="P42" s="5">
        <v>1</v>
      </c>
      <c r="R42" s="29"/>
    </row>
    <row r="43" spans="2:18" s="16" customFormat="1" ht="15" customHeight="1">
      <c r="B43" s="98"/>
      <c r="C43" s="99" t="s">
        <v>78</v>
      </c>
      <c r="D43" s="100"/>
      <c r="E43" s="100"/>
      <c r="F43" s="101"/>
      <c r="G43" s="29"/>
      <c r="H43" s="29"/>
      <c r="I43" s="87" t="s">
        <v>5</v>
      </c>
      <c r="J43" s="4">
        <v>2</v>
      </c>
      <c r="K43" s="15">
        <v>3</v>
      </c>
      <c r="L43" s="10">
        <v>2</v>
      </c>
      <c r="M43" s="14">
        <v>3</v>
      </c>
      <c r="N43" s="10">
        <v>3</v>
      </c>
      <c r="O43" s="15">
        <v>3</v>
      </c>
      <c r="P43" s="5">
        <v>2</v>
      </c>
      <c r="R43" s="29"/>
    </row>
    <row r="44" spans="2:18" s="16" customFormat="1" ht="15" customHeight="1">
      <c r="B44" s="102"/>
      <c r="C44" s="99" t="s">
        <v>89</v>
      </c>
      <c r="D44" s="100"/>
      <c r="E44" s="100"/>
      <c r="F44" s="101"/>
      <c r="G44" s="29"/>
      <c r="H44" s="29"/>
      <c r="I44" s="87" t="s">
        <v>6</v>
      </c>
      <c r="J44" s="4">
        <v>1</v>
      </c>
      <c r="K44" s="15">
        <v>2</v>
      </c>
      <c r="L44" s="15">
        <v>2</v>
      </c>
      <c r="M44" s="15">
        <v>3</v>
      </c>
      <c r="N44" s="15">
        <v>3</v>
      </c>
      <c r="O44" s="15">
        <v>2</v>
      </c>
      <c r="P44" s="5">
        <v>3</v>
      </c>
      <c r="R44" s="29"/>
    </row>
    <row r="45" spans="2:18" s="16" customFormat="1" ht="15.75" customHeight="1" thickBot="1">
      <c r="B45" s="103"/>
      <c r="C45" s="104" t="s">
        <v>79</v>
      </c>
      <c r="D45" s="105"/>
      <c r="E45" s="105"/>
      <c r="F45" s="106"/>
      <c r="G45" s="40"/>
      <c r="H45" s="42"/>
      <c r="I45" s="87" t="s">
        <v>7</v>
      </c>
      <c r="J45" s="6">
        <v>2</v>
      </c>
      <c r="K45" s="7">
        <v>1</v>
      </c>
      <c r="L45" s="7">
        <v>1</v>
      </c>
      <c r="M45" s="7">
        <v>2</v>
      </c>
      <c r="N45" s="7">
        <v>3</v>
      </c>
      <c r="O45" s="7">
        <v>2</v>
      </c>
      <c r="P45" s="8">
        <v>2</v>
      </c>
    </row>
    <row r="46" spans="2:18" s="16" customFormat="1" ht="15.75" customHeight="1">
      <c r="B46" s="38"/>
      <c r="C46" s="39"/>
      <c r="D46" s="40"/>
      <c r="E46" s="41"/>
      <c r="F46" s="39"/>
      <c r="G46" s="40"/>
      <c r="H46" s="42"/>
      <c r="I46" s="85"/>
      <c r="J46" s="85"/>
      <c r="K46" s="85"/>
      <c r="L46" s="85"/>
      <c r="M46" s="85"/>
      <c r="N46" s="85"/>
      <c r="O46" s="85"/>
      <c r="P46" s="85"/>
      <c r="Q46" s="85"/>
    </row>
    <row r="47" spans="2:18" s="16" customFormat="1" ht="30" customHeight="1">
      <c r="B47" s="86" t="s">
        <v>23</v>
      </c>
      <c r="C47" s="44"/>
      <c r="D47" s="44"/>
      <c r="E47" s="44"/>
      <c r="F47" s="44"/>
      <c r="G47" s="44"/>
      <c r="H47" s="44"/>
      <c r="I47" s="44"/>
      <c r="J47" s="44"/>
      <c r="K47" s="44"/>
      <c r="L47" s="44"/>
      <c r="M47" s="44"/>
      <c r="N47" s="44"/>
      <c r="O47" s="44"/>
      <c r="P47" s="44"/>
      <c r="Q47" s="44"/>
      <c r="R47" s="44"/>
    </row>
    <row r="48" spans="2:18" s="16" customFormat="1" ht="15" customHeight="1">
      <c r="E48" s="19"/>
    </row>
    <row r="49" spans="2:18" s="32" customFormat="1" ht="15" customHeight="1">
      <c r="B49" s="45" t="s">
        <v>94</v>
      </c>
      <c r="C49" s="46"/>
      <c r="D49" s="46"/>
      <c r="E49" s="46"/>
      <c r="F49" s="46"/>
      <c r="G49" s="46"/>
      <c r="H49" s="46"/>
      <c r="I49" s="46"/>
      <c r="J49" s="46"/>
      <c r="K49" s="46"/>
      <c r="L49" s="46"/>
    </row>
    <row r="50" spans="2:18" s="32" customFormat="1" ht="15" customHeight="1">
      <c r="B50" s="45" t="s">
        <v>95</v>
      </c>
      <c r="C50" s="46"/>
      <c r="D50" s="46"/>
      <c r="E50" s="46"/>
      <c r="F50" s="46"/>
      <c r="G50" s="46"/>
      <c r="H50" s="46"/>
      <c r="I50" s="46"/>
      <c r="J50" s="46"/>
      <c r="K50" s="46"/>
      <c r="L50" s="46"/>
    </row>
    <row r="51" spans="2:18" s="32" customFormat="1" ht="15" customHeight="1" thickBot="1">
      <c r="B51" s="46"/>
      <c r="C51" s="46"/>
      <c r="D51" s="46"/>
      <c r="E51" s="46"/>
      <c r="F51" s="46"/>
      <c r="G51" s="46"/>
      <c r="H51" s="46"/>
      <c r="I51" s="46"/>
      <c r="J51" s="46"/>
      <c r="K51" s="46"/>
      <c r="L51" s="46"/>
    </row>
    <row r="52" spans="2:18" s="50" customFormat="1" ht="30" customHeight="1" thickBot="1">
      <c r="B52" s="47" t="s">
        <v>8</v>
      </c>
      <c r="C52" s="48" t="s">
        <v>24</v>
      </c>
      <c r="D52" s="47" t="s">
        <v>10</v>
      </c>
      <c r="E52" s="47" t="s">
        <v>11</v>
      </c>
      <c r="F52" s="49"/>
      <c r="G52" s="110" t="s">
        <v>25</v>
      </c>
      <c r="H52" s="111"/>
      <c r="I52" s="111"/>
      <c r="J52" s="111"/>
      <c r="K52" s="111"/>
      <c r="L52" s="112"/>
      <c r="M52" s="112"/>
      <c r="N52" s="112"/>
      <c r="O52" s="112"/>
      <c r="P52" s="112"/>
      <c r="Q52" s="112"/>
      <c r="R52" s="112"/>
    </row>
    <row r="53" spans="2:18" ht="30" customHeight="1">
      <c r="B53" s="51" t="s">
        <v>26</v>
      </c>
      <c r="C53" s="113" t="s">
        <v>96</v>
      </c>
      <c r="D53" s="52">
        <v>50</v>
      </c>
      <c r="E53" s="53">
        <v>355</v>
      </c>
      <c r="F53" s="54"/>
      <c r="G53" s="152" t="s">
        <v>145</v>
      </c>
      <c r="H53" s="152"/>
      <c r="I53" s="152"/>
      <c r="J53" s="152"/>
      <c r="K53" s="152"/>
      <c r="L53" s="152"/>
      <c r="M53" s="152"/>
      <c r="N53" s="152"/>
      <c r="O53" s="152"/>
      <c r="P53" s="152"/>
      <c r="Q53" s="152"/>
      <c r="R53" s="152"/>
    </row>
    <row r="54" spans="2:18" ht="30" customHeight="1">
      <c r="B54" s="51" t="s">
        <v>27</v>
      </c>
      <c r="C54" s="113" t="s">
        <v>96</v>
      </c>
      <c r="D54" s="52">
        <v>50</v>
      </c>
      <c r="E54" s="55">
        <v>53</v>
      </c>
      <c r="F54" s="54"/>
      <c r="G54" s="153" t="s">
        <v>92</v>
      </c>
      <c r="H54" s="153"/>
      <c r="I54" s="153"/>
      <c r="J54" s="153"/>
      <c r="K54" s="153"/>
      <c r="L54" s="153"/>
      <c r="M54" s="153"/>
      <c r="N54" s="153"/>
      <c r="O54" s="153"/>
      <c r="P54" s="153"/>
      <c r="Q54" s="153"/>
      <c r="R54" s="153"/>
    </row>
    <row r="55" spans="2:18" ht="30" customHeight="1">
      <c r="B55" s="51" t="s">
        <v>28</v>
      </c>
      <c r="C55" s="113" t="s">
        <v>96</v>
      </c>
      <c r="D55" s="52">
        <v>50</v>
      </c>
      <c r="E55" s="55">
        <v>6</v>
      </c>
      <c r="F55" s="54"/>
      <c r="G55" s="153" t="s">
        <v>146</v>
      </c>
      <c r="H55" s="153"/>
      <c r="I55" s="153"/>
      <c r="J55" s="153"/>
      <c r="K55" s="153"/>
      <c r="L55" s="153"/>
      <c r="M55" s="153"/>
      <c r="N55" s="153"/>
      <c r="O55" s="153"/>
      <c r="P55" s="153"/>
      <c r="Q55" s="153"/>
      <c r="R55" s="153"/>
    </row>
    <row r="56" spans="2:18" ht="30" customHeight="1">
      <c r="B56" s="51" t="s">
        <v>29</v>
      </c>
      <c r="C56" s="113" t="s">
        <v>96</v>
      </c>
      <c r="D56" s="52">
        <v>50</v>
      </c>
      <c r="E56" s="55">
        <v>10</v>
      </c>
      <c r="F56" s="54"/>
      <c r="G56" s="153" t="s">
        <v>91</v>
      </c>
      <c r="H56" s="153"/>
      <c r="I56" s="153"/>
      <c r="J56" s="153"/>
      <c r="K56" s="153"/>
      <c r="L56" s="153"/>
      <c r="M56" s="153"/>
      <c r="N56" s="153"/>
      <c r="O56" s="153"/>
      <c r="P56" s="153"/>
      <c r="Q56" s="153"/>
      <c r="R56" s="153"/>
    </row>
    <row r="57" spans="2:18" ht="30" customHeight="1">
      <c r="B57" s="51" t="s">
        <v>30</v>
      </c>
      <c r="C57" s="113" t="s">
        <v>96</v>
      </c>
      <c r="D57" s="52">
        <v>50</v>
      </c>
      <c r="E57" s="56">
        <v>1746</v>
      </c>
      <c r="F57" s="54"/>
      <c r="G57" s="153" t="s">
        <v>93</v>
      </c>
      <c r="H57" s="153"/>
      <c r="I57" s="153"/>
      <c r="J57" s="153"/>
      <c r="K57" s="153"/>
      <c r="L57" s="153"/>
      <c r="M57" s="153"/>
      <c r="N57" s="153"/>
      <c r="O57" s="153"/>
      <c r="P57" s="153"/>
      <c r="Q57" s="153"/>
      <c r="R57" s="153"/>
    </row>
    <row r="58" spans="2:18" s="32" customFormat="1" ht="15" customHeight="1"/>
    <row r="59" spans="2:18" s="16" customFormat="1" ht="30" customHeight="1">
      <c r="B59" s="43" t="s">
        <v>31</v>
      </c>
      <c r="C59" s="44"/>
      <c r="D59" s="44"/>
      <c r="E59" s="44"/>
      <c r="F59" s="44"/>
      <c r="G59" s="44"/>
      <c r="H59" s="44"/>
      <c r="I59" s="44"/>
      <c r="J59" s="44"/>
      <c r="K59" s="44"/>
      <c r="L59" s="44"/>
      <c r="M59" s="44"/>
      <c r="N59" s="44"/>
      <c r="O59" s="44"/>
      <c r="P59" s="44"/>
      <c r="Q59" s="44"/>
      <c r="R59" s="44"/>
    </row>
    <row r="60" spans="2:18" s="32" customFormat="1" ht="15" customHeight="1" thickBot="1"/>
    <row r="61" spans="2:18" s="32" customFormat="1" ht="22.5" customHeight="1" thickBot="1">
      <c r="B61" s="57" t="s">
        <v>32</v>
      </c>
      <c r="C61" s="58" t="s">
        <v>33</v>
      </c>
      <c r="D61" s="59"/>
    </row>
    <row r="62" spans="2:18" s="32" customFormat="1" ht="15" customHeight="1"/>
    <row r="63" spans="2:18" ht="15" customHeight="1">
      <c r="B63" s="60" t="s">
        <v>55</v>
      </c>
      <c r="C63" s="61"/>
      <c r="D63" s="33"/>
      <c r="E63" s="33"/>
      <c r="F63" s="33"/>
      <c r="G63" s="33"/>
      <c r="H63" s="33"/>
      <c r="I63" s="33"/>
      <c r="J63" s="33"/>
    </row>
    <row r="64" spans="2:18" ht="15" customHeight="1">
      <c r="B64" s="60"/>
      <c r="C64" s="61"/>
      <c r="D64" s="33"/>
      <c r="E64" s="33"/>
      <c r="F64" s="33"/>
      <c r="G64" s="33"/>
      <c r="H64" s="33"/>
      <c r="I64" s="33"/>
      <c r="J64" s="33"/>
    </row>
    <row r="65" spans="2:41" ht="15" customHeight="1">
      <c r="B65" s="60" t="s">
        <v>97</v>
      </c>
      <c r="C65" s="61"/>
      <c r="D65" s="33"/>
      <c r="E65" s="33"/>
      <c r="F65" s="33"/>
      <c r="G65" s="33"/>
      <c r="H65" s="33"/>
      <c r="I65" s="33"/>
      <c r="J65" s="33"/>
    </row>
    <row r="66" spans="2:41" s="32" customFormat="1" ht="15" customHeight="1">
      <c r="B66" s="16"/>
      <c r="C66" s="61"/>
    </row>
    <row r="67" spans="2:41" s="32" customFormat="1" ht="15" customHeight="1">
      <c r="B67" s="63" t="s">
        <v>34</v>
      </c>
      <c r="C67" s="61"/>
    </row>
    <row r="68" spans="2:41" s="32" customFormat="1" ht="15" customHeight="1">
      <c r="B68" s="61" t="s">
        <v>98</v>
      </c>
      <c r="D68" s="33"/>
      <c r="E68" s="33"/>
      <c r="F68" s="33"/>
      <c r="G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row>
    <row r="69" spans="2:41" s="32" customFormat="1" ht="15" customHeight="1">
      <c r="B69" s="61" t="s">
        <v>100</v>
      </c>
      <c r="D69" s="33"/>
      <c r="E69" s="33"/>
      <c r="F69" s="33"/>
      <c r="G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row>
    <row r="70" spans="2:41" s="32" customFormat="1" ht="15" customHeight="1" thickBot="1">
      <c r="B70" s="61" t="s">
        <v>99</v>
      </c>
      <c r="D70" s="33"/>
      <c r="E70" s="33"/>
      <c r="F70" s="33"/>
      <c r="G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row>
    <row r="71" spans="2:41" s="50" customFormat="1" ht="22.5" customHeight="1" thickBot="1">
      <c r="B71" s="16"/>
      <c r="C71" s="16"/>
      <c r="D71" s="16"/>
      <c r="E71" s="16"/>
      <c r="F71" s="16"/>
      <c r="G71" s="110" t="s">
        <v>90</v>
      </c>
      <c r="H71" s="111"/>
      <c r="I71" s="111"/>
      <c r="J71" s="111"/>
      <c r="K71" s="111"/>
      <c r="L71" s="111"/>
      <c r="M71" s="111"/>
      <c r="N71" s="111"/>
      <c r="O71" s="112"/>
    </row>
    <row r="72" spans="2:41" s="50" customFormat="1" ht="22.5" customHeight="1" thickBot="1">
      <c r="B72" s="47" t="s">
        <v>8</v>
      </c>
      <c r="C72" s="48" t="s">
        <v>9</v>
      </c>
      <c r="D72" s="47" t="s">
        <v>10</v>
      </c>
      <c r="E72" s="64" t="s">
        <v>11</v>
      </c>
      <c r="F72" s="16"/>
      <c r="G72" s="109" t="s">
        <v>12</v>
      </c>
      <c r="H72" s="109" t="s">
        <v>13</v>
      </c>
      <c r="I72" s="109" t="s">
        <v>14</v>
      </c>
      <c r="J72" s="109" t="s">
        <v>15</v>
      </c>
      <c r="K72" s="109" t="s">
        <v>16</v>
      </c>
      <c r="L72" s="109" t="s">
        <v>17</v>
      </c>
      <c r="M72" s="109" t="s">
        <v>18</v>
      </c>
      <c r="N72" s="109" t="s">
        <v>19</v>
      </c>
      <c r="O72" s="109" t="s">
        <v>20</v>
      </c>
    </row>
    <row r="73" spans="2:41" s="32" customFormat="1" ht="15" customHeight="1">
      <c r="J73" s="33"/>
      <c r="K73" s="33"/>
      <c r="L73" s="33"/>
      <c r="M73" s="33"/>
      <c r="N73" s="33"/>
      <c r="O73" s="33"/>
      <c r="P73" s="33"/>
      <c r="Q73" s="33"/>
      <c r="R73" s="33"/>
      <c r="S73" s="33"/>
      <c r="T73" s="33"/>
      <c r="U73" s="33"/>
      <c r="V73" s="33"/>
      <c r="W73" s="33"/>
      <c r="X73" s="33"/>
      <c r="Y73" s="33"/>
      <c r="Z73" s="33"/>
      <c r="AA73" s="33"/>
      <c r="AB73" s="33"/>
      <c r="AC73" s="33"/>
      <c r="AD73" s="33"/>
      <c r="AE73" s="33"/>
      <c r="AF73" s="33"/>
      <c r="AG73" s="33"/>
    </row>
    <row r="74" spans="2:41" s="32" customFormat="1" ht="24.95" customHeight="1">
      <c r="B74" s="65" t="s">
        <v>35</v>
      </c>
      <c r="C74" s="51">
        <v>1</v>
      </c>
      <c r="D74" s="52">
        <v>0</v>
      </c>
      <c r="E74" s="55">
        <v>29</v>
      </c>
      <c r="F74" s="54"/>
      <c r="G74" s="66">
        <v>3</v>
      </c>
      <c r="H74" s="66">
        <v>5</v>
      </c>
      <c r="I74" s="66">
        <v>3</v>
      </c>
      <c r="J74" s="66">
        <v>4</v>
      </c>
      <c r="K74" s="66">
        <v>3</v>
      </c>
      <c r="L74" s="66">
        <v>3</v>
      </c>
      <c r="M74" s="66">
        <v>2</v>
      </c>
      <c r="N74" s="66">
        <v>3</v>
      </c>
      <c r="O74" s="66">
        <v>3</v>
      </c>
      <c r="P74" s="33"/>
      <c r="Q74" s="33"/>
      <c r="R74" s="33"/>
      <c r="S74" s="33"/>
      <c r="T74" s="33"/>
      <c r="U74" s="33"/>
      <c r="V74" s="33"/>
      <c r="W74" s="33"/>
      <c r="X74" s="33"/>
      <c r="Y74" s="33"/>
      <c r="Z74" s="33"/>
      <c r="AA74" s="33"/>
      <c r="AB74" s="33"/>
      <c r="AC74" s="33"/>
      <c r="AD74" s="33"/>
      <c r="AE74" s="33"/>
      <c r="AF74" s="33"/>
      <c r="AG74" s="33"/>
    </row>
    <row r="75" spans="2:41" s="32" customFormat="1" ht="15" customHeight="1">
      <c r="P75" s="33"/>
      <c r="Q75" s="33"/>
      <c r="R75" s="33"/>
      <c r="S75" s="33"/>
      <c r="T75" s="33"/>
      <c r="U75" s="33"/>
      <c r="V75" s="33"/>
      <c r="W75" s="33"/>
      <c r="X75" s="33"/>
      <c r="Y75" s="33"/>
      <c r="Z75" s="33"/>
      <c r="AA75" s="33"/>
      <c r="AB75" s="33"/>
      <c r="AC75" s="33"/>
      <c r="AD75" s="33"/>
      <c r="AE75" s="33"/>
      <c r="AF75" s="33"/>
      <c r="AG75" s="33"/>
    </row>
    <row r="76" spans="2:41" s="32" customFormat="1" ht="24.95" customHeight="1">
      <c r="B76" s="51">
        <v>1</v>
      </c>
      <c r="C76" s="51">
        <v>1</v>
      </c>
      <c r="D76" s="67">
        <v>4</v>
      </c>
      <c r="E76" s="55">
        <v>29</v>
      </c>
      <c r="F76" s="54"/>
      <c r="G76" s="68">
        <v>3</v>
      </c>
      <c r="H76" s="68">
        <v>5</v>
      </c>
      <c r="I76" s="68">
        <v>3</v>
      </c>
      <c r="J76" s="68">
        <v>2</v>
      </c>
      <c r="K76" s="68">
        <v>3</v>
      </c>
      <c r="L76" s="68">
        <v>2</v>
      </c>
      <c r="M76" s="68">
        <v>4</v>
      </c>
      <c r="N76" s="68">
        <v>5</v>
      </c>
      <c r="O76" s="68">
        <v>2</v>
      </c>
      <c r="P76" s="33"/>
      <c r="Q76" s="33"/>
      <c r="R76" s="33"/>
      <c r="S76" s="33"/>
      <c r="T76" s="33"/>
      <c r="U76" s="33"/>
      <c r="V76" s="33"/>
      <c r="W76" s="33"/>
      <c r="X76" s="33"/>
      <c r="Y76" s="33"/>
      <c r="Z76" s="33"/>
      <c r="AA76" s="33"/>
      <c r="AB76" s="33"/>
      <c r="AC76" s="33"/>
      <c r="AD76" s="33"/>
      <c r="AE76" s="33"/>
      <c r="AF76" s="33"/>
      <c r="AG76" s="33"/>
    </row>
    <row r="77" spans="2:41" s="32" customFormat="1" ht="24.95" customHeight="1">
      <c r="B77" s="51">
        <v>2</v>
      </c>
      <c r="C77" s="51">
        <v>1</v>
      </c>
      <c r="D77" s="67">
        <v>4</v>
      </c>
      <c r="E77" s="55">
        <v>31</v>
      </c>
      <c r="F77" s="54"/>
      <c r="G77" s="66">
        <v>3</v>
      </c>
      <c r="H77" s="66">
        <v>2</v>
      </c>
      <c r="I77" s="66">
        <v>4</v>
      </c>
      <c r="J77" s="66">
        <v>3</v>
      </c>
      <c r="K77" s="66">
        <v>5</v>
      </c>
      <c r="L77" s="66">
        <v>4</v>
      </c>
      <c r="M77" s="66">
        <v>3</v>
      </c>
      <c r="N77" s="66">
        <v>5</v>
      </c>
      <c r="O77" s="66">
        <v>2</v>
      </c>
      <c r="P77" s="33"/>
      <c r="Q77" s="33"/>
      <c r="R77" s="33"/>
      <c r="S77" s="33"/>
      <c r="T77" s="33"/>
      <c r="U77" s="33"/>
      <c r="V77" s="33"/>
      <c r="W77" s="33"/>
      <c r="X77" s="33"/>
      <c r="Y77" s="33"/>
      <c r="Z77" s="33"/>
      <c r="AA77" s="33"/>
      <c r="AB77" s="33"/>
      <c r="AC77" s="33"/>
      <c r="AD77" s="33"/>
      <c r="AE77" s="33"/>
      <c r="AF77" s="33"/>
      <c r="AG77" s="33"/>
    </row>
    <row r="78" spans="2:41" s="32" customFormat="1" ht="24.95" customHeight="1">
      <c r="B78" s="51">
        <v>3</v>
      </c>
      <c r="C78" s="51">
        <v>1</v>
      </c>
      <c r="D78" s="67">
        <v>4</v>
      </c>
      <c r="E78" s="55">
        <v>35</v>
      </c>
      <c r="F78" s="54"/>
      <c r="G78" s="66">
        <v>3</v>
      </c>
      <c r="H78" s="66">
        <v>5</v>
      </c>
      <c r="I78" s="66">
        <v>3</v>
      </c>
      <c r="J78" s="66">
        <v>4</v>
      </c>
      <c r="K78" s="66">
        <v>5</v>
      </c>
      <c r="L78" s="66">
        <v>5</v>
      </c>
      <c r="M78" s="66">
        <v>4</v>
      </c>
      <c r="N78" s="66">
        <v>3</v>
      </c>
      <c r="O78" s="66">
        <v>3</v>
      </c>
      <c r="P78" s="33"/>
      <c r="Q78" s="33"/>
      <c r="R78" s="33"/>
      <c r="S78" s="33"/>
      <c r="T78" s="33"/>
      <c r="U78" s="33"/>
      <c r="V78" s="33"/>
      <c r="W78" s="33"/>
      <c r="X78" s="33"/>
      <c r="Y78" s="33"/>
      <c r="Z78" s="33"/>
      <c r="AA78" s="33"/>
      <c r="AB78" s="33"/>
      <c r="AC78" s="33"/>
      <c r="AD78" s="33"/>
      <c r="AE78" s="33"/>
      <c r="AF78" s="33"/>
      <c r="AG78" s="33"/>
    </row>
    <row r="79" spans="2:41" s="32" customFormat="1" ht="24.95" customHeight="1">
      <c r="B79" s="51">
        <v>4</v>
      </c>
      <c r="C79" s="51">
        <v>1</v>
      </c>
      <c r="D79" s="67">
        <v>4</v>
      </c>
      <c r="E79" s="55">
        <v>35</v>
      </c>
      <c r="F79" s="54"/>
      <c r="G79" s="66">
        <v>4</v>
      </c>
      <c r="H79" s="66">
        <v>3</v>
      </c>
      <c r="I79" s="66">
        <v>5</v>
      </c>
      <c r="J79" s="66">
        <v>5</v>
      </c>
      <c r="K79" s="66">
        <v>2</v>
      </c>
      <c r="L79" s="66">
        <v>4</v>
      </c>
      <c r="M79" s="66">
        <v>5</v>
      </c>
      <c r="N79" s="66">
        <v>4</v>
      </c>
      <c r="O79" s="66">
        <v>3</v>
      </c>
      <c r="P79" s="33"/>
      <c r="Q79" s="33"/>
      <c r="R79" s="33"/>
      <c r="S79" s="33"/>
      <c r="T79" s="33"/>
      <c r="U79" s="33"/>
      <c r="V79" s="33"/>
      <c r="W79" s="33"/>
      <c r="X79" s="33"/>
      <c r="Y79" s="33"/>
      <c r="Z79" s="33"/>
      <c r="AA79" s="33"/>
      <c r="AB79" s="33"/>
      <c r="AC79" s="33"/>
      <c r="AD79" s="33"/>
      <c r="AE79" s="33"/>
      <c r="AF79" s="33"/>
      <c r="AG79" s="33"/>
    </row>
    <row r="80" spans="2:41" s="32" customFormat="1" ht="24.95" customHeight="1">
      <c r="B80" s="51">
        <v>5</v>
      </c>
      <c r="C80" s="51">
        <v>1</v>
      </c>
      <c r="D80" s="67">
        <v>4</v>
      </c>
      <c r="E80" s="55">
        <v>28</v>
      </c>
      <c r="F80" s="54"/>
      <c r="G80" s="66">
        <v>2</v>
      </c>
      <c r="H80" s="66">
        <v>3</v>
      </c>
      <c r="I80" s="66">
        <v>3</v>
      </c>
      <c r="J80" s="66">
        <v>5</v>
      </c>
      <c r="K80" s="66">
        <v>4</v>
      </c>
      <c r="L80" s="66">
        <v>4</v>
      </c>
      <c r="M80" s="66">
        <v>2</v>
      </c>
      <c r="N80" s="66">
        <v>2</v>
      </c>
      <c r="O80" s="66">
        <v>3</v>
      </c>
      <c r="P80" s="33"/>
      <c r="Q80" s="33"/>
      <c r="R80" s="33"/>
      <c r="S80" s="33"/>
      <c r="T80" s="33"/>
      <c r="U80" s="33"/>
      <c r="V80" s="33"/>
      <c r="W80" s="33"/>
      <c r="X80" s="33"/>
      <c r="Y80" s="33"/>
      <c r="Z80" s="33"/>
      <c r="AA80" s="33"/>
      <c r="AB80" s="33"/>
      <c r="AC80" s="33"/>
      <c r="AD80" s="33"/>
      <c r="AE80" s="33"/>
      <c r="AF80" s="33"/>
      <c r="AG80" s="33"/>
    </row>
    <row r="81" spans="2:36" s="32" customFormat="1" ht="24.95" customHeight="1">
      <c r="B81" s="51">
        <v>6</v>
      </c>
      <c r="C81" s="51">
        <v>1</v>
      </c>
      <c r="D81" s="67">
        <v>4</v>
      </c>
      <c r="E81" s="55">
        <v>31</v>
      </c>
      <c r="F81" s="54"/>
      <c r="G81" s="66">
        <v>4</v>
      </c>
      <c r="H81" s="66">
        <v>4</v>
      </c>
      <c r="I81" s="66">
        <v>3</v>
      </c>
      <c r="J81" s="66">
        <v>2</v>
      </c>
      <c r="K81" s="66">
        <v>2</v>
      </c>
      <c r="L81" s="66">
        <v>4</v>
      </c>
      <c r="M81" s="66">
        <v>5</v>
      </c>
      <c r="N81" s="66">
        <v>2</v>
      </c>
      <c r="O81" s="66">
        <v>5</v>
      </c>
      <c r="P81" s="33"/>
      <c r="Q81" s="33"/>
      <c r="R81" s="33"/>
      <c r="S81" s="33"/>
      <c r="T81" s="33"/>
      <c r="U81" s="33"/>
      <c r="V81" s="33"/>
      <c r="W81" s="33"/>
      <c r="X81" s="33"/>
      <c r="Y81" s="33"/>
      <c r="Z81" s="33"/>
      <c r="AA81" s="33"/>
      <c r="AB81" s="33"/>
      <c r="AC81" s="33"/>
      <c r="AD81" s="33"/>
      <c r="AE81" s="33"/>
      <c r="AF81" s="33"/>
      <c r="AG81" s="33"/>
    </row>
    <row r="82" spans="2:36" s="32" customFormat="1" ht="24.95" customHeight="1">
      <c r="B82" s="51">
        <v>7</v>
      </c>
      <c r="C82" s="51">
        <v>1</v>
      </c>
      <c r="D82" s="67">
        <v>4</v>
      </c>
      <c r="E82" s="55">
        <v>30</v>
      </c>
      <c r="F82" s="54"/>
      <c r="G82" s="66">
        <v>5</v>
      </c>
      <c r="H82" s="66">
        <v>5</v>
      </c>
      <c r="I82" s="66">
        <v>4</v>
      </c>
      <c r="J82" s="66">
        <v>4</v>
      </c>
      <c r="K82" s="66">
        <v>2</v>
      </c>
      <c r="L82" s="66">
        <v>2</v>
      </c>
      <c r="M82" s="66">
        <v>4</v>
      </c>
      <c r="N82" s="66">
        <v>2</v>
      </c>
      <c r="O82" s="66">
        <v>2</v>
      </c>
      <c r="P82" s="33"/>
      <c r="Q82" s="33"/>
      <c r="R82" s="33"/>
      <c r="S82" s="33"/>
      <c r="T82" s="33"/>
      <c r="U82" s="33"/>
      <c r="V82" s="33"/>
      <c r="W82" s="33"/>
      <c r="X82" s="33"/>
      <c r="Y82" s="33"/>
      <c r="Z82" s="33"/>
      <c r="AA82" s="33"/>
      <c r="AB82" s="33"/>
      <c r="AC82" s="33"/>
      <c r="AD82" s="33"/>
      <c r="AE82" s="33"/>
      <c r="AF82" s="33"/>
      <c r="AG82" s="33"/>
    </row>
    <row r="83" spans="2:36" s="32" customFormat="1" ht="24.95" customHeight="1">
      <c r="B83" s="51">
        <v>8</v>
      </c>
      <c r="C83" s="51">
        <v>1</v>
      </c>
      <c r="D83" s="67">
        <v>4</v>
      </c>
      <c r="E83" s="55">
        <v>32</v>
      </c>
      <c r="F83" s="54"/>
      <c r="G83" s="66">
        <v>4</v>
      </c>
      <c r="H83" s="66">
        <v>3</v>
      </c>
      <c r="I83" s="66">
        <v>4</v>
      </c>
      <c r="J83" s="66">
        <v>5</v>
      </c>
      <c r="K83" s="66">
        <v>3</v>
      </c>
      <c r="L83" s="66">
        <v>2</v>
      </c>
      <c r="M83" s="66">
        <v>2</v>
      </c>
      <c r="N83" s="66">
        <v>5</v>
      </c>
      <c r="O83" s="66">
        <v>4</v>
      </c>
      <c r="P83" s="33"/>
      <c r="Q83" s="33"/>
      <c r="R83" s="33"/>
      <c r="S83" s="33"/>
      <c r="T83" s="33"/>
      <c r="U83" s="33"/>
      <c r="V83" s="33"/>
      <c r="W83" s="33"/>
      <c r="X83" s="33"/>
      <c r="Y83" s="33"/>
      <c r="Z83" s="33"/>
      <c r="AA83" s="33"/>
      <c r="AB83" s="33"/>
      <c r="AC83" s="33"/>
      <c r="AD83" s="33"/>
      <c r="AE83" s="33"/>
      <c r="AF83" s="33"/>
      <c r="AG83" s="33"/>
    </row>
    <row r="84" spans="2:36" s="32" customFormat="1" ht="24.95" customHeight="1">
      <c r="B84" s="51">
        <v>9</v>
      </c>
      <c r="C84" s="51">
        <v>1</v>
      </c>
      <c r="D84" s="67">
        <v>4</v>
      </c>
      <c r="E84" s="55">
        <v>37</v>
      </c>
      <c r="F84" s="54"/>
      <c r="G84" s="66">
        <v>5</v>
      </c>
      <c r="H84" s="66">
        <v>4</v>
      </c>
      <c r="I84" s="66">
        <v>3</v>
      </c>
      <c r="J84" s="66">
        <v>4</v>
      </c>
      <c r="K84" s="66">
        <v>5</v>
      </c>
      <c r="L84" s="66">
        <v>2</v>
      </c>
      <c r="M84" s="66">
        <v>5</v>
      </c>
      <c r="N84" s="66">
        <v>5</v>
      </c>
      <c r="O84" s="66">
        <v>4</v>
      </c>
      <c r="P84" s="33"/>
      <c r="Q84" s="33"/>
      <c r="R84" s="33"/>
      <c r="S84" s="33"/>
      <c r="T84" s="33"/>
      <c r="U84" s="33"/>
      <c r="V84" s="33"/>
      <c r="W84" s="33"/>
      <c r="X84" s="33"/>
      <c r="Y84" s="33"/>
      <c r="Z84" s="33"/>
      <c r="AA84" s="33"/>
      <c r="AB84" s="33"/>
      <c r="AC84" s="33"/>
      <c r="AD84" s="33"/>
      <c r="AE84" s="33"/>
      <c r="AF84" s="33"/>
      <c r="AG84" s="33"/>
    </row>
    <row r="85" spans="2:36" s="32" customFormat="1" ht="24.95" customHeight="1">
      <c r="B85" s="51">
        <v>10</v>
      </c>
      <c r="C85" s="51">
        <v>1</v>
      </c>
      <c r="D85" s="67">
        <v>4</v>
      </c>
      <c r="E85" s="55">
        <v>33</v>
      </c>
      <c r="F85" s="54"/>
      <c r="G85" s="66">
        <v>3</v>
      </c>
      <c r="H85" s="66">
        <v>5</v>
      </c>
      <c r="I85" s="66">
        <v>2</v>
      </c>
      <c r="J85" s="66">
        <v>4</v>
      </c>
      <c r="K85" s="66">
        <v>5</v>
      </c>
      <c r="L85" s="66">
        <v>5</v>
      </c>
      <c r="M85" s="66">
        <v>3</v>
      </c>
      <c r="N85" s="66">
        <v>2</v>
      </c>
      <c r="O85" s="66">
        <v>4</v>
      </c>
      <c r="P85" s="33"/>
      <c r="Q85" s="33"/>
      <c r="R85" s="33"/>
      <c r="S85" s="33"/>
      <c r="T85" s="33"/>
      <c r="U85" s="33"/>
      <c r="V85" s="33"/>
      <c r="W85" s="33"/>
      <c r="X85" s="33"/>
      <c r="Y85" s="33"/>
      <c r="Z85" s="33"/>
      <c r="AA85" s="33"/>
      <c r="AB85" s="33"/>
      <c r="AC85" s="33"/>
      <c r="AD85" s="33"/>
      <c r="AE85" s="33"/>
      <c r="AF85" s="33"/>
      <c r="AG85" s="33"/>
    </row>
    <row r="86" spans="2:36" s="32" customFormat="1" ht="24.95" customHeight="1">
      <c r="B86" s="51">
        <v>11</v>
      </c>
      <c r="C86" s="51">
        <v>1</v>
      </c>
      <c r="D86" s="67">
        <v>4</v>
      </c>
      <c r="E86" s="55">
        <v>28</v>
      </c>
      <c r="F86" s="54"/>
      <c r="G86" s="66">
        <v>5</v>
      </c>
      <c r="H86" s="66">
        <v>2</v>
      </c>
      <c r="I86" s="66">
        <v>2</v>
      </c>
      <c r="J86" s="66">
        <v>3</v>
      </c>
      <c r="K86" s="66">
        <v>2</v>
      </c>
      <c r="L86" s="66">
        <v>3</v>
      </c>
      <c r="M86" s="66">
        <v>5</v>
      </c>
      <c r="N86" s="66">
        <v>4</v>
      </c>
      <c r="O86" s="66">
        <v>2</v>
      </c>
      <c r="P86" s="33"/>
      <c r="Q86" s="33"/>
      <c r="R86" s="33"/>
      <c r="S86" s="33"/>
      <c r="T86" s="33"/>
      <c r="U86" s="33"/>
      <c r="V86" s="33"/>
      <c r="W86" s="33"/>
      <c r="X86" s="33"/>
      <c r="Y86" s="33"/>
      <c r="Z86" s="33"/>
      <c r="AA86" s="33"/>
      <c r="AB86" s="33"/>
      <c r="AC86" s="33"/>
      <c r="AD86" s="33"/>
      <c r="AE86" s="33"/>
      <c r="AF86" s="33"/>
      <c r="AG86" s="33"/>
    </row>
    <row r="87" spans="2:36" s="32" customFormat="1" ht="24.95" customHeight="1">
      <c r="B87" s="51">
        <v>12</v>
      </c>
      <c r="C87" s="51">
        <v>1</v>
      </c>
      <c r="D87" s="67">
        <v>4</v>
      </c>
      <c r="E87" s="55">
        <v>34</v>
      </c>
      <c r="F87" s="54"/>
      <c r="G87" s="66">
        <v>5</v>
      </c>
      <c r="H87" s="66">
        <v>4</v>
      </c>
      <c r="I87" s="66">
        <v>5</v>
      </c>
      <c r="J87" s="66">
        <v>2</v>
      </c>
      <c r="K87" s="66">
        <v>4</v>
      </c>
      <c r="L87" s="66">
        <v>5</v>
      </c>
      <c r="M87" s="66">
        <v>2</v>
      </c>
      <c r="N87" s="66">
        <v>5</v>
      </c>
      <c r="O87" s="66">
        <v>2</v>
      </c>
      <c r="P87" s="33"/>
      <c r="Q87" s="33"/>
      <c r="R87" s="33"/>
      <c r="S87" s="33"/>
      <c r="T87" s="33"/>
      <c r="U87" s="33"/>
      <c r="V87" s="33"/>
      <c r="W87" s="33"/>
      <c r="X87" s="33"/>
      <c r="Y87" s="33"/>
      <c r="Z87" s="33"/>
      <c r="AA87" s="33"/>
      <c r="AB87" s="33"/>
      <c r="AC87" s="33"/>
      <c r="AD87" s="33"/>
      <c r="AE87" s="33"/>
      <c r="AF87" s="33"/>
      <c r="AG87" s="33"/>
    </row>
    <row r="88" spans="2:36" s="32" customFormat="1" ht="24.95" customHeight="1">
      <c r="B88" s="51">
        <v>13</v>
      </c>
      <c r="C88" s="51">
        <v>1</v>
      </c>
      <c r="D88" s="67">
        <v>4</v>
      </c>
      <c r="E88" s="55">
        <v>31</v>
      </c>
      <c r="F88" s="54"/>
      <c r="G88" s="66">
        <v>3</v>
      </c>
      <c r="H88" s="66">
        <v>4</v>
      </c>
      <c r="I88" s="66">
        <v>2</v>
      </c>
      <c r="J88" s="66">
        <v>3</v>
      </c>
      <c r="K88" s="66">
        <v>2</v>
      </c>
      <c r="L88" s="66">
        <v>5</v>
      </c>
      <c r="M88" s="66">
        <v>4</v>
      </c>
      <c r="N88" s="66">
        <v>3</v>
      </c>
      <c r="O88" s="66">
        <v>5</v>
      </c>
      <c r="P88" s="33"/>
      <c r="Q88" s="33"/>
      <c r="R88" s="33"/>
      <c r="S88" s="33"/>
      <c r="T88" s="33"/>
      <c r="U88" s="33"/>
      <c r="V88" s="33"/>
      <c r="W88" s="33"/>
      <c r="X88" s="33"/>
      <c r="Y88" s="33"/>
      <c r="Z88" s="33"/>
      <c r="AA88" s="33"/>
      <c r="AB88" s="33"/>
      <c r="AC88" s="33"/>
      <c r="AD88" s="33"/>
      <c r="AE88" s="33"/>
      <c r="AF88" s="33"/>
      <c r="AG88" s="33"/>
    </row>
    <row r="89" spans="2:36" s="32" customFormat="1" ht="24.95" customHeight="1">
      <c r="B89" s="51">
        <v>14</v>
      </c>
      <c r="C89" s="51">
        <v>1</v>
      </c>
      <c r="D89" s="67">
        <v>4</v>
      </c>
      <c r="E89" s="55">
        <v>35</v>
      </c>
      <c r="F89" s="54"/>
      <c r="G89" s="66">
        <v>4</v>
      </c>
      <c r="H89" s="66">
        <v>4</v>
      </c>
      <c r="I89" s="66">
        <v>4</v>
      </c>
      <c r="J89" s="66">
        <v>3</v>
      </c>
      <c r="K89" s="66">
        <v>2</v>
      </c>
      <c r="L89" s="66">
        <v>5</v>
      </c>
      <c r="M89" s="66">
        <v>5</v>
      </c>
      <c r="N89" s="66">
        <v>3</v>
      </c>
      <c r="O89" s="66">
        <v>5</v>
      </c>
      <c r="P89" s="33"/>
      <c r="Q89" s="33"/>
      <c r="R89" s="33"/>
      <c r="S89" s="33"/>
      <c r="T89" s="33"/>
      <c r="U89" s="33"/>
      <c r="V89" s="33"/>
      <c r="W89" s="33"/>
      <c r="X89" s="33"/>
      <c r="Y89" s="33"/>
      <c r="Z89" s="33"/>
      <c r="AA89" s="33"/>
      <c r="AB89" s="33"/>
      <c r="AC89" s="33"/>
      <c r="AD89" s="33"/>
      <c r="AE89" s="33"/>
      <c r="AF89" s="33"/>
      <c r="AG89" s="33"/>
    </row>
    <row r="90" spans="2:36" s="32" customFormat="1" ht="24.95" customHeight="1">
      <c r="B90" s="51">
        <v>15</v>
      </c>
      <c r="C90" s="51">
        <v>1</v>
      </c>
      <c r="D90" s="67">
        <v>4</v>
      </c>
      <c r="E90" s="55">
        <v>34</v>
      </c>
      <c r="F90" s="54"/>
      <c r="G90" s="66">
        <v>3</v>
      </c>
      <c r="H90" s="66">
        <v>3</v>
      </c>
      <c r="I90" s="66">
        <v>3</v>
      </c>
      <c r="J90" s="66">
        <v>5</v>
      </c>
      <c r="K90" s="66">
        <v>2</v>
      </c>
      <c r="L90" s="66">
        <v>5</v>
      </c>
      <c r="M90" s="66">
        <v>3</v>
      </c>
      <c r="N90" s="66">
        <v>5</v>
      </c>
      <c r="O90" s="66">
        <v>5</v>
      </c>
      <c r="P90" s="33"/>
      <c r="Q90" s="33"/>
      <c r="R90" s="33"/>
      <c r="S90" s="33"/>
      <c r="T90" s="33"/>
      <c r="U90" s="33"/>
      <c r="V90" s="33"/>
      <c r="W90" s="33"/>
      <c r="X90" s="33"/>
      <c r="Y90" s="33"/>
      <c r="Z90" s="33"/>
      <c r="AA90" s="33"/>
      <c r="AB90" s="33"/>
      <c r="AC90" s="33"/>
      <c r="AD90" s="33"/>
      <c r="AE90" s="33"/>
      <c r="AF90" s="33"/>
      <c r="AG90" s="33"/>
    </row>
    <row r="91" spans="2:36" s="32" customFormat="1" ht="24.95" customHeight="1">
      <c r="B91" s="51">
        <v>16</v>
      </c>
      <c r="C91" s="51">
        <v>1</v>
      </c>
      <c r="D91" s="67">
        <v>4</v>
      </c>
      <c r="E91" s="55">
        <v>30</v>
      </c>
      <c r="F91" s="54"/>
      <c r="G91" s="66">
        <v>2</v>
      </c>
      <c r="H91" s="66">
        <v>3</v>
      </c>
      <c r="I91" s="66">
        <v>2</v>
      </c>
      <c r="J91" s="66">
        <v>2</v>
      </c>
      <c r="K91" s="66">
        <v>5</v>
      </c>
      <c r="L91" s="66">
        <v>4</v>
      </c>
      <c r="M91" s="66">
        <v>5</v>
      </c>
      <c r="N91" s="66">
        <v>5</v>
      </c>
      <c r="O91" s="66">
        <v>2</v>
      </c>
      <c r="P91" s="33"/>
      <c r="Q91" s="33"/>
      <c r="R91" s="33"/>
      <c r="S91" s="33"/>
      <c r="T91" s="33"/>
      <c r="U91" s="33"/>
      <c r="V91" s="33"/>
      <c r="W91" s="33"/>
      <c r="X91" s="33"/>
      <c r="Y91" s="33"/>
      <c r="Z91" s="33"/>
      <c r="AA91" s="33"/>
      <c r="AB91" s="33"/>
      <c r="AC91" s="33"/>
      <c r="AD91" s="33"/>
      <c r="AE91" s="33"/>
      <c r="AF91" s="33"/>
      <c r="AG91" s="33"/>
    </row>
    <row r="92" spans="2:36" s="32" customFormat="1" ht="24.95" customHeight="1">
      <c r="B92" s="51">
        <v>17</v>
      </c>
      <c r="C92" s="51">
        <v>1</v>
      </c>
      <c r="D92" s="67">
        <v>4</v>
      </c>
      <c r="E92" s="55">
        <v>33</v>
      </c>
      <c r="F92" s="54"/>
      <c r="G92" s="66">
        <v>3</v>
      </c>
      <c r="H92" s="66">
        <v>4</v>
      </c>
      <c r="I92" s="66">
        <v>4</v>
      </c>
      <c r="J92" s="66">
        <v>3</v>
      </c>
      <c r="K92" s="66">
        <v>4</v>
      </c>
      <c r="L92" s="66">
        <v>3</v>
      </c>
      <c r="M92" s="66">
        <v>4</v>
      </c>
      <c r="N92" s="66">
        <v>4</v>
      </c>
      <c r="O92" s="66">
        <v>4</v>
      </c>
      <c r="P92" s="33"/>
      <c r="Q92" s="33"/>
      <c r="R92" s="33"/>
      <c r="S92" s="33"/>
      <c r="T92" s="33"/>
      <c r="U92" s="33"/>
      <c r="V92" s="33"/>
      <c r="W92" s="33"/>
      <c r="X92" s="33"/>
      <c r="Y92" s="33"/>
      <c r="Z92" s="33"/>
      <c r="AA92" s="33"/>
      <c r="AB92" s="33"/>
      <c r="AC92" s="33"/>
      <c r="AD92" s="33"/>
      <c r="AE92" s="33"/>
      <c r="AF92" s="33"/>
      <c r="AG92" s="33"/>
    </row>
    <row r="93" spans="2:36" s="32" customFormat="1" ht="24.95" customHeight="1">
      <c r="B93" s="51">
        <v>18</v>
      </c>
      <c r="C93" s="51">
        <v>1</v>
      </c>
      <c r="D93" s="67">
        <v>4</v>
      </c>
      <c r="E93" s="55">
        <v>29</v>
      </c>
      <c r="F93" s="54"/>
      <c r="G93" s="66">
        <v>3</v>
      </c>
      <c r="H93" s="66">
        <v>4</v>
      </c>
      <c r="I93" s="66">
        <v>5</v>
      </c>
      <c r="J93" s="66">
        <v>2</v>
      </c>
      <c r="K93" s="66">
        <v>2</v>
      </c>
      <c r="L93" s="66">
        <v>5</v>
      </c>
      <c r="M93" s="66">
        <v>2</v>
      </c>
      <c r="N93" s="66">
        <v>3</v>
      </c>
      <c r="O93" s="66">
        <v>3</v>
      </c>
      <c r="P93" s="33"/>
      <c r="Q93" s="33"/>
      <c r="R93" s="33"/>
      <c r="S93" s="33"/>
      <c r="T93" s="33"/>
      <c r="U93" s="33"/>
      <c r="V93" s="33"/>
      <c r="W93" s="33"/>
      <c r="X93" s="33"/>
      <c r="Y93" s="33"/>
      <c r="Z93" s="33"/>
      <c r="AA93" s="33"/>
      <c r="AB93" s="33"/>
      <c r="AC93" s="33"/>
      <c r="AD93" s="33"/>
      <c r="AE93" s="33"/>
      <c r="AF93" s="33"/>
      <c r="AG93" s="33"/>
      <c r="AH93" s="33"/>
      <c r="AI93" s="33"/>
      <c r="AJ93" s="33"/>
    </row>
    <row r="94" spans="2:36" s="32" customFormat="1" ht="24.95" customHeight="1">
      <c r="B94" s="51">
        <v>19</v>
      </c>
      <c r="C94" s="51">
        <v>1</v>
      </c>
      <c r="D94" s="67">
        <v>4</v>
      </c>
      <c r="E94" s="55">
        <v>32</v>
      </c>
      <c r="F94" s="54"/>
      <c r="G94" s="66">
        <v>3</v>
      </c>
      <c r="H94" s="66">
        <v>3</v>
      </c>
      <c r="I94" s="66">
        <v>4</v>
      </c>
      <c r="J94" s="66">
        <v>4</v>
      </c>
      <c r="K94" s="66">
        <v>2</v>
      </c>
      <c r="L94" s="66">
        <v>3</v>
      </c>
      <c r="M94" s="66">
        <v>5</v>
      </c>
      <c r="N94" s="66">
        <v>4</v>
      </c>
      <c r="O94" s="66">
        <v>4</v>
      </c>
      <c r="P94" s="33"/>
      <c r="Q94" s="33"/>
      <c r="R94" s="33"/>
      <c r="S94" s="33"/>
      <c r="T94" s="33"/>
      <c r="U94" s="33"/>
      <c r="V94" s="33"/>
      <c r="W94" s="33"/>
      <c r="X94" s="33"/>
      <c r="Y94" s="33"/>
      <c r="Z94" s="33"/>
      <c r="AA94" s="33"/>
      <c r="AB94" s="33"/>
      <c r="AC94" s="33"/>
      <c r="AD94" s="33"/>
      <c r="AE94" s="33"/>
      <c r="AF94" s="33"/>
      <c r="AG94" s="33"/>
      <c r="AH94" s="33"/>
      <c r="AI94" s="33"/>
      <c r="AJ94" s="33"/>
    </row>
    <row r="95" spans="2:36" s="32" customFormat="1" ht="24.95" customHeight="1">
      <c r="B95" s="51">
        <v>20</v>
      </c>
      <c r="C95" s="51">
        <v>1</v>
      </c>
      <c r="D95" s="67">
        <v>4</v>
      </c>
      <c r="E95" s="55">
        <v>34</v>
      </c>
      <c r="F95" s="54"/>
      <c r="G95" s="66">
        <v>5</v>
      </c>
      <c r="H95" s="66">
        <v>3</v>
      </c>
      <c r="I95" s="66">
        <v>4</v>
      </c>
      <c r="J95" s="66">
        <v>4</v>
      </c>
      <c r="K95" s="66">
        <v>4</v>
      </c>
      <c r="L95" s="66">
        <v>5</v>
      </c>
      <c r="M95" s="66">
        <v>4</v>
      </c>
      <c r="N95" s="66">
        <v>3</v>
      </c>
      <c r="O95" s="66">
        <v>2</v>
      </c>
      <c r="P95" s="33"/>
      <c r="Q95" s="33"/>
      <c r="R95" s="33"/>
      <c r="S95" s="33"/>
      <c r="T95" s="33"/>
      <c r="U95" s="33"/>
      <c r="V95" s="33"/>
      <c r="W95" s="33"/>
      <c r="X95" s="33"/>
      <c r="Y95" s="33"/>
      <c r="Z95" s="33"/>
      <c r="AA95" s="33"/>
      <c r="AB95" s="33"/>
      <c r="AC95" s="33"/>
      <c r="AD95" s="33"/>
      <c r="AE95" s="33"/>
      <c r="AF95" s="33"/>
      <c r="AG95" s="33"/>
      <c r="AH95" s="33"/>
      <c r="AI95" s="33"/>
      <c r="AJ95" s="33"/>
    </row>
    <row r="96" spans="2:36" s="32" customFormat="1" ht="15" customHeight="1" thickBot="1">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row>
    <row r="97" spans="2:41" s="32" customFormat="1" ht="22.5" customHeight="1" thickBot="1">
      <c r="B97" s="57" t="s">
        <v>36</v>
      </c>
      <c r="C97" s="114" t="s">
        <v>126</v>
      </c>
      <c r="D97" s="59"/>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row>
    <row r="98" spans="2:41" s="16" customFormat="1" ht="15" customHeight="1">
      <c r="H98" s="32"/>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row>
    <row r="99" spans="2:41" s="16" customFormat="1" ht="15" customHeight="1">
      <c r="B99" s="60" t="s">
        <v>101</v>
      </c>
      <c r="C99" s="61"/>
      <c r="H99" s="32"/>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row>
    <row r="100" spans="2:41" s="16" customFormat="1" ht="15" customHeight="1">
      <c r="B100" s="61"/>
      <c r="C100" s="61"/>
      <c r="H100" s="32"/>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row>
    <row r="101" spans="2:41" s="16" customFormat="1" ht="15" customHeight="1">
      <c r="B101" s="60" t="s">
        <v>102</v>
      </c>
      <c r="C101" s="61"/>
      <c r="H101" s="32"/>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row>
    <row r="102" spans="2:41" s="16" customFormat="1" ht="15" customHeight="1">
      <c r="H102" s="32"/>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row>
    <row r="103" spans="2:41" s="16" customFormat="1" ht="15" customHeight="1">
      <c r="B103" s="63" t="s">
        <v>34</v>
      </c>
      <c r="C103" s="61"/>
      <c r="D103" s="50"/>
      <c r="E103" s="50"/>
      <c r="F103" s="50"/>
      <c r="G103" s="50"/>
      <c r="H103" s="32"/>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row>
    <row r="104" spans="2:41" s="16" customFormat="1" ht="15" customHeight="1">
      <c r="B104" s="61" t="s">
        <v>104</v>
      </c>
      <c r="D104" s="50"/>
      <c r="E104" s="50"/>
      <c r="F104" s="50"/>
      <c r="G104" s="50"/>
      <c r="H104" s="32"/>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row>
    <row r="105" spans="2:41" s="16" customFormat="1" ht="15" customHeight="1">
      <c r="B105" s="61" t="s">
        <v>105</v>
      </c>
      <c r="D105" s="50"/>
      <c r="E105" s="50"/>
      <c r="F105" s="50"/>
      <c r="G105" s="50"/>
      <c r="H105" s="32"/>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row>
    <row r="106" spans="2:41" s="16" customFormat="1" ht="15" customHeight="1" thickBot="1">
      <c r="B106" s="61" t="s">
        <v>106</v>
      </c>
      <c r="D106" s="50"/>
      <c r="E106" s="50"/>
      <c r="F106" s="50"/>
      <c r="G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50"/>
      <c r="AN106" s="50"/>
      <c r="AO106" s="50"/>
    </row>
    <row r="107" spans="2:41" s="50" customFormat="1" ht="22.5" customHeight="1" thickBot="1">
      <c r="B107" s="16"/>
      <c r="C107" s="16"/>
      <c r="D107" s="16"/>
      <c r="E107" s="16"/>
      <c r="F107" s="16"/>
      <c r="G107" s="110" t="s">
        <v>90</v>
      </c>
      <c r="H107" s="111"/>
      <c r="I107" s="111"/>
      <c r="J107" s="111"/>
      <c r="K107" s="111"/>
      <c r="L107" s="111"/>
      <c r="M107" s="111"/>
      <c r="N107" s="111"/>
      <c r="O107" s="112"/>
    </row>
    <row r="108" spans="2:41" s="50" customFormat="1" ht="22.5" customHeight="1" thickBot="1">
      <c r="B108" s="47" t="s">
        <v>8</v>
      </c>
      <c r="C108" s="48" t="s">
        <v>9</v>
      </c>
      <c r="D108" s="47" t="s">
        <v>10</v>
      </c>
      <c r="E108" s="64" t="s">
        <v>11</v>
      </c>
      <c r="F108" s="16"/>
      <c r="G108" s="47" t="s">
        <v>12</v>
      </c>
      <c r="H108" s="47" t="s">
        <v>13</v>
      </c>
      <c r="I108" s="47" t="s">
        <v>14</v>
      </c>
      <c r="J108" s="47" t="s">
        <v>15</v>
      </c>
      <c r="K108" s="47" t="s">
        <v>16</v>
      </c>
      <c r="L108" s="47" t="s">
        <v>17</v>
      </c>
      <c r="M108" s="47" t="s">
        <v>18</v>
      </c>
      <c r="N108" s="47" t="s">
        <v>19</v>
      </c>
      <c r="O108" s="47" t="s">
        <v>20</v>
      </c>
    </row>
    <row r="109" spans="2:41" s="32" customFormat="1" ht="15" customHeight="1">
      <c r="J109" s="33"/>
      <c r="K109" s="33"/>
      <c r="L109" s="33"/>
      <c r="M109" s="33"/>
      <c r="N109" s="33"/>
      <c r="O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row>
    <row r="110" spans="2:41" s="32" customFormat="1" ht="24.95" customHeight="1">
      <c r="B110" s="65" t="s">
        <v>37</v>
      </c>
      <c r="C110" s="51">
        <v>2</v>
      </c>
      <c r="D110" s="52">
        <v>0</v>
      </c>
      <c r="E110" s="55">
        <v>5</v>
      </c>
      <c r="F110" s="54"/>
      <c r="G110" s="66">
        <v>3</v>
      </c>
      <c r="H110" s="66">
        <v>5</v>
      </c>
      <c r="I110" s="66">
        <v>3</v>
      </c>
      <c r="J110" s="66">
        <v>4</v>
      </c>
      <c r="K110" s="66">
        <v>3</v>
      </c>
      <c r="L110" s="66">
        <v>3</v>
      </c>
      <c r="M110" s="66">
        <v>2</v>
      </c>
      <c r="N110" s="66">
        <v>3</v>
      </c>
      <c r="O110" s="66">
        <v>3</v>
      </c>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row>
    <row r="111" spans="2:41" s="32" customFormat="1" ht="15" customHeight="1">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row>
    <row r="112" spans="2:41" s="32" customFormat="1" ht="24.95" customHeight="1">
      <c r="B112" s="51">
        <v>21</v>
      </c>
      <c r="C112" s="51">
        <v>2</v>
      </c>
      <c r="D112" s="67">
        <v>5</v>
      </c>
      <c r="E112" s="55">
        <v>5</v>
      </c>
      <c r="F112" s="54"/>
      <c r="G112" s="68">
        <v>3</v>
      </c>
      <c r="H112" s="68">
        <v>5</v>
      </c>
      <c r="I112" s="68">
        <v>2</v>
      </c>
      <c r="J112" s="68">
        <v>3</v>
      </c>
      <c r="K112" s="68">
        <v>2</v>
      </c>
      <c r="L112" s="68">
        <v>2</v>
      </c>
      <c r="M112" s="68">
        <v>5</v>
      </c>
      <c r="N112" s="68">
        <v>2</v>
      </c>
      <c r="O112" s="68">
        <v>5</v>
      </c>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row>
    <row r="113" spans="2:41" s="32" customFormat="1" ht="24.95" customHeight="1">
      <c r="B113" s="51">
        <v>22</v>
      </c>
      <c r="C113" s="51">
        <v>2</v>
      </c>
      <c r="D113" s="67">
        <v>5</v>
      </c>
      <c r="E113" s="55">
        <v>4</v>
      </c>
      <c r="F113" s="54"/>
      <c r="G113" s="66">
        <v>2</v>
      </c>
      <c r="H113" s="66">
        <v>2</v>
      </c>
      <c r="I113" s="66">
        <v>4</v>
      </c>
      <c r="J113" s="66">
        <v>4</v>
      </c>
      <c r="K113" s="66">
        <v>4</v>
      </c>
      <c r="L113" s="66">
        <v>3</v>
      </c>
      <c r="M113" s="66">
        <v>2</v>
      </c>
      <c r="N113" s="66">
        <v>2</v>
      </c>
      <c r="O113" s="66">
        <v>4</v>
      </c>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row>
    <row r="114" spans="2:41" s="32" customFormat="1" ht="24.95" customHeight="1">
      <c r="B114" s="51">
        <v>23</v>
      </c>
      <c r="C114" s="51">
        <v>2</v>
      </c>
      <c r="D114" s="67">
        <v>5</v>
      </c>
      <c r="E114" s="55">
        <v>5</v>
      </c>
      <c r="F114" s="54"/>
      <c r="G114" s="66">
        <v>4</v>
      </c>
      <c r="H114" s="66">
        <v>4</v>
      </c>
      <c r="I114" s="66">
        <v>5</v>
      </c>
      <c r="J114" s="66">
        <v>2</v>
      </c>
      <c r="K114" s="66">
        <v>2</v>
      </c>
      <c r="L114" s="66">
        <v>5</v>
      </c>
      <c r="M114" s="66">
        <v>3</v>
      </c>
      <c r="N114" s="66">
        <v>3</v>
      </c>
      <c r="O114" s="66">
        <v>2</v>
      </c>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row>
    <row r="115" spans="2:41" s="32" customFormat="1" ht="24.95" customHeight="1">
      <c r="B115" s="51">
        <v>24</v>
      </c>
      <c r="C115" s="51">
        <v>2</v>
      </c>
      <c r="D115" s="67">
        <v>5</v>
      </c>
      <c r="E115" s="55">
        <v>5</v>
      </c>
      <c r="F115" s="54"/>
      <c r="G115" s="66">
        <v>3</v>
      </c>
      <c r="H115" s="66">
        <v>5</v>
      </c>
      <c r="I115" s="66">
        <v>3</v>
      </c>
      <c r="J115" s="66">
        <v>3</v>
      </c>
      <c r="K115" s="66">
        <v>3</v>
      </c>
      <c r="L115" s="66">
        <v>5</v>
      </c>
      <c r="M115" s="66">
        <v>5</v>
      </c>
      <c r="N115" s="66">
        <v>4</v>
      </c>
      <c r="O115" s="66">
        <v>5</v>
      </c>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row>
    <row r="116" spans="2:41" s="32" customFormat="1" ht="24.95" customHeight="1">
      <c r="B116" s="51">
        <v>25</v>
      </c>
      <c r="C116" s="51">
        <v>2</v>
      </c>
      <c r="D116" s="67">
        <v>5</v>
      </c>
      <c r="E116" s="55">
        <v>5</v>
      </c>
      <c r="F116" s="54"/>
      <c r="G116" s="66">
        <v>2</v>
      </c>
      <c r="H116" s="66">
        <v>5</v>
      </c>
      <c r="I116" s="66">
        <v>4</v>
      </c>
      <c r="J116" s="66">
        <v>3</v>
      </c>
      <c r="K116" s="66">
        <v>3</v>
      </c>
      <c r="L116" s="66">
        <v>5</v>
      </c>
      <c r="M116" s="66">
        <v>2</v>
      </c>
      <c r="N116" s="66">
        <v>2</v>
      </c>
      <c r="O116" s="66">
        <v>4</v>
      </c>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row>
    <row r="117" spans="2:41" s="32" customFormat="1" ht="24.95" customHeight="1">
      <c r="B117" s="51">
        <v>26</v>
      </c>
      <c r="C117" s="51">
        <v>2</v>
      </c>
      <c r="D117" s="67">
        <v>5</v>
      </c>
      <c r="E117" s="55">
        <v>5</v>
      </c>
      <c r="F117" s="54"/>
      <c r="G117" s="66">
        <v>4</v>
      </c>
      <c r="H117" s="66">
        <v>3</v>
      </c>
      <c r="I117" s="66">
        <v>4</v>
      </c>
      <c r="J117" s="66">
        <v>5</v>
      </c>
      <c r="K117" s="66">
        <v>2</v>
      </c>
      <c r="L117" s="66">
        <v>2</v>
      </c>
      <c r="M117" s="66">
        <v>5</v>
      </c>
      <c r="N117" s="66">
        <v>2</v>
      </c>
      <c r="O117" s="66">
        <v>2</v>
      </c>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row>
    <row r="118" spans="2:41" s="32" customFormat="1" ht="24.95" customHeight="1">
      <c r="B118" s="51">
        <v>27</v>
      </c>
      <c r="C118" s="51">
        <v>2</v>
      </c>
      <c r="D118" s="67">
        <v>5</v>
      </c>
      <c r="E118" s="55">
        <v>3</v>
      </c>
      <c r="F118" s="54"/>
      <c r="G118" s="66">
        <v>2</v>
      </c>
      <c r="H118" s="66">
        <v>3</v>
      </c>
      <c r="I118" s="66">
        <v>2</v>
      </c>
      <c r="J118" s="66">
        <v>2</v>
      </c>
      <c r="K118" s="66">
        <v>3</v>
      </c>
      <c r="L118" s="66">
        <v>2</v>
      </c>
      <c r="M118" s="66">
        <v>3</v>
      </c>
      <c r="N118" s="66">
        <v>3</v>
      </c>
      <c r="O118" s="66">
        <v>3</v>
      </c>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row>
    <row r="119" spans="2:41" s="32" customFormat="1" ht="24.95" customHeight="1">
      <c r="B119" s="51">
        <v>28</v>
      </c>
      <c r="C119" s="51">
        <v>2</v>
      </c>
      <c r="D119" s="67">
        <v>5</v>
      </c>
      <c r="E119" s="55">
        <v>5</v>
      </c>
      <c r="F119" s="54"/>
      <c r="G119" s="66">
        <v>5</v>
      </c>
      <c r="H119" s="66">
        <v>2</v>
      </c>
      <c r="I119" s="66">
        <v>5</v>
      </c>
      <c r="J119" s="66">
        <v>2</v>
      </c>
      <c r="K119" s="66">
        <v>4</v>
      </c>
      <c r="L119" s="66">
        <v>2</v>
      </c>
      <c r="M119" s="66">
        <v>5</v>
      </c>
      <c r="N119" s="66">
        <v>3</v>
      </c>
      <c r="O119" s="66">
        <v>5</v>
      </c>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row>
    <row r="120" spans="2:41" s="32" customFormat="1" ht="24.95" customHeight="1">
      <c r="B120" s="51">
        <v>29</v>
      </c>
      <c r="C120" s="51">
        <v>2</v>
      </c>
      <c r="D120" s="67">
        <v>5</v>
      </c>
      <c r="E120" s="55">
        <v>5</v>
      </c>
      <c r="F120" s="54"/>
      <c r="G120" s="66">
        <v>5</v>
      </c>
      <c r="H120" s="66">
        <v>2</v>
      </c>
      <c r="I120" s="66">
        <v>2</v>
      </c>
      <c r="J120" s="66">
        <v>4</v>
      </c>
      <c r="K120" s="66">
        <v>5</v>
      </c>
      <c r="L120" s="66">
        <v>2</v>
      </c>
      <c r="M120" s="66">
        <v>2</v>
      </c>
      <c r="N120" s="66">
        <v>3</v>
      </c>
      <c r="O120" s="66">
        <v>3</v>
      </c>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row>
    <row r="121" spans="2:41" s="32" customFormat="1" ht="24.95" customHeight="1">
      <c r="B121" s="51">
        <v>30</v>
      </c>
      <c r="C121" s="51">
        <v>2</v>
      </c>
      <c r="D121" s="67">
        <v>5</v>
      </c>
      <c r="E121" s="55">
        <v>5</v>
      </c>
      <c r="F121" s="54"/>
      <c r="G121" s="66">
        <v>2</v>
      </c>
      <c r="H121" s="66">
        <v>5</v>
      </c>
      <c r="I121" s="66">
        <v>5</v>
      </c>
      <c r="J121" s="66">
        <v>2</v>
      </c>
      <c r="K121" s="66">
        <v>3</v>
      </c>
      <c r="L121" s="66">
        <v>5</v>
      </c>
      <c r="M121" s="66">
        <v>3</v>
      </c>
      <c r="N121" s="66">
        <v>3</v>
      </c>
      <c r="O121" s="66">
        <v>4</v>
      </c>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row>
    <row r="122" spans="2:41" s="32" customFormat="1" ht="24.95" customHeight="1">
      <c r="B122" s="51">
        <v>31</v>
      </c>
      <c r="C122" s="51">
        <v>2</v>
      </c>
      <c r="D122" s="67">
        <v>5</v>
      </c>
      <c r="E122" s="55">
        <v>5</v>
      </c>
      <c r="F122" s="54"/>
      <c r="G122" s="66">
        <v>2</v>
      </c>
      <c r="H122" s="66">
        <v>2</v>
      </c>
      <c r="I122" s="66">
        <v>5</v>
      </c>
      <c r="J122" s="66">
        <v>5</v>
      </c>
      <c r="K122" s="66">
        <v>5</v>
      </c>
      <c r="L122" s="66">
        <v>2</v>
      </c>
      <c r="M122" s="66">
        <v>2</v>
      </c>
      <c r="N122" s="66">
        <v>3</v>
      </c>
      <c r="O122" s="66">
        <v>5</v>
      </c>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row>
    <row r="123" spans="2:41" s="32" customFormat="1" ht="24.95" customHeight="1">
      <c r="B123" s="51">
        <v>32</v>
      </c>
      <c r="C123" s="51">
        <v>2</v>
      </c>
      <c r="D123" s="67">
        <v>5</v>
      </c>
      <c r="E123" s="55">
        <v>5</v>
      </c>
      <c r="F123" s="54"/>
      <c r="G123" s="66">
        <v>2</v>
      </c>
      <c r="H123" s="66">
        <v>2</v>
      </c>
      <c r="I123" s="66">
        <v>3</v>
      </c>
      <c r="J123" s="66">
        <v>5</v>
      </c>
      <c r="K123" s="66">
        <v>3</v>
      </c>
      <c r="L123" s="66">
        <v>5</v>
      </c>
      <c r="M123" s="66">
        <v>3</v>
      </c>
      <c r="N123" s="66">
        <v>3</v>
      </c>
      <c r="O123" s="66">
        <v>2</v>
      </c>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row>
    <row r="124" spans="2:41" s="32" customFormat="1" ht="24.95" customHeight="1">
      <c r="B124" s="51">
        <v>33</v>
      </c>
      <c r="C124" s="51">
        <v>2</v>
      </c>
      <c r="D124" s="67">
        <v>5</v>
      </c>
      <c r="E124" s="55">
        <v>5</v>
      </c>
      <c r="F124" s="54"/>
      <c r="G124" s="66">
        <v>5</v>
      </c>
      <c r="H124" s="66">
        <v>4</v>
      </c>
      <c r="I124" s="66">
        <v>3</v>
      </c>
      <c r="J124" s="66">
        <v>3</v>
      </c>
      <c r="K124" s="66">
        <v>5</v>
      </c>
      <c r="L124" s="66">
        <v>5</v>
      </c>
      <c r="M124" s="66">
        <v>5</v>
      </c>
      <c r="N124" s="66">
        <v>5</v>
      </c>
      <c r="O124" s="66">
        <v>3</v>
      </c>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row>
    <row r="125" spans="2:41" s="32" customFormat="1" ht="24.95" customHeight="1">
      <c r="B125" s="51">
        <v>34</v>
      </c>
      <c r="C125" s="51">
        <v>2</v>
      </c>
      <c r="D125" s="67">
        <v>5</v>
      </c>
      <c r="E125" s="55">
        <v>4</v>
      </c>
      <c r="F125" s="54"/>
      <c r="G125" s="66">
        <v>4</v>
      </c>
      <c r="H125" s="66">
        <v>4</v>
      </c>
      <c r="I125" s="66">
        <v>4</v>
      </c>
      <c r="J125" s="66">
        <v>4</v>
      </c>
      <c r="K125" s="66">
        <v>4</v>
      </c>
      <c r="L125" s="66">
        <v>4</v>
      </c>
      <c r="M125" s="66">
        <v>4</v>
      </c>
      <c r="N125" s="66">
        <v>4</v>
      </c>
      <c r="O125" s="66">
        <v>4</v>
      </c>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row>
    <row r="126" spans="2:41" s="32" customFormat="1" ht="24.95" customHeight="1">
      <c r="B126" s="51">
        <v>35</v>
      </c>
      <c r="C126" s="51">
        <v>2</v>
      </c>
      <c r="D126" s="67">
        <v>5</v>
      </c>
      <c r="E126" s="55">
        <v>4</v>
      </c>
      <c r="F126" s="54"/>
      <c r="G126" s="66">
        <v>2</v>
      </c>
      <c r="H126" s="66">
        <v>4</v>
      </c>
      <c r="I126" s="66">
        <v>3</v>
      </c>
      <c r="J126" s="66">
        <v>3</v>
      </c>
      <c r="K126" s="66">
        <v>2</v>
      </c>
      <c r="L126" s="66">
        <v>2</v>
      </c>
      <c r="M126" s="66">
        <v>4</v>
      </c>
      <c r="N126" s="66">
        <v>4</v>
      </c>
      <c r="O126" s="66">
        <v>4</v>
      </c>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row>
    <row r="127" spans="2:41" s="32" customFormat="1" ht="24.95" customHeight="1">
      <c r="B127" s="51">
        <v>36</v>
      </c>
      <c r="C127" s="51">
        <v>2</v>
      </c>
      <c r="D127" s="67">
        <v>5</v>
      </c>
      <c r="E127" s="55">
        <v>5</v>
      </c>
      <c r="F127" s="54"/>
      <c r="G127" s="66">
        <v>5</v>
      </c>
      <c r="H127" s="66">
        <v>2</v>
      </c>
      <c r="I127" s="66">
        <v>5</v>
      </c>
      <c r="J127" s="66">
        <v>4</v>
      </c>
      <c r="K127" s="66">
        <v>3</v>
      </c>
      <c r="L127" s="66">
        <v>2</v>
      </c>
      <c r="M127" s="66">
        <v>5</v>
      </c>
      <c r="N127" s="66">
        <v>5</v>
      </c>
      <c r="O127" s="66">
        <v>4</v>
      </c>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row>
    <row r="128" spans="2:41" s="32" customFormat="1" ht="24.95" customHeight="1">
      <c r="B128" s="51">
        <v>37</v>
      </c>
      <c r="C128" s="51">
        <v>2</v>
      </c>
      <c r="D128" s="67">
        <v>5</v>
      </c>
      <c r="E128" s="55">
        <v>5</v>
      </c>
      <c r="F128" s="54"/>
      <c r="G128" s="66">
        <v>2</v>
      </c>
      <c r="H128" s="66">
        <v>2</v>
      </c>
      <c r="I128" s="66">
        <v>5</v>
      </c>
      <c r="J128" s="66">
        <v>5</v>
      </c>
      <c r="K128" s="66">
        <v>2</v>
      </c>
      <c r="L128" s="66">
        <v>5</v>
      </c>
      <c r="M128" s="66">
        <v>4</v>
      </c>
      <c r="N128" s="66">
        <v>5</v>
      </c>
      <c r="O128" s="66">
        <v>5</v>
      </c>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row>
    <row r="129" spans="2:41" s="32" customFormat="1" ht="24.95" customHeight="1">
      <c r="B129" s="51">
        <v>38</v>
      </c>
      <c r="C129" s="51">
        <v>2</v>
      </c>
      <c r="D129" s="67">
        <v>5</v>
      </c>
      <c r="E129" s="55">
        <v>5</v>
      </c>
      <c r="F129" s="54"/>
      <c r="G129" s="66">
        <v>3</v>
      </c>
      <c r="H129" s="66">
        <v>2</v>
      </c>
      <c r="I129" s="66">
        <v>2</v>
      </c>
      <c r="J129" s="66">
        <v>3</v>
      </c>
      <c r="K129" s="66">
        <v>2</v>
      </c>
      <c r="L129" s="66">
        <v>5</v>
      </c>
      <c r="M129" s="66">
        <v>5</v>
      </c>
      <c r="N129" s="66">
        <v>4</v>
      </c>
      <c r="O129" s="66">
        <v>3</v>
      </c>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row>
    <row r="130" spans="2:41" s="32" customFormat="1" ht="24.95" customHeight="1">
      <c r="B130" s="51">
        <v>39</v>
      </c>
      <c r="C130" s="51">
        <v>2</v>
      </c>
      <c r="D130" s="67">
        <v>5</v>
      </c>
      <c r="E130" s="55">
        <v>4</v>
      </c>
      <c r="F130" s="54"/>
      <c r="G130" s="66">
        <v>3</v>
      </c>
      <c r="H130" s="66">
        <v>4</v>
      </c>
      <c r="I130" s="66">
        <v>2</v>
      </c>
      <c r="J130" s="66">
        <v>3</v>
      </c>
      <c r="K130" s="66">
        <v>3</v>
      </c>
      <c r="L130" s="66">
        <v>3</v>
      </c>
      <c r="M130" s="66">
        <v>2</v>
      </c>
      <c r="N130" s="66">
        <v>4</v>
      </c>
      <c r="O130" s="66">
        <v>4</v>
      </c>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row>
    <row r="131" spans="2:41" s="32" customFormat="1" ht="24.95" customHeight="1">
      <c r="B131" s="51">
        <v>40</v>
      </c>
      <c r="C131" s="51">
        <v>2</v>
      </c>
      <c r="D131" s="67">
        <v>5</v>
      </c>
      <c r="E131" s="55">
        <v>5</v>
      </c>
      <c r="F131" s="54"/>
      <c r="G131" s="66">
        <v>5</v>
      </c>
      <c r="H131" s="66">
        <v>4</v>
      </c>
      <c r="I131" s="66">
        <v>2</v>
      </c>
      <c r="J131" s="66">
        <v>2</v>
      </c>
      <c r="K131" s="66">
        <v>4</v>
      </c>
      <c r="L131" s="66">
        <v>4</v>
      </c>
      <c r="M131" s="66">
        <v>3</v>
      </c>
      <c r="N131" s="66">
        <v>4</v>
      </c>
      <c r="O131" s="66">
        <v>3</v>
      </c>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row>
    <row r="132" spans="2:41" s="32" customFormat="1" ht="15" customHeight="1" thickBot="1">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row>
    <row r="133" spans="2:41" s="32" customFormat="1" ht="22.5" customHeight="1" thickBot="1">
      <c r="B133" s="57" t="s">
        <v>38</v>
      </c>
      <c r="C133" s="70" t="s">
        <v>39</v>
      </c>
      <c r="D133" s="59"/>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row>
    <row r="134" spans="2:41" s="16" customFormat="1" ht="15" customHeight="1">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row>
    <row r="135" spans="2:41" s="16" customFormat="1" ht="15" customHeight="1">
      <c r="B135" s="60" t="s">
        <v>103</v>
      </c>
      <c r="C135" s="61"/>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row>
    <row r="136" spans="2:41" s="16" customFormat="1" ht="15" customHeight="1">
      <c r="B136" s="60"/>
      <c r="C136" s="61"/>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row>
    <row r="137" spans="2:41" s="16" customFormat="1" ht="15" customHeight="1">
      <c r="B137" s="60" t="s">
        <v>112</v>
      </c>
      <c r="C137" s="61"/>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row>
    <row r="138" spans="2:41" s="16" customFormat="1" ht="15" customHeight="1">
      <c r="C138" s="61"/>
      <c r="D138" s="50"/>
      <c r="E138" s="50"/>
      <c r="F138" s="50"/>
      <c r="G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50"/>
      <c r="AN138" s="50"/>
      <c r="AO138" s="50"/>
    </row>
    <row r="139" spans="2:41" s="16" customFormat="1" ht="15" customHeight="1">
      <c r="B139" s="63" t="s">
        <v>34</v>
      </c>
      <c r="C139" s="61"/>
      <c r="D139" s="50"/>
      <c r="E139" s="50"/>
      <c r="F139" s="50"/>
      <c r="G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50"/>
      <c r="AN139" s="50"/>
      <c r="AO139" s="50"/>
    </row>
    <row r="140" spans="2:41" s="16" customFormat="1" ht="15" customHeight="1">
      <c r="B140" s="61" t="s">
        <v>40</v>
      </c>
      <c r="D140" s="50"/>
      <c r="E140" s="50"/>
      <c r="F140" s="50"/>
      <c r="G140" s="50"/>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row>
    <row r="141" spans="2:41" s="16" customFormat="1" ht="15" customHeight="1">
      <c r="B141" s="61" t="s">
        <v>107</v>
      </c>
      <c r="D141" s="50"/>
      <c r="E141" s="50"/>
      <c r="F141" s="50"/>
      <c r="G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row>
    <row r="142" spans="2:41" s="16" customFormat="1" ht="15" customHeight="1" thickBot="1">
      <c r="B142" s="61" t="s">
        <v>41</v>
      </c>
      <c r="D142" s="50"/>
      <c r="E142" s="50"/>
      <c r="F142" s="50"/>
      <c r="G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50"/>
      <c r="AN142" s="50"/>
      <c r="AO142" s="50"/>
    </row>
    <row r="143" spans="2:41" s="50" customFormat="1" ht="22.5" customHeight="1" thickBot="1">
      <c r="B143" s="16"/>
      <c r="C143" s="16"/>
      <c r="D143" s="16"/>
      <c r="E143" s="16"/>
      <c r="F143" s="16"/>
      <c r="G143" s="110" t="s">
        <v>90</v>
      </c>
      <c r="H143" s="111"/>
      <c r="I143" s="111"/>
      <c r="J143" s="111"/>
      <c r="K143" s="111"/>
      <c r="L143" s="111"/>
      <c r="M143" s="111"/>
      <c r="N143" s="111"/>
      <c r="O143" s="112"/>
    </row>
    <row r="144" spans="2:41" s="50" customFormat="1" ht="22.5" customHeight="1" thickBot="1">
      <c r="B144" s="47" t="s">
        <v>8</v>
      </c>
      <c r="C144" s="48" t="s">
        <v>9</v>
      </c>
      <c r="D144" s="47" t="s">
        <v>10</v>
      </c>
      <c r="E144" s="64" t="s">
        <v>11</v>
      </c>
      <c r="F144" s="16"/>
      <c r="G144" s="47" t="s">
        <v>12</v>
      </c>
      <c r="H144" s="47" t="s">
        <v>13</v>
      </c>
      <c r="I144" s="47" t="s">
        <v>14</v>
      </c>
      <c r="J144" s="47" t="s">
        <v>15</v>
      </c>
      <c r="K144" s="47" t="s">
        <v>16</v>
      </c>
      <c r="L144" s="47" t="s">
        <v>17</v>
      </c>
      <c r="M144" s="47" t="s">
        <v>18</v>
      </c>
      <c r="N144" s="47" t="s">
        <v>19</v>
      </c>
      <c r="O144" s="47" t="s">
        <v>20</v>
      </c>
    </row>
    <row r="145" spans="2:41" s="32" customFormat="1" ht="15" customHeight="1">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row>
    <row r="146" spans="2:41" s="32" customFormat="1" ht="24.95" customHeight="1">
      <c r="B146" s="65" t="s">
        <v>42</v>
      </c>
      <c r="C146" s="51">
        <v>3</v>
      </c>
      <c r="D146" s="52">
        <v>0</v>
      </c>
      <c r="E146" s="55">
        <v>9</v>
      </c>
      <c r="F146" s="54"/>
      <c r="G146" s="66">
        <v>3</v>
      </c>
      <c r="H146" s="66">
        <v>5</v>
      </c>
      <c r="I146" s="66">
        <v>3</v>
      </c>
      <c r="J146" s="66">
        <v>4</v>
      </c>
      <c r="K146" s="66">
        <v>3</v>
      </c>
      <c r="L146" s="66">
        <v>3</v>
      </c>
      <c r="M146" s="66">
        <v>2</v>
      </c>
      <c r="N146" s="66">
        <v>3</v>
      </c>
      <c r="O146" s="66">
        <v>3</v>
      </c>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row>
    <row r="147" spans="2:41" s="32" customFormat="1" ht="15" customHeight="1">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row>
    <row r="148" spans="2:41" s="32" customFormat="1" ht="24.95" customHeight="1">
      <c r="B148" s="51">
        <v>41</v>
      </c>
      <c r="C148" s="51">
        <v>3</v>
      </c>
      <c r="D148" s="67">
        <v>6</v>
      </c>
      <c r="E148" s="55">
        <v>8</v>
      </c>
      <c r="F148" s="54"/>
      <c r="G148" s="68">
        <v>5</v>
      </c>
      <c r="H148" s="68">
        <v>3</v>
      </c>
      <c r="I148" s="68">
        <v>3</v>
      </c>
      <c r="J148" s="68">
        <v>3</v>
      </c>
      <c r="K148" s="68">
        <v>3</v>
      </c>
      <c r="L148" s="68">
        <v>3</v>
      </c>
      <c r="M148" s="68">
        <v>2</v>
      </c>
      <c r="N148" s="68">
        <v>2</v>
      </c>
      <c r="O148" s="68">
        <v>2</v>
      </c>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row>
    <row r="149" spans="2:41" s="32" customFormat="1" ht="24.95" customHeight="1">
      <c r="B149" s="51">
        <v>42</v>
      </c>
      <c r="C149" s="51">
        <v>3</v>
      </c>
      <c r="D149" s="67">
        <v>6</v>
      </c>
      <c r="E149" s="55">
        <v>10</v>
      </c>
      <c r="F149" s="54"/>
      <c r="G149" s="66">
        <v>5</v>
      </c>
      <c r="H149" s="66">
        <v>5</v>
      </c>
      <c r="I149" s="66">
        <v>3</v>
      </c>
      <c r="J149" s="66">
        <v>5</v>
      </c>
      <c r="K149" s="66">
        <v>3</v>
      </c>
      <c r="L149" s="66">
        <v>4</v>
      </c>
      <c r="M149" s="66">
        <v>3</v>
      </c>
      <c r="N149" s="66">
        <v>5</v>
      </c>
      <c r="O149" s="66">
        <v>3</v>
      </c>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row>
    <row r="150" spans="2:41" s="32" customFormat="1" ht="24.95" customHeight="1">
      <c r="B150" s="51">
        <v>43</v>
      </c>
      <c r="C150" s="51">
        <v>3</v>
      </c>
      <c r="D150" s="67">
        <v>6</v>
      </c>
      <c r="E150" s="55">
        <v>9</v>
      </c>
      <c r="F150" s="54"/>
      <c r="G150" s="66">
        <v>3</v>
      </c>
      <c r="H150" s="66">
        <v>2</v>
      </c>
      <c r="I150" s="66">
        <v>3</v>
      </c>
      <c r="J150" s="66">
        <v>4</v>
      </c>
      <c r="K150" s="66">
        <v>3</v>
      </c>
      <c r="L150" s="66">
        <v>2</v>
      </c>
      <c r="M150" s="66">
        <v>5</v>
      </c>
      <c r="N150" s="66">
        <v>2</v>
      </c>
      <c r="O150" s="66">
        <v>3</v>
      </c>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row>
    <row r="151" spans="2:41" s="32" customFormat="1" ht="24.95" customHeight="1">
      <c r="B151" s="51">
        <v>44</v>
      </c>
      <c r="C151" s="51">
        <v>3</v>
      </c>
      <c r="D151" s="67">
        <v>6</v>
      </c>
      <c r="E151" s="55">
        <v>10</v>
      </c>
      <c r="F151" s="54"/>
      <c r="G151" s="66">
        <v>5</v>
      </c>
      <c r="H151" s="66">
        <v>4</v>
      </c>
      <c r="I151" s="66">
        <v>2</v>
      </c>
      <c r="J151" s="66">
        <v>2</v>
      </c>
      <c r="K151" s="66">
        <v>2</v>
      </c>
      <c r="L151" s="66">
        <v>2</v>
      </c>
      <c r="M151" s="66">
        <v>2</v>
      </c>
      <c r="N151" s="66">
        <v>5</v>
      </c>
      <c r="O151" s="66">
        <v>3</v>
      </c>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row>
    <row r="152" spans="2:41" s="32" customFormat="1" ht="24.95" customHeight="1">
      <c r="B152" s="51">
        <v>45</v>
      </c>
      <c r="C152" s="51">
        <v>3</v>
      </c>
      <c r="D152" s="67">
        <v>6</v>
      </c>
      <c r="E152" s="55">
        <v>10</v>
      </c>
      <c r="F152" s="54"/>
      <c r="G152" s="66">
        <v>5</v>
      </c>
      <c r="H152" s="66">
        <v>5</v>
      </c>
      <c r="I152" s="66">
        <v>5</v>
      </c>
      <c r="J152" s="66">
        <v>4</v>
      </c>
      <c r="K152" s="66">
        <v>5</v>
      </c>
      <c r="L152" s="66">
        <v>3</v>
      </c>
      <c r="M152" s="66">
        <v>4</v>
      </c>
      <c r="N152" s="66">
        <v>3</v>
      </c>
      <c r="O152" s="66">
        <v>4</v>
      </c>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row>
    <row r="153" spans="2:41" s="32" customFormat="1" ht="24.95" customHeight="1">
      <c r="B153" s="51">
        <v>46</v>
      </c>
      <c r="C153" s="51">
        <v>3</v>
      </c>
      <c r="D153" s="67">
        <v>6</v>
      </c>
      <c r="E153" s="55">
        <v>10</v>
      </c>
      <c r="F153" s="54"/>
      <c r="G153" s="66">
        <v>5</v>
      </c>
      <c r="H153" s="66">
        <v>4</v>
      </c>
      <c r="I153" s="66">
        <v>3</v>
      </c>
      <c r="J153" s="66">
        <v>5</v>
      </c>
      <c r="K153" s="66">
        <v>2</v>
      </c>
      <c r="L153" s="66">
        <v>2</v>
      </c>
      <c r="M153" s="66">
        <v>4</v>
      </c>
      <c r="N153" s="66">
        <v>3</v>
      </c>
      <c r="O153" s="66">
        <v>5</v>
      </c>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row>
    <row r="154" spans="2:41" s="32" customFormat="1" ht="24.95" customHeight="1">
      <c r="B154" s="51">
        <v>47</v>
      </c>
      <c r="C154" s="51">
        <v>3</v>
      </c>
      <c r="D154" s="67">
        <v>6</v>
      </c>
      <c r="E154" s="55">
        <v>10</v>
      </c>
      <c r="F154" s="54"/>
      <c r="G154" s="66">
        <v>5</v>
      </c>
      <c r="H154" s="66">
        <v>3</v>
      </c>
      <c r="I154" s="66">
        <v>3</v>
      </c>
      <c r="J154" s="66">
        <v>3</v>
      </c>
      <c r="K154" s="66">
        <v>3</v>
      </c>
      <c r="L154" s="66">
        <v>5</v>
      </c>
      <c r="M154" s="66">
        <v>5</v>
      </c>
      <c r="N154" s="66">
        <v>4</v>
      </c>
      <c r="O154" s="66">
        <v>5</v>
      </c>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row>
    <row r="155" spans="2:41" s="32" customFormat="1" ht="24.95" customHeight="1">
      <c r="B155" s="51">
        <v>48</v>
      </c>
      <c r="C155" s="51">
        <v>3</v>
      </c>
      <c r="D155" s="67">
        <v>6</v>
      </c>
      <c r="E155" s="55">
        <v>10</v>
      </c>
      <c r="F155" s="54"/>
      <c r="G155" s="66">
        <v>2</v>
      </c>
      <c r="H155" s="66">
        <v>2</v>
      </c>
      <c r="I155" s="66">
        <v>2</v>
      </c>
      <c r="J155" s="66">
        <v>5</v>
      </c>
      <c r="K155" s="66">
        <v>5</v>
      </c>
      <c r="L155" s="66">
        <v>2</v>
      </c>
      <c r="M155" s="66">
        <v>2</v>
      </c>
      <c r="N155" s="66">
        <v>5</v>
      </c>
      <c r="O155" s="66">
        <v>2</v>
      </c>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row>
    <row r="156" spans="2:41" s="32" customFormat="1" ht="24.95" customHeight="1">
      <c r="B156" s="51">
        <v>49</v>
      </c>
      <c r="C156" s="51">
        <v>3</v>
      </c>
      <c r="D156" s="67">
        <v>6</v>
      </c>
      <c r="E156" s="55">
        <v>10</v>
      </c>
      <c r="F156" s="54"/>
      <c r="G156" s="66">
        <v>3</v>
      </c>
      <c r="H156" s="66">
        <v>5</v>
      </c>
      <c r="I156" s="66">
        <v>3</v>
      </c>
      <c r="J156" s="66">
        <v>5</v>
      </c>
      <c r="K156" s="66">
        <v>4</v>
      </c>
      <c r="L156" s="66">
        <v>3</v>
      </c>
      <c r="M156" s="66">
        <v>3</v>
      </c>
      <c r="N156" s="66">
        <v>2</v>
      </c>
      <c r="O156" s="66">
        <v>4</v>
      </c>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row>
    <row r="157" spans="2:41" s="32" customFormat="1" ht="24.95" customHeight="1">
      <c r="B157" s="51">
        <v>50</v>
      </c>
      <c r="C157" s="51">
        <v>3</v>
      </c>
      <c r="D157" s="67">
        <v>6</v>
      </c>
      <c r="E157" s="55">
        <v>9</v>
      </c>
      <c r="F157" s="54"/>
      <c r="G157" s="66">
        <v>4</v>
      </c>
      <c r="H157" s="66">
        <v>2</v>
      </c>
      <c r="I157" s="66">
        <v>3</v>
      </c>
      <c r="J157" s="66">
        <v>4</v>
      </c>
      <c r="K157" s="66">
        <v>5</v>
      </c>
      <c r="L157" s="66">
        <v>2</v>
      </c>
      <c r="M157" s="66">
        <v>2</v>
      </c>
      <c r="N157" s="66">
        <v>4</v>
      </c>
      <c r="O157" s="66">
        <v>4</v>
      </c>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row>
    <row r="158" spans="2:41" s="32" customFormat="1" ht="24.95" customHeight="1">
      <c r="B158" s="51">
        <v>51</v>
      </c>
      <c r="C158" s="51">
        <v>3</v>
      </c>
      <c r="D158" s="67">
        <v>6</v>
      </c>
      <c r="E158" s="55">
        <v>10</v>
      </c>
      <c r="F158" s="54"/>
      <c r="G158" s="66">
        <v>2</v>
      </c>
      <c r="H158" s="66">
        <v>3</v>
      </c>
      <c r="I158" s="66">
        <v>3</v>
      </c>
      <c r="J158" s="66">
        <v>5</v>
      </c>
      <c r="K158" s="66">
        <v>4</v>
      </c>
      <c r="L158" s="66">
        <v>5</v>
      </c>
      <c r="M158" s="66">
        <v>3</v>
      </c>
      <c r="N158" s="66">
        <v>3</v>
      </c>
      <c r="O158" s="66">
        <v>2</v>
      </c>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row>
    <row r="159" spans="2:41" s="32" customFormat="1" ht="24.95" customHeight="1">
      <c r="B159" s="51">
        <v>52</v>
      </c>
      <c r="C159" s="51">
        <v>3</v>
      </c>
      <c r="D159" s="67">
        <v>6</v>
      </c>
      <c r="E159" s="55">
        <v>9</v>
      </c>
      <c r="F159" s="54"/>
      <c r="G159" s="66">
        <v>2</v>
      </c>
      <c r="H159" s="66">
        <v>2</v>
      </c>
      <c r="I159" s="66">
        <v>5</v>
      </c>
      <c r="J159" s="66">
        <v>3</v>
      </c>
      <c r="K159" s="66">
        <v>4</v>
      </c>
      <c r="L159" s="66">
        <v>4</v>
      </c>
      <c r="M159" s="66">
        <v>2</v>
      </c>
      <c r="N159" s="66">
        <v>2</v>
      </c>
      <c r="O159" s="66">
        <v>2</v>
      </c>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row>
    <row r="160" spans="2:41" s="32" customFormat="1" ht="24.95" customHeight="1">
      <c r="B160" s="51">
        <v>53</v>
      </c>
      <c r="C160" s="51">
        <v>3</v>
      </c>
      <c r="D160" s="67">
        <v>6</v>
      </c>
      <c r="E160" s="55">
        <v>10</v>
      </c>
      <c r="F160" s="54"/>
      <c r="G160" s="66">
        <v>5</v>
      </c>
      <c r="H160" s="66">
        <v>5</v>
      </c>
      <c r="I160" s="66">
        <v>5</v>
      </c>
      <c r="J160" s="66">
        <v>5</v>
      </c>
      <c r="K160" s="66">
        <v>4</v>
      </c>
      <c r="L160" s="66">
        <v>5</v>
      </c>
      <c r="M160" s="66">
        <v>4</v>
      </c>
      <c r="N160" s="66">
        <v>5</v>
      </c>
      <c r="O160" s="66">
        <v>5</v>
      </c>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row>
    <row r="161" spans="2:41" s="32" customFormat="1" ht="24.95" customHeight="1">
      <c r="B161" s="51">
        <v>54</v>
      </c>
      <c r="C161" s="51">
        <v>3</v>
      </c>
      <c r="D161" s="67">
        <v>6</v>
      </c>
      <c r="E161" s="55">
        <v>10</v>
      </c>
      <c r="F161" s="54"/>
      <c r="G161" s="66">
        <v>5</v>
      </c>
      <c r="H161" s="66">
        <v>5</v>
      </c>
      <c r="I161" s="66">
        <v>3</v>
      </c>
      <c r="J161" s="66">
        <v>3</v>
      </c>
      <c r="K161" s="66">
        <v>4</v>
      </c>
      <c r="L161" s="66">
        <v>2</v>
      </c>
      <c r="M161" s="66">
        <v>5</v>
      </c>
      <c r="N161" s="66">
        <v>4</v>
      </c>
      <c r="O161" s="66">
        <v>3</v>
      </c>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row>
    <row r="162" spans="2:41" s="32" customFormat="1" ht="24.95" customHeight="1">
      <c r="B162" s="51">
        <v>55</v>
      </c>
      <c r="C162" s="51">
        <v>3</v>
      </c>
      <c r="D162" s="67">
        <v>6</v>
      </c>
      <c r="E162" s="55">
        <v>10</v>
      </c>
      <c r="F162" s="54"/>
      <c r="G162" s="66">
        <v>3</v>
      </c>
      <c r="H162" s="66">
        <v>4</v>
      </c>
      <c r="I162" s="66">
        <v>4</v>
      </c>
      <c r="J162" s="66">
        <v>5</v>
      </c>
      <c r="K162" s="66">
        <v>2</v>
      </c>
      <c r="L162" s="66">
        <v>5</v>
      </c>
      <c r="M162" s="66">
        <v>4</v>
      </c>
      <c r="N162" s="66">
        <v>2</v>
      </c>
      <c r="O162" s="66">
        <v>4</v>
      </c>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row>
    <row r="163" spans="2:41" s="32" customFormat="1" ht="24.95" customHeight="1">
      <c r="B163" s="51">
        <v>56</v>
      </c>
      <c r="C163" s="51">
        <v>3</v>
      </c>
      <c r="D163" s="67">
        <v>6</v>
      </c>
      <c r="E163" s="55">
        <v>10</v>
      </c>
      <c r="F163" s="54"/>
      <c r="G163" s="66">
        <v>2</v>
      </c>
      <c r="H163" s="66">
        <v>3</v>
      </c>
      <c r="I163" s="66">
        <v>4</v>
      </c>
      <c r="J163" s="66">
        <v>2</v>
      </c>
      <c r="K163" s="66">
        <v>5</v>
      </c>
      <c r="L163" s="66">
        <v>4</v>
      </c>
      <c r="M163" s="66">
        <v>5</v>
      </c>
      <c r="N163" s="66">
        <v>2</v>
      </c>
      <c r="O163" s="66">
        <v>5</v>
      </c>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row>
    <row r="164" spans="2:41" s="32" customFormat="1" ht="24.95" customHeight="1">
      <c r="B164" s="51">
        <v>57</v>
      </c>
      <c r="C164" s="51">
        <v>3</v>
      </c>
      <c r="D164" s="67">
        <v>6</v>
      </c>
      <c r="E164" s="55">
        <v>10</v>
      </c>
      <c r="F164" s="54"/>
      <c r="G164" s="66">
        <v>5</v>
      </c>
      <c r="H164" s="66">
        <v>4</v>
      </c>
      <c r="I164" s="66">
        <v>2</v>
      </c>
      <c r="J164" s="66">
        <v>5</v>
      </c>
      <c r="K164" s="66">
        <v>3</v>
      </c>
      <c r="L164" s="66">
        <v>4</v>
      </c>
      <c r="M164" s="66">
        <v>5</v>
      </c>
      <c r="N164" s="66">
        <v>3</v>
      </c>
      <c r="O164" s="66">
        <v>2</v>
      </c>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row>
    <row r="165" spans="2:41" s="32" customFormat="1" ht="24.95" customHeight="1">
      <c r="B165" s="51">
        <v>58</v>
      </c>
      <c r="C165" s="51">
        <v>3</v>
      </c>
      <c r="D165" s="67">
        <v>6</v>
      </c>
      <c r="E165" s="55">
        <v>10</v>
      </c>
      <c r="F165" s="54"/>
      <c r="G165" s="66">
        <v>4</v>
      </c>
      <c r="H165" s="66">
        <v>2</v>
      </c>
      <c r="I165" s="66">
        <v>5</v>
      </c>
      <c r="J165" s="66">
        <v>2</v>
      </c>
      <c r="K165" s="66">
        <v>5</v>
      </c>
      <c r="L165" s="66">
        <v>2</v>
      </c>
      <c r="M165" s="66">
        <v>4</v>
      </c>
      <c r="N165" s="66">
        <v>5</v>
      </c>
      <c r="O165" s="66">
        <v>2</v>
      </c>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row>
    <row r="166" spans="2:41" s="32" customFormat="1" ht="24.95" customHeight="1">
      <c r="B166" s="51">
        <v>59</v>
      </c>
      <c r="C166" s="51">
        <v>3</v>
      </c>
      <c r="D166" s="67">
        <v>6</v>
      </c>
      <c r="E166" s="55">
        <v>9</v>
      </c>
      <c r="F166" s="54"/>
      <c r="G166" s="66">
        <v>3</v>
      </c>
      <c r="H166" s="66">
        <v>2</v>
      </c>
      <c r="I166" s="66">
        <v>3</v>
      </c>
      <c r="J166" s="66">
        <v>3</v>
      </c>
      <c r="K166" s="66">
        <v>4</v>
      </c>
      <c r="L166" s="66">
        <v>2</v>
      </c>
      <c r="M166" s="66">
        <v>3</v>
      </c>
      <c r="N166" s="66">
        <v>2</v>
      </c>
      <c r="O166" s="66">
        <v>5</v>
      </c>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row>
    <row r="167" spans="2:41" s="32" customFormat="1" ht="24.95" customHeight="1">
      <c r="B167" s="51">
        <v>60</v>
      </c>
      <c r="C167" s="51">
        <v>3</v>
      </c>
      <c r="D167" s="67">
        <v>6</v>
      </c>
      <c r="E167" s="55">
        <v>10</v>
      </c>
      <c r="F167" s="54"/>
      <c r="G167" s="66">
        <v>5</v>
      </c>
      <c r="H167" s="66">
        <v>4</v>
      </c>
      <c r="I167" s="66">
        <v>5</v>
      </c>
      <c r="J167" s="66">
        <v>2</v>
      </c>
      <c r="K167" s="66">
        <v>2</v>
      </c>
      <c r="L167" s="66">
        <v>5</v>
      </c>
      <c r="M167" s="66">
        <v>2</v>
      </c>
      <c r="N167" s="66">
        <v>3</v>
      </c>
      <c r="O167" s="66">
        <v>5</v>
      </c>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row>
    <row r="168" spans="2:41" s="32" customFormat="1" ht="15" customHeight="1" thickBot="1">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row>
    <row r="169" spans="2:41" s="32" customFormat="1" ht="22.5" customHeight="1" thickBot="1">
      <c r="B169" s="57" t="s">
        <v>43</v>
      </c>
      <c r="C169" s="73" t="s">
        <v>46</v>
      </c>
      <c r="D169" s="59"/>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row>
    <row r="170" spans="2:41" s="16" customFormat="1" ht="15" customHeight="1">
      <c r="I170" s="32"/>
      <c r="J170" s="32"/>
      <c r="K170" s="33"/>
      <c r="L170" s="33"/>
      <c r="M170" s="33"/>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row>
    <row r="171" spans="2:41" s="16" customFormat="1" ht="15" customHeight="1">
      <c r="B171" s="60" t="s">
        <v>129</v>
      </c>
      <c r="C171" s="71"/>
      <c r="I171" s="32"/>
      <c r="J171" s="32"/>
      <c r="K171" s="33"/>
      <c r="L171" s="33"/>
      <c r="M171" s="33"/>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c r="AM171" s="50"/>
      <c r="AN171" s="50"/>
      <c r="AO171" s="50"/>
    </row>
    <row r="172" spans="2:41" s="16" customFormat="1" ht="15" customHeight="1">
      <c r="B172" s="115" t="s">
        <v>147</v>
      </c>
      <c r="C172" s="71"/>
      <c r="I172" s="32"/>
      <c r="J172" s="32"/>
      <c r="K172" s="33"/>
      <c r="L172" s="33"/>
      <c r="M172" s="33"/>
      <c r="N172" s="50"/>
      <c r="O172" s="50"/>
      <c r="P172" s="50"/>
      <c r="Q172" s="50"/>
      <c r="R172" s="50"/>
      <c r="S172" s="50"/>
      <c r="T172" s="50"/>
      <c r="U172" s="50"/>
      <c r="V172" s="50"/>
      <c r="W172" s="50"/>
      <c r="X172" s="50"/>
      <c r="Y172" s="50"/>
      <c r="Z172" s="50"/>
      <c r="AA172" s="50"/>
      <c r="AB172" s="50"/>
      <c r="AC172" s="50"/>
      <c r="AD172" s="50"/>
      <c r="AE172" s="50"/>
      <c r="AF172" s="50"/>
      <c r="AG172" s="50"/>
      <c r="AH172" s="50"/>
      <c r="AI172" s="50"/>
      <c r="AJ172" s="50"/>
      <c r="AK172" s="50"/>
      <c r="AL172" s="50"/>
      <c r="AM172" s="50"/>
      <c r="AN172" s="50"/>
      <c r="AO172" s="50"/>
    </row>
    <row r="173" spans="2:41" s="16" customFormat="1" ht="15" customHeight="1">
      <c r="B173" s="61"/>
      <c r="C173" s="71"/>
      <c r="I173" s="32"/>
      <c r="J173" s="32"/>
      <c r="K173" s="33"/>
      <c r="L173" s="33"/>
      <c r="M173" s="33"/>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50"/>
      <c r="AN173" s="50"/>
      <c r="AO173" s="50"/>
    </row>
    <row r="174" spans="2:41" s="16" customFormat="1" ht="15" customHeight="1">
      <c r="B174" s="60" t="s">
        <v>111</v>
      </c>
      <c r="C174" s="71"/>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row>
    <row r="175" spans="2:41" s="16" customFormat="1" ht="15" customHeight="1">
      <c r="B175" s="60"/>
      <c r="C175" s="71"/>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50"/>
      <c r="AN175" s="50"/>
      <c r="AO175" s="50"/>
    </row>
    <row r="176" spans="2:41" s="16" customFormat="1" ht="15" customHeight="1">
      <c r="B176" s="63" t="s">
        <v>34</v>
      </c>
      <c r="C176" s="71"/>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50"/>
      <c r="AN176" s="50"/>
      <c r="AO176" s="50"/>
    </row>
    <row r="177" spans="2:41" s="16" customFormat="1" ht="15" customHeight="1">
      <c r="B177" s="61" t="s">
        <v>108</v>
      </c>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50"/>
      <c r="AN177" s="50"/>
      <c r="AO177" s="50"/>
    </row>
    <row r="178" spans="2:41" s="16" customFormat="1" ht="15" customHeight="1">
      <c r="B178" s="61" t="s">
        <v>109</v>
      </c>
      <c r="K178" s="50"/>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c r="AM178" s="50"/>
      <c r="AN178" s="50"/>
      <c r="AO178" s="50"/>
    </row>
    <row r="179" spans="2:41" s="16" customFormat="1" ht="15" customHeight="1" thickBot="1">
      <c r="B179" s="61" t="s">
        <v>110</v>
      </c>
      <c r="K179" s="50"/>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c r="AM179" s="50"/>
      <c r="AN179" s="50"/>
      <c r="AO179" s="50"/>
    </row>
    <row r="180" spans="2:41" s="50" customFormat="1" ht="22.5" customHeight="1" thickBot="1">
      <c r="B180" s="16"/>
      <c r="C180" s="16"/>
      <c r="D180" s="16"/>
      <c r="E180" s="16"/>
      <c r="F180" s="16"/>
      <c r="G180" s="110" t="s">
        <v>90</v>
      </c>
      <c r="H180" s="111"/>
      <c r="I180" s="111"/>
      <c r="J180" s="111"/>
      <c r="K180" s="111"/>
      <c r="L180" s="111"/>
      <c r="M180" s="111"/>
      <c r="N180" s="111"/>
      <c r="O180" s="112"/>
    </row>
    <row r="181" spans="2:41" s="50" customFormat="1" ht="22.5" customHeight="1" thickBot="1">
      <c r="B181" s="47" t="s">
        <v>8</v>
      </c>
      <c r="C181" s="48" t="s">
        <v>9</v>
      </c>
      <c r="D181" s="47" t="s">
        <v>10</v>
      </c>
      <c r="E181" s="64" t="s">
        <v>11</v>
      </c>
      <c r="F181" s="16"/>
      <c r="G181" s="47" t="s">
        <v>12</v>
      </c>
      <c r="H181" s="47" t="s">
        <v>13</v>
      </c>
      <c r="I181" s="47" t="s">
        <v>14</v>
      </c>
      <c r="J181" s="47" t="s">
        <v>15</v>
      </c>
      <c r="K181" s="47" t="s">
        <v>16</v>
      </c>
      <c r="L181" s="47" t="s">
        <v>17</v>
      </c>
      <c r="M181" s="47" t="s">
        <v>18</v>
      </c>
      <c r="N181" s="47" t="s">
        <v>19</v>
      </c>
      <c r="O181" s="47" t="s">
        <v>20</v>
      </c>
      <c r="Q181" s="47" t="s">
        <v>56</v>
      </c>
    </row>
    <row r="182" spans="2:41">
      <c r="J182" s="33"/>
      <c r="Q182" s="69"/>
    </row>
    <row r="183" spans="2:41" s="32" customFormat="1" ht="24.95" customHeight="1">
      <c r="B183" s="65" t="s">
        <v>44</v>
      </c>
      <c r="C183" s="51">
        <v>4</v>
      </c>
      <c r="D183" s="52">
        <v>0</v>
      </c>
      <c r="E183" s="55">
        <v>15</v>
      </c>
      <c r="F183" s="54"/>
      <c r="G183" s="66">
        <v>3</v>
      </c>
      <c r="H183" s="66">
        <v>5</v>
      </c>
      <c r="I183" s="66">
        <v>3</v>
      </c>
      <c r="J183" s="66">
        <v>4</v>
      </c>
      <c r="K183" s="66">
        <v>3</v>
      </c>
      <c r="L183" s="66">
        <v>3</v>
      </c>
      <c r="M183" s="66">
        <v>2</v>
      </c>
      <c r="N183" s="66">
        <v>3</v>
      </c>
      <c r="O183" s="66">
        <v>3</v>
      </c>
      <c r="P183" s="33"/>
      <c r="Q183" s="68">
        <v>4</v>
      </c>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row>
    <row r="184" spans="2:41" s="32" customFormat="1" ht="15" customHeight="1">
      <c r="P184" s="33"/>
      <c r="Q184" s="72"/>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row>
    <row r="185" spans="2:41" s="32" customFormat="1" ht="24.95" customHeight="1">
      <c r="B185" s="51">
        <v>61</v>
      </c>
      <c r="C185" s="51">
        <v>4</v>
      </c>
      <c r="D185" s="67">
        <v>7</v>
      </c>
      <c r="E185" s="55">
        <v>25</v>
      </c>
      <c r="F185" s="54"/>
      <c r="G185" s="68">
        <v>2</v>
      </c>
      <c r="H185" s="68">
        <v>3</v>
      </c>
      <c r="I185" s="68">
        <v>4</v>
      </c>
      <c r="J185" s="68">
        <v>4</v>
      </c>
      <c r="K185" s="68">
        <v>4</v>
      </c>
      <c r="L185" s="68">
        <v>3</v>
      </c>
      <c r="M185" s="68">
        <v>5</v>
      </c>
      <c r="N185" s="68">
        <v>3</v>
      </c>
      <c r="O185" s="68">
        <v>5</v>
      </c>
      <c r="P185" s="33"/>
      <c r="Q185" s="68">
        <v>6</v>
      </c>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row>
    <row r="186" spans="2:41" s="32" customFormat="1" ht="24.95" customHeight="1">
      <c r="B186" s="51">
        <v>62</v>
      </c>
      <c r="C186" s="51">
        <v>4</v>
      </c>
      <c r="D186" s="67">
        <v>7</v>
      </c>
      <c r="E186" s="55">
        <v>30</v>
      </c>
      <c r="F186" s="54"/>
      <c r="G186" s="66">
        <v>5</v>
      </c>
      <c r="H186" s="66">
        <v>5</v>
      </c>
      <c r="I186" s="66">
        <v>2</v>
      </c>
      <c r="J186" s="66">
        <v>3</v>
      </c>
      <c r="K186" s="66">
        <v>2</v>
      </c>
      <c r="L186" s="66">
        <v>5</v>
      </c>
      <c r="M186" s="66">
        <v>4</v>
      </c>
      <c r="N186" s="66">
        <v>4</v>
      </c>
      <c r="O186" s="66">
        <v>4</v>
      </c>
      <c r="P186" s="33"/>
      <c r="Q186" s="68">
        <v>7</v>
      </c>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row>
    <row r="187" spans="2:41" s="32" customFormat="1" ht="24.95" customHeight="1">
      <c r="B187" s="51">
        <v>63</v>
      </c>
      <c r="C187" s="51">
        <v>4</v>
      </c>
      <c r="D187" s="67">
        <v>7</v>
      </c>
      <c r="E187" s="55">
        <v>12</v>
      </c>
      <c r="F187" s="54"/>
      <c r="G187" s="66">
        <v>2</v>
      </c>
      <c r="H187" s="66">
        <v>2</v>
      </c>
      <c r="I187" s="66">
        <v>2</v>
      </c>
      <c r="J187" s="66">
        <v>3</v>
      </c>
      <c r="K187" s="66">
        <v>4</v>
      </c>
      <c r="L187" s="66">
        <v>2</v>
      </c>
      <c r="M187" s="66">
        <v>5</v>
      </c>
      <c r="N187" s="66">
        <v>3</v>
      </c>
      <c r="O187" s="66">
        <v>2</v>
      </c>
      <c r="P187" s="33"/>
      <c r="Q187" s="68">
        <v>3</v>
      </c>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row>
    <row r="188" spans="2:41" s="32" customFormat="1" ht="24.95" customHeight="1">
      <c r="B188" s="51">
        <v>64</v>
      </c>
      <c r="C188" s="51">
        <v>4</v>
      </c>
      <c r="D188" s="67">
        <v>7</v>
      </c>
      <c r="E188" s="55">
        <v>29</v>
      </c>
      <c r="F188" s="54"/>
      <c r="G188" s="66">
        <v>5</v>
      </c>
      <c r="H188" s="66">
        <v>3</v>
      </c>
      <c r="I188" s="66">
        <v>4</v>
      </c>
      <c r="J188" s="66">
        <v>4</v>
      </c>
      <c r="K188" s="66">
        <v>5</v>
      </c>
      <c r="L188" s="66">
        <v>3</v>
      </c>
      <c r="M188" s="66">
        <v>4</v>
      </c>
      <c r="N188" s="66">
        <v>4</v>
      </c>
      <c r="O188" s="66">
        <v>2</v>
      </c>
      <c r="P188" s="33"/>
      <c r="Q188" s="68">
        <v>7</v>
      </c>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row>
    <row r="189" spans="2:41" s="32" customFormat="1" ht="24.95" customHeight="1">
      <c r="B189" s="51">
        <v>65</v>
      </c>
      <c r="C189" s="51">
        <v>4</v>
      </c>
      <c r="D189" s="67">
        <v>7</v>
      </c>
      <c r="E189" s="55">
        <v>25</v>
      </c>
      <c r="F189" s="54"/>
      <c r="G189" s="66">
        <v>2</v>
      </c>
      <c r="H189" s="66">
        <v>4</v>
      </c>
      <c r="I189" s="66">
        <v>4</v>
      </c>
      <c r="J189" s="66">
        <v>2</v>
      </c>
      <c r="K189" s="66">
        <v>2</v>
      </c>
      <c r="L189" s="66">
        <v>4</v>
      </c>
      <c r="M189" s="66">
        <v>4</v>
      </c>
      <c r="N189" s="66">
        <v>3</v>
      </c>
      <c r="O189" s="66">
        <v>2</v>
      </c>
      <c r="P189" s="33"/>
      <c r="Q189" s="68">
        <v>8</v>
      </c>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row>
    <row r="190" spans="2:41" s="32" customFormat="1" ht="24.95" customHeight="1">
      <c r="B190" s="51">
        <v>66</v>
      </c>
      <c r="C190" s="51">
        <v>4</v>
      </c>
      <c r="D190" s="67">
        <v>7</v>
      </c>
      <c r="E190" s="55">
        <v>15</v>
      </c>
      <c r="F190" s="54"/>
      <c r="G190" s="66">
        <v>4</v>
      </c>
      <c r="H190" s="66">
        <v>5</v>
      </c>
      <c r="I190" s="66">
        <v>4</v>
      </c>
      <c r="J190" s="66">
        <v>4</v>
      </c>
      <c r="K190" s="66">
        <v>3</v>
      </c>
      <c r="L190" s="66">
        <v>5</v>
      </c>
      <c r="M190" s="66">
        <v>5</v>
      </c>
      <c r="N190" s="66">
        <v>3</v>
      </c>
      <c r="O190" s="66">
        <v>5</v>
      </c>
      <c r="P190" s="33"/>
      <c r="Q190" s="68">
        <v>3</v>
      </c>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row>
    <row r="191" spans="2:41" s="32" customFormat="1" ht="24.95" customHeight="1">
      <c r="B191" s="51">
        <v>67</v>
      </c>
      <c r="C191" s="51">
        <v>4</v>
      </c>
      <c r="D191" s="67">
        <v>7</v>
      </c>
      <c r="E191" s="55">
        <v>28</v>
      </c>
      <c r="F191" s="54"/>
      <c r="G191" s="66">
        <v>3</v>
      </c>
      <c r="H191" s="66">
        <v>4</v>
      </c>
      <c r="I191" s="66">
        <v>3</v>
      </c>
      <c r="J191" s="66">
        <v>4</v>
      </c>
      <c r="K191" s="66">
        <v>2</v>
      </c>
      <c r="L191" s="66">
        <v>5</v>
      </c>
      <c r="M191" s="66">
        <v>4</v>
      </c>
      <c r="N191" s="66">
        <v>3</v>
      </c>
      <c r="O191" s="66">
        <v>5</v>
      </c>
      <c r="P191" s="33"/>
      <c r="Q191" s="68">
        <v>7</v>
      </c>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row>
    <row r="192" spans="2:41" s="32" customFormat="1" ht="24.95" customHeight="1">
      <c r="B192" s="51">
        <v>68</v>
      </c>
      <c r="C192" s="51">
        <v>4</v>
      </c>
      <c r="D192" s="67">
        <v>7</v>
      </c>
      <c r="E192" s="55">
        <v>29</v>
      </c>
      <c r="F192" s="54"/>
      <c r="G192" s="66">
        <v>4</v>
      </c>
      <c r="H192" s="66">
        <v>4</v>
      </c>
      <c r="I192" s="66">
        <v>5</v>
      </c>
      <c r="J192" s="66">
        <v>2</v>
      </c>
      <c r="K192" s="66">
        <v>4</v>
      </c>
      <c r="L192" s="66">
        <v>3</v>
      </c>
      <c r="M192" s="66">
        <v>5</v>
      </c>
      <c r="N192" s="66">
        <v>4</v>
      </c>
      <c r="O192" s="66">
        <v>2</v>
      </c>
      <c r="P192" s="33"/>
      <c r="Q192" s="68">
        <v>7</v>
      </c>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row>
    <row r="193" spans="2:41" s="32" customFormat="1" ht="24.95" customHeight="1">
      <c r="B193" s="51">
        <v>69</v>
      </c>
      <c r="C193" s="51">
        <v>4</v>
      </c>
      <c r="D193" s="67">
        <v>7</v>
      </c>
      <c r="E193" s="55">
        <v>31</v>
      </c>
      <c r="F193" s="54"/>
      <c r="G193" s="66">
        <v>3</v>
      </c>
      <c r="H193" s="66">
        <v>2</v>
      </c>
      <c r="I193" s="66">
        <v>5</v>
      </c>
      <c r="J193" s="66">
        <v>4</v>
      </c>
      <c r="K193" s="66">
        <v>4</v>
      </c>
      <c r="L193" s="66">
        <v>2</v>
      </c>
      <c r="M193" s="66">
        <v>5</v>
      </c>
      <c r="N193" s="66">
        <v>5</v>
      </c>
      <c r="O193" s="66">
        <v>5</v>
      </c>
      <c r="P193" s="33"/>
      <c r="Q193" s="68">
        <v>7</v>
      </c>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row>
    <row r="194" spans="2:41" s="32" customFormat="1" ht="24.95" customHeight="1">
      <c r="B194" s="51">
        <v>70</v>
      </c>
      <c r="C194" s="51">
        <v>4</v>
      </c>
      <c r="D194" s="67">
        <v>7</v>
      </c>
      <c r="E194" s="55">
        <v>20</v>
      </c>
      <c r="F194" s="54"/>
      <c r="G194" s="66">
        <v>5</v>
      </c>
      <c r="H194" s="66">
        <v>2</v>
      </c>
      <c r="I194" s="66">
        <v>4</v>
      </c>
      <c r="J194" s="66">
        <v>5</v>
      </c>
      <c r="K194" s="66">
        <v>3</v>
      </c>
      <c r="L194" s="66">
        <v>2</v>
      </c>
      <c r="M194" s="66">
        <v>2</v>
      </c>
      <c r="N194" s="66">
        <v>3</v>
      </c>
      <c r="O194" s="66">
        <v>3</v>
      </c>
      <c r="P194" s="33"/>
      <c r="Q194" s="68">
        <v>5</v>
      </c>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row>
    <row r="195" spans="2:41" s="32" customFormat="1" ht="24.95" customHeight="1">
      <c r="B195" s="51">
        <v>71</v>
      </c>
      <c r="C195" s="51">
        <v>4</v>
      </c>
      <c r="D195" s="67">
        <v>7</v>
      </c>
      <c r="E195" s="55">
        <v>19</v>
      </c>
      <c r="F195" s="54"/>
      <c r="G195" s="66">
        <v>5</v>
      </c>
      <c r="H195" s="66">
        <v>2</v>
      </c>
      <c r="I195" s="66">
        <v>2</v>
      </c>
      <c r="J195" s="66">
        <v>4</v>
      </c>
      <c r="K195" s="66">
        <v>5</v>
      </c>
      <c r="L195" s="66">
        <v>2</v>
      </c>
      <c r="M195" s="66">
        <v>5</v>
      </c>
      <c r="N195" s="66">
        <v>4</v>
      </c>
      <c r="O195" s="66">
        <v>4</v>
      </c>
      <c r="P195" s="33"/>
      <c r="Q195" s="68">
        <v>4</v>
      </c>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row>
    <row r="196" spans="2:41" s="32" customFormat="1" ht="24.95" customHeight="1">
      <c r="B196" s="51">
        <v>72</v>
      </c>
      <c r="C196" s="51">
        <v>4</v>
      </c>
      <c r="D196" s="67">
        <v>7</v>
      </c>
      <c r="E196" s="55">
        <v>26</v>
      </c>
      <c r="F196" s="54"/>
      <c r="G196" s="66">
        <v>2</v>
      </c>
      <c r="H196" s="66">
        <v>5</v>
      </c>
      <c r="I196" s="66">
        <v>3</v>
      </c>
      <c r="J196" s="66">
        <v>5</v>
      </c>
      <c r="K196" s="66">
        <v>3</v>
      </c>
      <c r="L196" s="66">
        <v>3</v>
      </c>
      <c r="M196" s="66">
        <v>5</v>
      </c>
      <c r="N196" s="66">
        <v>2</v>
      </c>
      <c r="O196" s="66">
        <v>2</v>
      </c>
      <c r="P196" s="33"/>
      <c r="Q196" s="68">
        <v>7</v>
      </c>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row>
    <row r="197" spans="2:41" s="32" customFormat="1" ht="24.95" customHeight="1">
      <c r="B197" s="51">
        <v>73</v>
      </c>
      <c r="C197" s="51">
        <v>4</v>
      </c>
      <c r="D197" s="67">
        <v>7</v>
      </c>
      <c r="E197" s="55">
        <v>18</v>
      </c>
      <c r="F197" s="54"/>
      <c r="G197" s="66">
        <v>4</v>
      </c>
      <c r="H197" s="66">
        <v>4</v>
      </c>
      <c r="I197" s="66">
        <v>5</v>
      </c>
      <c r="J197" s="66">
        <v>5</v>
      </c>
      <c r="K197" s="66">
        <v>3</v>
      </c>
      <c r="L197" s="66">
        <v>3</v>
      </c>
      <c r="M197" s="66">
        <v>2</v>
      </c>
      <c r="N197" s="66">
        <v>4</v>
      </c>
      <c r="O197" s="66">
        <v>4</v>
      </c>
      <c r="P197" s="33"/>
      <c r="Q197" s="68">
        <v>4</v>
      </c>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row>
    <row r="198" spans="2:41" s="32" customFormat="1" ht="24.95" customHeight="1">
      <c r="B198" s="51">
        <v>74</v>
      </c>
      <c r="C198" s="51">
        <v>4</v>
      </c>
      <c r="D198" s="67">
        <v>7</v>
      </c>
      <c r="E198" s="55">
        <v>15</v>
      </c>
      <c r="F198" s="54"/>
      <c r="G198" s="66">
        <v>3</v>
      </c>
      <c r="H198" s="66">
        <v>5</v>
      </c>
      <c r="I198" s="66">
        <v>3</v>
      </c>
      <c r="J198" s="66">
        <v>5</v>
      </c>
      <c r="K198" s="66">
        <v>4</v>
      </c>
      <c r="L198" s="66">
        <v>3</v>
      </c>
      <c r="M198" s="66">
        <v>2</v>
      </c>
      <c r="N198" s="66">
        <v>3</v>
      </c>
      <c r="O198" s="66">
        <v>5</v>
      </c>
      <c r="P198" s="33"/>
      <c r="Q198" s="68">
        <v>3</v>
      </c>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row>
    <row r="199" spans="2:41" s="32" customFormat="1" ht="24.95" customHeight="1">
      <c r="B199" s="51">
        <v>75</v>
      </c>
      <c r="C199" s="51">
        <v>4</v>
      </c>
      <c r="D199" s="67">
        <v>7</v>
      </c>
      <c r="E199" s="55">
        <v>15</v>
      </c>
      <c r="F199" s="54"/>
      <c r="G199" s="66">
        <v>5</v>
      </c>
      <c r="H199" s="66">
        <v>4</v>
      </c>
      <c r="I199" s="66">
        <v>5</v>
      </c>
      <c r="J199" s="66">
        <v>5</v>
      </c>
      <c r="K199" s="66">
        <v>5</v>
      </c>
      <c r="L199" s="66">
        <v>5</v>
      </c>
      <c r="M199" s="66">
        <v>5</v>
      </c>
      <c r="N199" s="66">
        <v>4</v>
      </c>
      <c r="O199" s="66">
        <v>2</v>
      </c>
      <c r="P199" s="33"/>
      <c r="Q199" s="68">
        <v>3</v>
      </c>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row>
    <row r="200" spans="2:41" s="32" customFormat="1" ht="24.95" customHeight="1">
      <c r="B200" s="51">
        <v>76</v>
      </c>
      <c r="C200" s="51">
        <v>4</v>
      </c>
      <c r="D200" s="67">
        <v>7</v>
      </c>
      <c r="E200" s="55">
        <v>28</v>
      </c>
      <c r="F200" s="54"/>
      <c r="G200" s="66">
        <v>4</v>
      </c>
      <c r="H200" s="66">
        <v>5</v>
      </c>
      <c r="I200" s="66">
        <v>4</v>
      </c>
      <c r="J200" s="66">
        <v>5</v>
      </c>
      <c r="K200" s="66">
        <v>5</v>
      </c>
      <c r="L200" s="66">
        <v>4</v>
      </c>
      <c r="M200" s="66">
        <v>2</v>
      </c>
      <c r="N200" s="66">
        <v>2</v>
      </c>
      <c r="O200" s="66">
        <v>5</v>
      </c>
      <c r="P200" s="33"/>
      <c r="Q200" s="68">
        <v>6</v>
      </c>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row>
    <row r="201" spans="2:41" s="32" customFormat="1" ht="24.95" customHeight="1">
      <c r="B201" s="51">
        <v>77</v>
      </c>
      <c r="C201" s="51">
        <v>4</v>
      </c>
      <c r="D201" s="67">
        <v>7</v>
      </c>
      <c r="E201" s="55">
        <v>20</v>
      </c>
      <c r="F201" s="54"/>
      <c r="G201" s="66">
        <v>4</v>
      </c>
      <c r="H201" s="66">
        <v>4</v>
      </c>
      <c r="I201" s="66">
        <v>3</v>
      </c>
      <c r="J201" s="66">
        <v>3</v>
      </c>
      <c r="K201" s="66">
        <v>4</v>
      </c>
      <c r="L201" s="66">
        <v>5</v>
      </c>
      <c r="M201" s="66">
        <v>3</v>
      </c>
      <c r="N201" s="66">
        <v>2</v>
      </c>
      <c r="O201" s="66">
        <v>3</v>
      </c>
      <c r="P201" s="33"/>
      <c r="Q201" s="68">
        <v>5</v>
      </c>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row>
    <row r="202" spans="2:41" s="32" customFormat="1" ht="24.95" customHeight="1">
      <c r="B202" s="51">
        <v>78</v>
      </c>
      <c r="C202" s="51">
        <v>4</v>
      </c>
      <c r="D202" s="67">
        <v>7</v>
      </c>
      <c r="E202" s="55">
        <v>25</v>
      </c>
      <c r="F202" s="54"/>
      <c r="G202" s="66">
        <v>3</v>
      </c>
      <c r="H202" s="66">
        <v>5</v>
      </c>
      <c r="I202" s="66">
        <v>5</v>
      </c>
      <c r="J202" s="66">
        <v>3</v>
      </c>
      <c r="K202" s="66">
        <v>2</v>
      </c>
      <c r="L202" s="66">
        <v>5</v>
      </c>
      <c r="M202" s="66">
        <v>2</v>
      </c>
      <c r="N202" s="66">
        <v>2</v>
      </c>
      <c r="O202" s="66">
        <v>4</v>
      </c>
      <c r="P202" s="33"/>
      <c r="Q202" s="68">
        <v>6</v>
      </c>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row>
    <row r="203" spans="2:41" s="32" customFormat="1" ht="24.95" customHeight="1">
      <c r="B203" s="51">
        <v>79</v>
      </c>
      <c r="C203" s="51">
        <v>4</v>
      </c>
      <c r="D203" s="67">
        <v>7</v>
      </c>
      <c r="E203" s="55">
        <v>26</v>
      </c>
      <c r="F203" s="54"/>
      <c r="G203" s="66">
        <v>4</v>
      </c>
      <c r="H203" s="66">
        <v>3</v>
      </c>
      <c r="I203" s="66">
        <v>2</v>
      </c>
      <c r="J203" s="66">
        <v>4</v>
      </c>
      <c r="K203" s="66">
        <v>5</v>
      </c>
      <c r="L203" s="66">
        <v>5</v>
      </c>
      <c r="M203" s="66">
        <v>3</v>
      </c>
      <c r="N203" s="66">
        <v>2</v>
      </c>
      <c r="O203" s="66">
        <v>5</v>
      </c>
      <c r="P203" s="33"/>
      <c r="Q203" s="68">
        <v>6</v>
      </c>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row>
    <row r="204" spans="2:41" s="32" customFormat="1" ht="24.95" customHeight="1">
      <c r="B204" s="51">
        <v>80</v>
      </c>
      <c r="C204" s="51">
        <v>4</v>
      </c>
      <c r="D204" s="67">
        <v>7</v>
      </c>
      <c r="E204" s="55">
        <v>34</v>
      </c>
      <c r="F204" s="54"/>
      <c r="G204" s="66">
        <v>5</v>
      </c>
      <c r="H204" s="66">
        <v>4</v>
      </c>
      <c r="I204" s="66">
        <v>3</v>
      </c>
      <c r="J204" s="66">
        <v>4</v>
      </c>
      <c r="K204" s="66">
        <v>5</v>
      </c>
      <c r="L204" s="66">
        <v>4</v>
      </c>
      <c r="M204" s="66">
        <v>4</v>
      </c>
      <c r="N204" s="66">
        <v>3</v>
      </c>
      <c r="O204" s="66">
        <v>5</v>
      </c>
      <c r="P204" s="33"/>
      <c r="Q204" s="68">
        <v>8</v>
      </c>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row>
    <row r="205" spans="2:41" s="32" customFormat="1" ht="15" customHeight="1" thickBot="1">
      <c r="B205" s="16"/>
      <c r="H205" s="16"/>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row>
    <row r="206" spans="2:41" s="32" customFormat="1" ht="22.5" customHeight="1" thickBot="1">
      <c r="B206" s="57" t="s">
        <v>45</v>
      </c>
      <c r="C206" s="73" t="s">
        <v>46</v>
      </c>
      <c r="D206" s="59"/>
      <c r="H206" s="16"/>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row>
    <row r="207" spans="2:41" s="50" customFormat="1" ht="15" customHeight="1">
      <c r="B207" s="16"/>
      <c r="C207" s="16"/>
      <c r="D207" s="16"/>
      <c r="E207" s="16"/>
      <c r="F207" s="16"/>
      <c r="G207" s="16"/>
      <c r="H207" s="16"/>
    </row>
    <row r="208" spans="2:41" s="32" customFormat="1" ht="15" customHeight="1">
      <c r="B208" s="60" t="s">
        <v>113</v>
      </c>
      <c r="C208" s="61"/>
      <c r="D208" s="16"/>
      <c r="E208" s="16"/>
      <c r="F208" s="16"/>
      <c r="G208" s="16"/>
      <c r="I208" s="16"/>
      <c r="J208" s="50"/>
      <c r="K208" s="50"/>
      <c r="L208" s="50"/>
      <c r="M208" s="50"/>
      <c r="N208" s="50"/>
      <c r="O208" s="50"/>
      <c r="P208" s="50"/>
      <c r="Q208" s="50"/>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row>
    <row r="209" spans="2:41" s="32" customFormat="1" ht="15" customHeight="1">
      <c r="B209" s="61"/>
      <c r="C209" s="61"/>
      <c r="D209" s="16"/>
      <c r="E209" s="16"/>
      <c r="F209" s="16"/>
      <c r="G209" s="16"/>
      <c r="I209" s="16"/>
      <c r="J209" s="50"/>
      <c r="K209" s="50"/>
      <c r="L209" s="50"/>
      <c r="M209" s="50"/>
      <c r="N209" s="50"/>
      <c r="O209" s="50"/>
      <c r="P209" s="50"/>
      <c r="Q209" s="50"/>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row>
    <row r="210" spans="2:41" s="32" customFormat="1" ht="15" customHeight="1">
      <c r="B210" s="60" t="s">
        <v>117</v>
      </c>
      <c r="C210" s="61"/>
      <c r="D210" s="16"/>
      <c r="E210" s="16"/>
      <c r="F210" s="16"/>
      <c r="G210" s="16"/>
      <c r="I210" s="16"/>
      <c r="J210" s="50"/>
      <c r="K210" s="50"/>
      <c r="L210" s="50"/>
      <c r="M210" s="50"/>
      <c r="N210" s="50"/>
      <c r="O210" s="50"/>
      <c r="P210" s="50"/>
      <c r="Q210" s="50"/>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row>
    <row r="211" spans="2:41" s="32" customFormat="1" ht="15" customHeight="1">
      <c r="B211" s="62" t="s">
        <v>118</v>
      </c>
      <c r="C211" s="61"/>
      <c r="D211" s="16"/>
      <c r="E211" s="16"/>
      <c r="F211" s="16"/>
      <c r="G211" s="16"/>
      <c r="I211" s="16"/>
      <c r="J211" s="50"/>
      <c r="K211" s="50"/>
      <c r="L211" s="50"/>
      <c r="M211" s="50"/>
      <c r="N211" s="50"/>
      <c r="O211" s="50"/>
      <c r="P211" s="50"/>
      <c r="Q211" s="50"/>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row>
    <row r="212" spans="2:41" s="32" customFormat="1" ht="15" customHeight="1">
      <c r="B212" s="16"/>
      <c r="C212" s="16"/>
      <c r="D212" s="16"/>
      <c r="E212" s="16"/>
      <c r="F212" s="16"/>
      <c r="G212" s="16"/>
      <c r="I212" s="16"/>
      <c r="J212" s="50"/>
      <c r="K212" s="50"/>
      <c r="L212" s="50"/>
      <c r="M212" s="50"/>
      <c r="N212" s="50"/>
      <c r="O212" s="50"/>
      <c r="P212" s="50"/>
      <c r="Q212" s="50"/>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row>
    <row r="213" spans="2:41" s="32" customFormat="1" ht="15" customHeight="1">
      <c r="B213" s="63" t="s">
        <v>34</v>
      </c>
      <c r="C213" s="61"/>
      <c r="D213" s="50"/>
      <c r="E213" s="50"/>
      <c r="F213" s="50"/>
      <c r="G213" s="50"/>
      <c r="I213" s="16"/>
      <c r="J213" s="50"/>
      <c r="K213" s="50"/>
      <c r="L213" s="50"/>
      <c r="M213" s="50"/>
      <c r="N213" s="50"/>
      <c r="O213" s="50"/>
      <c r="P213" s="50"/>
      <c r="Q213" s="50"/>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row>
    <row r="214" spans="2:41" s="32" customFormat="1" ht="15" customHeight="1">
      <c r="B214" s="61" t="s">
        <v>114</v>
      </c>
      <c r="C214" s="16"/>
      <c r="D214" s="50"/>
      <c r="E214" s="50"/>
      <c r="F214" s="50"/>
      <c r="G214" s="50"/>
      <c r="I214" s="16"/>
      <c r="J214" s="50"/>
      <c r="K214" s="50"/>
      <c r="L214" s="50"/>
      <c r="M214" s="50"/>
      <c r="N214" s="50"/>
      <c r="O214" s="50"/>
      <c r="P214" s="50"/>
      <c r="Q214" s="50"/>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row>
    <row r="215" spans="2:41" s="32" customFormat="1" ht="15" customHeight="1">
      <c r="B215" s="61" t="s">
        <v>115</v>
      </c>
      <c r="C215" s="16"/>
      <c r="D215" s="50"/>
      <c r="E215" s="50"/>
      <c r="F215" s="50"/>
      <c r="G215" s="50"/>
      <c r="I215" s="16"/>
      <c r="J215" s="50"/>
      <c r="K215" s="50"/>
      <c r="L215" s="50"/>
      <c r="M215" s="50"/>
      <c r="N215" s="50"/>
      <c r="O215" s="50"/>
      <c r="P215" s="50"/>
      <c r="Q215" s="50"/>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row>
    <row r="216" spans="2:41" s="32" customFormat="1" ht="15" customHeight="1" thickBot="1">
      <c r="B216" s="61" t="s">
        <v>116</v>
      </c>
      <c r="C216" s="16"/>
      <c r="D216" s="50"/>
      <c r="E216" s="50"/>
      <c r="F216" s="50"/>
      <c r="G216" s="50"/>
      <c r="H216" s="16"/>
      <c r="I216" s="16"/>
      <c r="J216" s="16"/>
      <c r="K216" s="50"/>
      <c r="L216" s="50"/>
      <c r="M216" s="50"/>
      <c r="N216" s="50"/>
      <c r="O216" s="50"/>
      <c r="P216" s="50"/>
      <c r="Q216" s="50"/>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row>
    <row r="217" spans="2:41" s="50" customFormat="1" ht="22.5" customHeight="1" thickBot="1">
      <c r="B217" s="16"/>
      <c r="C217" s="16"/>
      <c r="D217" s="16"/>
      <c r="E217" s="16"/>
      <c r="F217" s="16"/>
      <c r="G217" s="110" t="s">
        <v>90</v>
      </c>
      <c r="H217" s="111"/>
      <c r="I217" s="111"/>
      <c r="J217" s="111"/>
      <c r="K217" s="111"/>
      <c r="L217" s="111"/>
      <c r="M217" s="111"/>
      <c r="N217" s="111"/>
      <c r="O217" s="112"/>
    </row>
    <row r="218" spans="2:41" s="50" customFormat="1" ht="22.5" customHeight="1" thickBot="1">
      <c r="B218" s="47" t="s">
        <v>8</v>
      </c>
      <c r="C218" s="48" t="s">
        <v>9</v>
      </c>
      <c r="D218" s="47" t="s">
        <v>10</v>
      </c>
      <c r="E218" s="64" t="s">
        <v>11</v>
      </c>
      <c r="F218" s="16"/>
      <c r="G218" s="47" t="s">
        <v>12</v>
      </c>
      <c r="H218" s="47" t="s">
        <v>13</v>
      </c>
      <c r="I218" s="47" t="s">
        <v>14</v>
      </c>
      <c r="J218" s="47" t="s">
        <v>15</v>
      </c>
      <c r="K218" s="47" t="s">
        <v>16</v>
      </c>
      <c r="L218" s="47" t="s">
        <v>17</v>
      </c>
      <c r="M218" s="47" t="s">
        <v>18</v>
      </c>
      <c r="N218" s="47" t="s">
        <v>19</v>
      </c>
      <c r="O218" s="47" t="s">
        <v>20</v>
      </c>
      <c r="Q218" s="47" t="s">
        <v>58</v>
      </c>
    </row>
    <row r="219" spans="2:41" s="32" customFormat="1" ht="15" customHeight="1">
      <c r="J219" s="33"/>
      <c r="K219" s="33"/>
      <c r="L219" s="33"/>
      <c r="M219" s="33"/>
      <c r="N219" s="33"/>
      <c r="O219" s="33"/>
      <c r="P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row>
    <row r="220" spans="2:41" s="32" customFormat="1" ht="24.95" customHeight="1">
      <c r="B220" s="65" t="s">
        <v>47</v>
      </c>
      <c r="C220" s="51">
        <v>5</v>
      </c>
      <c r="D220" s="52">
        <v>0</v>
      </c>
      <c r="E220" s="55">
        <v>7</v>
      </c>
      <c r="F220" s="54"/>
      <c r="G220" s="66">
        <v>3</v>
      </c>
      <c r="H220" s="66">
        <v>5</v>
      </c>
      <c r="I220" s="66">
        <v>3</v>
      </c>
      <c r="J220" s="66">
        <v>4</v>
      </c>
      <c r="K220" s="66">
        <v>3</v>
      </c>
      <c r="L220" s="66">
        <v>3</v>
      </c>
      <c r="M220" s="66">
        <v>2</v>
      </c>
      <c r="N220" s="66">
        <v>3</v>
      </c>
      <c r="O220" s="66">
        <v>3</v>
      </c>
      <c r="P220" s="33"/>
      <c r="Q220" s="66">
        <v>4</v>
      </c>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row>
    <row r="221" spans="2:41" s="32" customFormat="1" ht="15" customHeight="1">
      <c r="P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row>
    <row r="222" spans="2:41" s="32" customFormat="1" ht="24.95" customHeight="1">
      <c r="B222" s="51">
        <v>81</v>
      </c>
      <c r="C222" s="51">
        <v>5</v>
      </c>
      <c r="D222" s="67">
        <v>8</v>
      </c>
      <c r="E222" s="55">
        <v>9</v>
      </c>
      <c r="F222" s="54"/>
      <c r="G222" s="68">
        <v>2</v>
      </c>
      <c r="H222" s="68">
        <v>5</v>
      </c>
      <c r="I222" s="68">
        <v>4</v>
      </c>
      <c r="J222" s="68">
        <v>5</v>
      </c>
      <c r="K222" s="68">
        <v>4</v>
      </c>
      <c r="L222" s="68">
        <v>2</v>
      </c>
      <c r="M222" s="68">
        <v>3</v>
      </c>
      <c r="N222" s="68">
        <v>3</v>
      </c>
      <c r="O222" s="68">
        <v>5</v>
      </c>
      <c r="P222" s="33"/>
      <c r="Q222" s="68">
        <v>3</v>
      </c>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row>
    <row r="223" spans="2:41" s="32" customFormat="1" ht="24.95" customHeight="1">
      <c r="B223" s="51">
        <v>82</v>
      </c>
      <c r="C223" s="51">
        <v>5</v>
      </c>
      <c r="D223" s="67">
        <v>8</v>
      </c>
      <c r="E223" s="55">
        <v>13</v>
      </c>
      <c r="F223" s="54"/>
      <c r="G223" s="66">
        <v>2</v>
      </c>
      <c r="H223" s="66">
        <v>5</v>
      </c>
      <c r="I223" s="66">
        <v>2</v>
      </c>
      <c r="J223" s="66">
        <v>3</v>
      </c>
      <c r="K223" s="66">
        <v>4</v>
      </c>
      <c r="L223" s="66">
        <v>4</v>
      </c>
      <c r="M223" s="66">
        <v>5</v>
      </c>
      <c r="N223" s="66">
        <v>5</v>
      </c>
      <c r="O223" s="66">
        <v>2</v>
      </c>
      <c r="P223" s="33"/>
      <c r="Q223" s="68">
        <v>5</v>
      </c>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row>
    <row r="224" spans="2:41" s="32" customFormat="1" ht="24.95" customHeight="1">
      <c r="B224" s="51">
        <v>83</v>
      </c>
      <c r="C224" s="51">
        <v>5</v>
      </c>
      <c r="D224" s="67">
        <v>8</v>
      </c>
      <c r="E224" s="55">
        <v>13</v>
      </c>
      <c r="F224" s="54"/>
      <c r="G224" s="66">
        <v>4</v>
      </c>
      <c r="H224" s="66">
        <v>2</v>
      </c>
      <c r="I224" s="66">
        <v>3</v>
      </c>
      <c r="J224" s="66">
        <v>5</v>
      </c>
      <c r="K224" s="66">
        <v>2</v>
      </c>
      <c r="L224" s="66">
        <v>4</v>
      </c>
      <c r="M224" s="66">
        <v>5</v>
      </c>
      <c r="N224" s="66">
        <v>5</v>
      </c>
      <c r="O224" s="66">
        <v>4</v>
      </c>
      <c r="P224" s="33"/>
      <c r="Q224" s="68">
        <v>5</v>
      </c>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row>
    <row r="225" spans="2:41" s="32" customFormat="1" ht="24.95" customHeight="1">
      <c r="B225" s="51">
        <v>84</v>
      </c>
      <c r="C225" s="51">
        <v>5</v>
      </c>
      <c r="D225" s="67">
        <v>8</v>
      </c>
      <c r="E225" s="55">
        <v>10</v>
      </c>
      <c r="F225" s="54"/>
      <c r="G225" s="66">
        <v>5</v>
      </c>
      <c r="H225" s="66">
        <v>4</v>
      </c>
      <c r="I225" s="66">
        <v>4</v>
      </c>
      <c r="J225" s="66">
        <v>3</v>
      </c>
      <c r="K225" s="66">
        <v>3</v>
      </c>
      <c r="L225" s="66">
        <v>5</v>
      </c>
      <c r="M225" s="66">
        <v>4</v>
      </c>
      <c r="N225" s="66">
        <v>3</v>
      </c>
      <c r="O225" s="66">
        <v>2</v>
      </c>
      <c r="P225" s="33"/>
      <c r="Q225" s="68">
        <v>4</v>
      </c>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row>
    <row r="226" spans="2:41" s="32" customFormat="1" ht="24.95" customHeight="1">
      <c r="B226" s="51">
        <v>85</v>
      </c>
      <c r="C226" s="51">
        <v>5</v>
      </c>
      <c r="D226" s="67">
        <v>8</v>
      </c>
      <c r="E226" s="55">
        <v>6</v>
      </c>
      <c r="F226" s="54"/>
      <c r="G226" s="66">
        <v>5</v>
      </c>
      <c r="H226" s="66">
        <v>4</v>
      </c>
      <c r="I226" s="66">
        <v>4</v>
      </c>
      <c r="J226" s="66">
        <v>2</v>
      </c>
      <c r="K226" s="66">
        <v>3</v>
      </c>
      <c r="L226" s="66">
        <v>4</v>
      </c>
      <c r="M226" s="66">
        <v>2</v>
      </c>
      <c r="N226" s="66">
        <v>3</v>
      </c>
      <c r="O226" s="66">
        <v>5</v>
      </c>
      <c r="P226" s="33"/>
      <c r="Q226" s="68">
        <v>2</v>
      </c>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row>
    <row r="227" spans="2:41" s="32" customFormat="1" ht="24.95" customHeight="1">
      <c r="B227" s="51">
        <v>86</v>
      </c>
      <c r="C227" s="51">
        <v>5</v>
      </c>
      <c r="D227" s="67">
        <v>8</v>
      </c>
      <c r="E227" s="55">
        <v>12</v>
      </c>
      <c r="F227" s="54"/>
      <c r="G227" s="66">
        <v>5</v>
      </c>
      <c r="H227" s="66">
        <v>2</v>
      </c>
      <c r="I227" s="66">
        <v>3</v>
      </c>
      <c r="J227" s="66">
        <v>5</v>
      </c>
      <c r="K227" s="66">
        <v>3</v>
      </c>
      <c r="L227" s="66">
        <v>4</v>
      </c>
      <c r="M227" s="66">
        <v>4</v>
      </c>
      <c r="N227" s="66">
        <v>3</v>
      </c>
      <c r="O227" s="66">
        <v>4</v>
      </c>
      <c r="P227" s="33"/>
      <c r="Q227" s="68">
        <v>5</v>
      </c>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row>
    <row r="228" spans="2:41" s="32" customFormat="1" ht="24.95" customHeight="1">
      <c r="B228" s="51">
        <v>87</v>
      </c>
      <c r="C228" s="51">
        <v>5</v>
      </c>
      <c r="D228" s="67">
        <v>8</v>
      </c>
      <c r="E228" s="55">
        <v>3</v>
      </c>
      <c r="F228" s="54"/>
      <c r="G228" s="66">
        <v>2</v>
      </c>
      <c r="H228" s="66">
        <v>2</v>
      </c>
      <c r="I228" s="66">
        <v>5</v>
      </c>
      <c r="J228" s="66">
        <v>5</v>
      </c>
      <c r="K228" s="66">
        <v>5</v>
      </c>
      <c r="L228" s="66">
        <v>3</v>
      </c>
      <c r="M228" s="66">
        <v>2</v>
      </c>
      <c r="N228" s="66">
        <v>2</v>
      </c>
      <c r="O228" s="66">
        <v>3</v>
      </c>
      <c r="P228" s="33"/>
      <c r="Q228" s="68">
        <v>1</v>
      </c>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row>
    <row r="229" spans="2:41" s="32" customFormat="1" ht="24.95" customHeight="1">
      <c r="B229" s="51">
        <v>88</v>
      </c>
      <c r="C229" s="51">
        <v>5</v>
      </c>
      <c r="D229" s="67">
        <v>8</v>
      </c>
      <c r="E229" s="55">
        <v>6</v>
      </c>
      <c r="F229" s="54"/>
      <c r="G229" s="66">
        <v>2</v>
      </c>
      <c r="H229" s="66">
        <v>4</v>
      </c>
      <c r="I229" s="66">
        <v>5</v>
      </c>
      <c r="J229" s="66">
        <v>5</v>
      </c>
      <c r="K229" s="66">
        <v>4</v>
      </c>
      <c r="L229" s="66">
        <v>5</v>
      </c>
      <c r="M229" s="66">
        <v>3</v>
      </c>
      <c r="N229" s="66">
        <v>4</v>
      </c>
      <c r="O229" s="66">
        <v>5</v>
      </c>
      <c r="P229" s="33"/>
      <c r="Q229" s="68">
        <v>2</v>
      </c>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row>
    <row r="230" spans="2:41" s="32" customFormat="1" ht="24.95" customHeight="1">
      <c r="B230" s="51">
        <v>89</v>
      </c>
      <c r="C230" s="51">
        <v>5</v>
      </c>
      <c r="D230" s="67">
        <v>8</v>
      </c>
      <c r="E230" s="55">
        <v>9</v>
      </c>
      <c r="F230" s="54"/>
      <c r="G230" s="66">
        <v>4</v>
      </c>
      <c r="H230" s="66">
        <v>4</v>
      </c>
      <c r="I230" s="66">
        <v>4</v>
      </c>
      <c r="J230" s="66">
        <v>3</v>
      </c>
      <c r="K230" s="66">
        <v>2</v>
      </c>
      <c r="L230" s="66">
        <v>4</v>
      </c>
      <c r="M230" s="66">
        <v>4</v>
      </c>
      <c r="N230" s="66">
        <v>4</v>
      </c>
      <c r="O230" s="66">
        <v>5</v>
      </c>
      <c r="P230" s="33"/>
      <c r="Q230" s="68">
        <v>4</v>
      </c>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row>
    <row r="231" spans="2:41" s="32" customFormat="1" ht="24.95" customHeight="1">
      <c r="B231" s="51">
        <v>90</v>
      </c>
      <c r="C231" s="51">
        <v>5</v>
      </c>
      <c r="D231" s="67">
        <v>8</v>
      </c>
      <c r="E231" s="55">
        <v>15</v>
      </c>
      <c r="F231" s="54"/>
      <c r="G231" s="66">
        <v>4</v>
      </c>
      <c r="H231" s="66">
        <v>5</v>
      </c>
      <c r="I231" s="66">
        <v>2</v>
      </c>
      <c r="J231" s="66">
        <v>5</v>
      </c>
      <c r="K231" s="66">
        <v>5</v>
      </c>
      <c r="L231" s="66">
        <v>5</v>
      </c>
      <c r="M231" s="66">
        <v>3</v>
      </c>
      <c r="N231" s="66">
        <v>5</v>
      </c>
      <c r="O231" s="66">
        <v>5</v>
      </c>
      <c r="P231" s="33"/>
      <c r="Q231" s="68">
        <v>5</v>
      </c>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row>
    <row r="232" spans="2:41" s="32" customFormat="1" ht="24.95" customHeight="1">
      <c r="B232" s="51">
        <v>91</v>
      </c>
      <c r="C232" s="51">
        <v>5</v>
      </c>
      <c r="D232" s="67">
        <v>8</v>
      </c>
      <c r="E232" s="55">
        <v>6</v>
      </c>
      <c r="F232" s="54"/>
      <c r="G232" s="66">
        <v>5</v>
      </c>
      <c r="H232" s="66">
        <v>5</v>
      </c>
      <c r="I232" s="66">
        <v>2</v>
      </c>
      <c r="J232" s="66">
        <v>2</v>
      </c>
      <c r="K232" s="66">
        <v>4</v>
      </c>
      <c r="L232" s="66">
        <v>3</v>
      </c>
      <c r="M232" s="66">
        <v>3</v>
      </c>
      <c r="N232" s="66">
        <v>2</v>
      </c>
      <c r="O232" s="66">
        <v>4</v>
      </c>
      <c r="P232" s="33"/>
      <c r="Q232" s="68">
        <v>2</v>
      </c>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row>
    <row r="233" spans="2:41" s="32" customFormat="1" ht="24.95" customHeight="1">
      <c r="B233" s="51">
        <v>92</v>
      </c>
      <c r="C233" s="51">
        <v>5</v>
      </c>
      <c r="D233" s="67">
        <v>8</v>
      </c>
      <c r="E233" s="55">
        <v>15</v>
      </c>
      <c r="F233" s="54"/>
      <c r="G233" s="66">
        <v>3</v>
      </c>
      <c r="H233" s="66">
        <v>5</v>
      </c>
      <c r="I233" s="66">
        <v>5</v>
      </c>
      <c r="J233" s="66">
        <v>5</v>
      </c>
      <c r="K233" s="66">
        <v>3</v>
      </c>
      <c r="L233" s="66">
        <v>4</v>
      </c>
      <c r="M233" s="66">
        <v>3</v>
      </c>
      <c r="N233" s="66">
        <v>5</v>
      </c>
      <c r="O233" s="66">
        <v>2</v>
      </c>
      <c r="P233" s="33"/>
      <c r="Q233" s="68">
        <v>6</v>
      </c>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row>
    <row r="234" spans="2:41" s="32" customFormat="1" ht="24.95" customHeight="1">
      <c r="B234" s="51">
        <v>93</v>
      </c>
      <c r="C234" s="51">
        <v>5</v>
      </c>
      <c r="D234" s="67">
        <v>8</v>
      </c>
      <c r="E234" s="55">
        <v>11</v>
      </c>
      <c r="F234" s="54"/>
      <c r="G234" s="66">
        <v>4</v>
      </c>
      <c r="H234" s="66">
        <v>4</v>
      </c>
      <c r="I234" s="66">
        <v>2</v>
      </c>
      <c r="J234" s="66">
        <v>2</v>
      </c>
      <c r="K234" s="66">
        <v>5</v>
      </c>
      <c r="L234" s="66">
        <v>4</v>
      </c>
      <c r="M234" s="66">
        <v>4</v>
      </c>
      <c r="N234" s="66">
        <v>4</v>
      </c>
      <c r="O234" s="66">
        <v>4</v>
      </c>
      <c r="P234" s="33"/>
      <c r="Q234" s="68">
        <v>5</v>
      </c>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row>
    <row r="235" spans="2:41" s="32" customFormat="1" ht="24.95" customHeight="1">
      <c r="B235" s="51">
        <v>94</v>
      </c>
      <c r="C235" s="51">
        <v>5</v>
      </c>
      <c r="D235" s="67">
        <v>8</v>
      </c>
      <c r="E235" s="55">
        <v>9</v>
      </c>
      <c r="F235" s="54"/>
      <c r="G235" s="66">
        <v>2</v>
      </c>
      <c r="H235" s="66">
        <v>5</v>
      </c>
      <c r="I235" s="66">
        <v>5</v>
      </c>
      <c r="J235" s="66">
        <v>3</v>
      </c>
      <c r="K235" s="66">
        <v>3</v>
      </c>
      <c r="L235" s="66">
        <v>3</v>
      </c>
      <c r="M235" s="66">
        <v>3</v>
      </c>
      <c r="N235" s="66">
        <v>3</v>
      </c>
      <c r="O235" s="66">
        <v>5</v>
      </c>
      <c r="P235" s="33"/>
      <c r="Q235" s="68">
        <v>3</v>
      </c>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row>
    <row r="236" spans="2:41" s="32" customFormat="1" ht="24.95" customHeight="1">
      <c r="B236" s="51">
        <v>95</v>
      </c>
      <c r="C236" s="51">
        <v>5</v>
      </c>
      <c r="D236" s="67">
        <v>8</v>
      </c>
      <c r="E236" s="55">
        <v>11</v>
      </c>
      <c r="F236" s="54"/>
      <c r="G236" s="66">
        <v>2</v>
      </c>
      <c r="H236" s="66">
        <v>5</v>
      </c>
      <c r="I236" s="66">
        <v>4</v>
      </c>
      <c r="J236" s="66">
        <v>5</v>
      </c>
      <c r="K236" s="66">
        <v>2</v>
      </c>
      <c r="L236" s="66">
        <v>2</v>
      </c>
      <c r="M236" s="66">
        <v>2</v>
      </c>
      <c r="N236" s="66">
        <v>2</v>
      </c>
      <c r="O236" s="66">
        <v>5</v>
      </c>
      <c r="P236" s="33"/>
      <c r="Q236" s="68">
        <v>4</v>
      </c>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row>
    <row r="237" spans="2:41" s="32" customFormat="1" ht="24.95" customHeight="1">
      <c r="B237" s="51">
        <v>96</v>
      </c>
      <c r="C237" s="51">
        <v>5</v>
      </c>
      <c r="D237" s="67">
        <v>8</v>
      </c>
      <c r="E237" s="55">
        <v>3</v>
      </c>
      <c r="F237" s="54"/>
      <c r="G237" s="66">
        <v>5</v>
      </c>
      <c r="H237" s="66">
        <v>3</v>
      </c>
      <c r="I237" s="66">
        <v>2</v>
      </c>
      <c r="J237" s="66">
        <v>3</v>
      </c>
      <c r="K237" s="66">
        <v>3</v>
      </c>
      <c r="L237" s="66">
        <v>2</v>
      </c>
      <c r="M237" s="66">
        <v>5</v>
      </c>
      <c r="N237" s="66">
        <v>2</v>
      </c>
      <c r="O237" s="66">
        <v>3</v>
      </c>
      <c r="P237" s="33"/>
      <c r="Q237" s="68">
        <v>1</v>
      </c>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row>
    <row r="238" spans="2:41" s="32" customFormat="1" ht="24.95" customHeight="1">
      <c r="B238" s="51">
        <v>97</v>
      </c>
      <c r="C238" s="51">
        <v>5</v>
      </c>
      <c r="D238" s="67">
        <v>8</v>
      </c>
      <c r="E238" s="55">
        <v>6</v>
      </c>
      <c r="F238" s="54"/>
      <c r="G238" s="66">
        <v>3</v>
      </c>
      <c r="H238" s="66">
        <v>2</v>
      </c>
      <c r="I238" s="66">
        <v>3</v>
      </c>
      <c r="J238" s="66">
        <v>4</v>
      </c>
      <c r="K238" s="66">
        <v>2</v>
      </c>
      <c r="L238" s="66">
        <v>5</v>
      </c>
      <c r="M238" s="66">
        <v>5</v>
      </c>
      <c r="N238" s="66">
        <v>5</v>
      </c>
      <c r="O238" s="66">
        <v>4</v>
      </c>
      <c r="P238" s="33"/>
      <c r="Q238" s="68">
        <v>2</v>
      </c>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row>
    <row r="239" spans="2:41" s="32" customFormat="1" ht="24.95" customHeight="1">
      <c r="B239" s="51">
        <v>98</v>
      </c>
      <c r="C239" s="51">
        <v>5</v>
      </c>
      <c r="D239" s="67">
        <v>8</v>
      </c>
      <c r="E239" s="55">
        <v>10</v>
      </c>
      <c r="F239" s="54"/>
      <c r="G239" s="66">
        <v>2</v>
      </c>
      <c r="H239" s="66">
        <v>2</v>
      </c>
      <c r="I239" s="66">
        <v>2</v>
      </c>
      <c r="J239" s="66">
        <v>3</v>
      </c>
      <c r="K239" s="66">
        <v>5</v>
      </c>
      <c r="L239" s="66">
        <v>5</v>
      </c>
      <c r="M239" s="66">
        <v>4</v>
      </c>
      <c r="N239" s="66">
        <v>4</v>
      </c>
      <c r="O239" s="66">
        <v>4</v>
      </c>
      <c r="P239" s="33"/>
      <c r="Q239" s="68">
        <v>4</v>
      </c>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row>
    <row r="240" spans="2:41" s="32" customFormat="1" ht="24.95" customHeight="1">
      <c r="B240" s="51">
        <v>99</v>
      </c>
      <c r="C240" s="51">
        <v>5</v>
      </c>
      <c r="D240" s="67">
        <v>8</v>
      </c>
      <c r="E240" s="55">
        <v>3</v>
      </c>
      <c r="F240" s="54"/>
      <c r="G240" s="66">
        <v>2</v>
      </c>
      <c r="H240" s="66">
        <v>3</v>
      </c>
      <c r="I240" s="66">
        <v>3</v>
      </c>
      <c r="J240" s="66">
        <v>5</v>
      </c>
      <c r="K240" s="66">
        <v>3</v>
      </c>
      <c r="L240" s="66">
        <v>2</v>
      </c>
      <c r="M240" s="66">
        <v>4</v>
      </c>
      <c r="N240" s="66">
        <v>3</v>
      </c>
      <c r="O240" s="66">
        <v>3</v>
      </c>
      <c r="P240" s="33"/>
      <c r="Q240" s="68">
        <v>1</v>
      </c>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row>
    <row r="241" spans="2:90" s="32" customFormat="1" ht="24.95" customHeight="1">
      <c r="B241" s="51">
        <v>100</v>
      </c>
      <c r="C241" s="51">
        <v>5</v>
      </c>
      <c r="D241" s="67">
        <v>8</v>
      </c>
      <c r="E241" s="55">
        <v>3</v>
      </c>
      <c r="F241" s="54"/>
      <c r="G241" s="66">
        <v>4</v>
      </c>
      <c r="H241" s="66">
        <v>4</v>
      </c>
      <c r="I241" s="66">
        <v>3</v>
      </c>
      <c r="J241" s="66">
        <v>5</v>
      </c>
      <c r="K241" s="66">
        <v>4</v>
      </c>
      <c r="L241" s="66">
        <v>2</v>
      </c>
      <c r="M241" s="66">
        <v>4</v>
      </c>
      <c r="N241" s="66">
        <v>4</v>
      </c>
      <c r="O241" s="66">
        <v>4</v>
      </c>
      <c r="P241" s="33"/>
      <c r="Q241" s="68">
        <v>1</v>
      </c>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row>
    <row r="242" spans="2:90" s="32" customFormat="1" ht="16.5" thickBot="1">
      <c r="H242" s="16"/>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row>
    <row r="243" spans="2:90" s="32" customFormat="1" ht="22.5" customHeight="1" thickBot="1">
      <c r="B243" s="57" t="s">
        <v>48</v>
      </c>
      <c r="C243" s="74" t="s">
        <v>49</v>
      </c>
      <c r="D243" s="75"/>
      <c r="H243" s="16"/>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row>
    <row r="244" spans="2:90" s="32" customFormat="1" ht="15" customHeight="1">
      <c r="H244" s="16"/>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row>
    <row r="245" spans="2:90" s="32" customFormat="1" ht="15" customHeight="1">
      <c r="B245" s="60" t="s">
        <v>135</v>
      </c>
      <c r="C245" s="71"/>
      <c r="H245" s="16"/>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row>
    <row r="246" spans="2:90" s="32" customFormat="1" ht="15" customHeight="1">
      <c r="B246" s="62" t="s">
        <v>119</v>
      </c>
      <c r="C246" s="71"/>
      <c r="H246" s="16"/>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row>
    <row r="247" spans="2:90" s="32" customFormat="1" ht="15" customHeight="1">
      <c r="B247" s="60"/>
      <c r="C247" s="71"/>
      <c r="H247" s="16"/>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row>
    <row r="248" spans="2:90" s="32" customFormat="1" ht="15" customHeight="1">
      <c r="B248" s="60" t="s">
        <v>120</v>
      </c>
      <c r="C248" s="62"/>
      <c r="H248" s="16"/>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row>
    <row r="249" spans="2:90" s="32" customFormat="1" ht="15" customHeight="1">
      <c r="B249" s="76" t="s">
        <v>121</v>
      </c>
      <c r="H249" s="16"/>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row>
    <row r="250" spans="2:90" s="32" customFormat="1" ht="15" customHeight="1">
      <c r="B250" s="60"/>
      <c r="C250" s="71"/>
      <c r="H250" s="16"/>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row>
    <row r="251" spans="2:90" s="32" customFormat="1" ht="15" customHeight="1">
      <c r="B251" s="63" t="s">
        <v>34</v>
      </c>
      <c r="H251" s="16"/>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row>
    <row r="252" spans="2:90" s="32" customFormat="1" ht="15" customHeight="1">
      <c r="B252" s="61" t="s">
        <v>122</v>
      </c>
      <c r="H252" s="16"/>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row>
    <row r="253" spans="2:90" s="32" customFormat="1" ht="15" customHeight="1">
      <c r="B253" s="61" t="s">
        <v>136</v>
      </c>
      <c r="H253" s="16"/>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row>
    <row r="254" spans="2:90" s="32" customFormat="1" ht="15" customHeight="1" thickBot="1">
      <c r="B254" s="61" t="s">
        <v>127</v>
      </c>
      <c r="C254" s="61"/>
      <c r="D254" s="50"/>
      <c r="E254" s="33"/>
      <c r="F254" s="33"/>
      <c r="G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row>
    <row r="255" spans="2:90" s="50" customFormat="1" ht="22.5" customHeight="1" thickBot="1">
      <c r="B255" s="16"/>
      <c r="C255" s="16"/>
      <c r="D255" s="16"/>
      <c r="E255" s="16"/>
      <c r="F255" s="16"/>
      <c r="G255" s="110" t="s">
        <v>90</v>
      </c>
      <c r="H255" s="111"/>
      <c r="I255" s="111"/>
      <c r="J255" s="111"/>
      <c r="K255" s="111"/>
      <c r="L255" s="111"/>
      <c r="M255" s="111"/>
      <c r="N255" s="111"/>
      <c r="O255" s="112"/>
    </row>
    <row r="256" spans="2:90" s="50" customFormat="1" ht="22.5" customHeight="1" thickBot="1">
      <c r="B256" s="47" t="s">
        <v>8</v>
      </c>
      <c r="C256" s="48" t="s">
        <v>9</v>
      </c>
      <c r="D256" s="47" t="s">
        <v>10</v>
      </c>
      <c r="E256" s="64" t="s">
        <v>11</v>
      </c>
      <c r="F256" s="16"/>
      <c r="G256" s="47" t="s">
        <v>12</v>
      </c>
      <c r="H256" s="47" t="s">
        <v>13</v>
      </c>
      <c r="I256" s="47" t="s">
        <v>14</v>
      </c>
      <c r="J256" s="47" t="s">
        <v>15</v>
      </c>
      <c r="K256" s="47" t="s">
        <v>16</v>
      </c>
      <c r="L256" s="47" t="s">
        <v>17</v>
      </c>
      <c r="M256" s="47" t="s">
        <v>18</v>
      </c>
      <c r="N256" s="47" t="s">
        <v>19</v>
      </c>
      <c r="O256" s="47" t="s">
        <v>20</v>
      </c>
      <c r="P256" s="77"/>
      <c r="Q256" s="47" t="s">
        <v>57</v>
      </c>
      <c r="T256" s="77"/>
      <c r="U256" s="77"/>
      <c r="V256" s="77"/>
      <c r="W256" s="77"/>
      <c r="X256" s="77"/>
      <c r="Y256" s="77"/>
      <c r="Z256" s="77"/>
      <c r="AA256" s="77"/>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c r="BF256" s="77"/>
      <c r="BG256" s="77"/>
      <c r="BH256" s="77"/>
      <c r="BI256" s="77"/>
      <c r="BJ256" s="77"/>
      <c r="BK256" s="77"/>
      <c r="BL256" s="77"/>
      <c r="BM256" s="77"/>
      <c r="BN256" s="77"/>
      <c r="BO256" s="77"/>
      <c r="BP256" s="77"/>
      <c r="BQ256" s="77"/>
      <c r="BR256" s="77"/>
      <c r="BS256" s="77"/>
      <c r="BT256" s="77"/>
      <c r="BU256" s="77"/>
      <c r="BV256" s="77"/>
      <c r="BW256" s="77"/>
      <c r="BX256" s="77"/>
      <c r="BY256" s="77"/>
      <c r="BZ256" s="77"/>
      <c r="CA256" s="77"/>
      <c r="CB256" s="77"/>
      <c r="CC256" s="77"/>
      <c r="CD256" s="77"/>
      <c r="CE256" s="77"/>
      <c r="CF256" s="77"/>
      <c r="CG256" s="77"/>
      <c r="CH256" s="77"/>
      <c r="CI256" s="77"/>
      <c r="CJ256" s="77"/>
      <c r="CK256" s="77"/>
      <c r="CL256" s="77"/>
    </row>
    <row r="257" spans="2:90" s="32" customFormat="1" ht="15" customHeight="1">
      <c r="J257" s="33"/>
      <c r="K257" s="33"/>
      <c r="L257" s="33"/>
      <c r="M257" s="33"/>
      <c r="N257" s="33"/>
      <c r="O257" s="33"/>
      <c r="P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row>
    <row r="258" spans="2:90" s="32" customFormat="1" ht="24.95" customHeight="1">
      <c r="B258" s="65" t="s">
        <v>50</v>
      </c>
      <c r="C258" s="51">
        <v>6</v>
      </c>
      <c r="D258" s="52">
        <v>0</v>
      </c>
      <c r="E258" s="55">
        <v>9</v>
      </c>
      <c r="F258" s="54"/>
      <c r="G258" s="66">
        <v>3</v>
      </c>
      <c r="H258" s="66">
        <v>5</v>
      </c>
      <c r="I258" s="66">
        <v>3</v>
      </c>
      <c r="J258" s="66">
        <v>4</v>
      </c>
      <c r="K258" s="66">
        <v>3</v>
      </c>
      <c r="L258" s="66">
        <v>3</v>
      </c>
      <c r="M258" s="66">
        <v>2</v>
      </c>
      <c r="N258" s="66">
        <v>3</v>
      </c>
      <c r="O258" s="66">
        <v>3</v>
      </c>
      <c r="P258" s="78"/>
      <c r="Q258" s="66">
        <v>3</v>
      </c>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row>
    <row r="259" spans="2:90" s="32" customFormat="1" ht="15" customHeight="1">
      <c r="P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row>
    <row r="260" spans="2:90" s="32" customFormat="1" ht="24.95" customHeight="1">
      <c r="B260" s="51">
        <v>101</v>
      </c>
      <c r="C260" s="51">
        <v>6</v>
      </c>
      <c r="D260" s="67">
        <v>9</v>
      </c>
      <c r="E260" s="55">
        <v>3</v>
      </c>
      <c r="F260" s="54"/>
      <c r="G260" s="68">
        <v>3</v>
      </c>
      <c r="H260" s="68">
        <v>2</v>
      </c>
      <c r="I260" s="68">
        <v>2</v>
      </c>
      <c r="J260" s="68">
        <v>4</v>
      </c>
      <c r="K260" s="68">
        <v>3</v>
      </c>
      <c r="L260" s="68">
        <v>3</v>
      </c>
      <c r="M260" s="68">
        <v>5</v>
      </c>
      <c r="N260" s="68">
        <v>5</v>
      </c>
      <c r="O260" s="68">
        <v>5</v>
      </c>
      <c r="P260" s="78"/>
      <c r="Q260" s="68">
        <v>1</v>
      </c>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row>
    <row r="261" spans="2:90" s="32" customFormat="1" ht="24.95" customHeight="1">
      <c r="B261" s="51">
        <v>102</v>
      </c>
      <c r="C261" s="51">
        <v>6</v>
      </c>
      <c r="D261" s="67">
        <v>9</v>
      </c>
      <c r="E261" s="55">
        <v>9</v>
      </c>
      <c r="F261" s="54"/>
      <c r="G261" s="66">
        <v>2</v>
      </c>
      <c r="H261" s="66">
        <v>5</v>
      </c>
      <c r="I261" s="66">
        <v>4</v>
      </c>
      <c r="J261" s="66">
        <v>3</v>
      </c>
      <c r="K261" s="66">
        <v>5</v>
      </c>
      <c r="L261" s="66">
        <v>3</v>
      </c>
      <c r="M261" s="66">
        <v>3</v>
      </c>
      <c r="N261" s="66">
        <v>2</v>
      </c>
      <c r="O261" s="66">
        <v>2</v>
      </c>
      <c r="P261" s="78"/>
      <c r="Q261" s="68">
        <v>3</v>
      </c>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row>
    <row r="262" spans="2:90" s="32" customFormat="1" ht="24.95" customHeight="1">
      <c r="B262" s="51">
        <v>103</v>
      </c>
      <c r="C262" s="51">
        <v>6</v>
      </c>
      <c r="D262" s="67">
        <v>9</v>
      </c>
      <c r="E262" s="55">
        <v>6</v>
      </c>
      <c r="F262" s="54"/>
      <c r="G262" s="66">
        <v>4</v>
      </c>
      <c r="H262" s="66">
        <v>4</v>
      </c>
      <c r="I262" s="66">
        <v>5</v>
      </c>
      <c r="J262" s="66">
        <v>2</v>
      </c>
      <c r="K262" s="66">
        <v>5</v>
      </c>
      <c r="L262" s="66">
        <v>5</v>
      </c>
      <c r="M262" s="66">
        <v>4</v>
      </c>
      <c r="N262" s="66">
        <v>5</v>
      </c>
      <c r="O262" s="66">
        <v>5</v>
      </c>
      <c r="P262" s="78"/>
      <c r="Q262" s="68">
        <v>2</v>
      </c>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row>
    <row r="263" spans="2:90" s="32" customFormat="1" ht="24.95" customHeight="1">
      <c r="B263" s="51">
        <v>104</v>
      </c>
      <c r="C263" s="51">
        <v>6</v>
      </c>
      <c r="D263" s="67">
        <v>9</v>
      </c>
      <c r="E263" s="55">
        <v>9</v>
      </c>
      <c r="F263" s="54"/>
      <c r="G263" s="66">
        <v>3</v>
      </c>
      <c r="H263" s="66">
        <v>3</v>
      </c>
      <c r="I263" s="66">
        <v>2</v>
      </c>
      <c r="J263" s="66">
        <v>4</v>
      </c>
      <c r="K263" s="66">
        <v>5</v>
      </c>
      <c r="L263" s="66">
        <v>4</v>
      </c>
      <c r="M263" s="66">
        <v>4</v>
      </c>
      <c r="N263" s="66">
        <v>4</v>
      </c>
      <c r="O263" s="66">
        <v>4</v>
      </c>
      <c r="P263" s="78"/>
      <c r="Q263" s="68">
        <v>3</v>
      </c>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row>
    <row r="264" spans="2:90" s="32" customFormat="1" ht="24.95" customHeight="1">
      <c r="B264" s="51">
        <v>105</v>
      </c>
      <c r="C264" s="51">
        <v>6</v>
      </c>
      <c r="D264" s="67">
        <v>9</v>
      </c>
      <c r="E264" s="55">
        <v>3</v>
      </c>
      <c r="F264" s="54"/>
      <c r="G264" s="66">
        <v>4</v>
      </c>
      <c r="H264" s="66">
        <v>5</v>
      </c>
      <c r="I264" s="66">
        <v>4</v>
      </c>
      <c r="J264" s="66">
        <v>5</v>
      </c>
      <c r="K264" s="66">
        <v>4</v>
      </c>
      <c r="L264" s="66">
        <v>3</v>
      </c>
      <c r="M264" s="66">
        <v>3</v>
      </c>
      <c r="N264" s="66">
        <v>3</v>
      </c>
      <c r="O264" s="66">
        <v>3</v>
      </c>
      <c r="P264" s="78"/>
      <c r="Q264" s="68">
        <v>1</v>
      </c>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row>
    <row r="265" spans="2:90" s="32" customFormat="1" ht="24.95" customHeight="1">
      <c r="B265" s="51">
        <v>106</v>
      </c>
      <c r="C265" s="51">
        <v>6</v>
      </c>
      <c r="D265" s="67">
        <v>9</v>
      </c>
      <c r="E265" s="55">
        <v>3</v>
      </c>
      <c r="F265" s="54"/>
      <c r="G265" s="66">
        <v>3</v>
      </c>
      <c r="H265" s="66">
        <v>4</v>
      </c>
      <c r="I265" s="66">
        <v>4</v>
      </c>
      <c r="J265" s="66">
        <v>5</v>
      </c>
      <c r="K265" s="66">
        <v>5</v>
      </c>
      <c r="L265" s="66">
        <v>5</v>
      </c>
      <c r="M265" s="66">
        <v>3</v>
      </c>
      <c r="N265" s="66">
        <v>5</v>
      </c>
      <c r="O265" s="66">
        <v>2</v>
      </c>
      <c r="P265" s="78"/>
      <c r="Q265" s="68">
        <v>1</v>
      </c>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row>
    <row r="266" spans="2:90" s="32" customFormat="1" ht="24.95" customHeight="1">
      <c r="B266" s="51">
        <v>107</v>
      </c>
      <c r="C266" s="51">
        <v>6</v>
      </c>
      <c r="D266" s="67">
        <v>9</v>
      </c>
      <c r="E266" s="55">
        <v>9</v>
      </c>
      <c r="F266" s="54"/>
      <c r="G266" s="66">
        <v>5</v>
      </c>
      <c r="H266" s="66">
        <v>2</v>
      </c>
      <c r="I266" s="66">
        <v>4</v>
      </c>
      <c r="J266" s="66">
        <v>4</v>
      </c>
      <c r="K266" s="66">
        <v>3</v>
      </c>
      <c r="L266" s="66">
        <v>5</v>
      </c>
      <c r="M266" s="66">
        <v>4</v>
      </c>
      <c r="N266" s="66">
        <v>3</v>
      </c>
      <c r="O266" s="66">
        <v>3</v>
      </c>
      <c r="P266" s="78"/>
      <c r="Q266" s="68">
        <v>3</v>
      </c>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row>
    <row r="267" spans="2:90" s="32" customFormat="1" ht="24.95" customHeight="1">
      <c r="B267" s="51">
        <v>108</v>
      </c>
      <c r="C267" s="51">
        <v>6</v>
      </c>
      <c r="D267" s="67">
        <v>9</v>
      </c>
      <c r="E267" s="55">
        <v>2</v>
      </c>
      <c r="F267" s="54"/>
      <c r="G267" s="66">
        <v>4</v>
      </c>
      <c r="H267" s="66">
        <v>2</v>
      </c>
      <c r="I267" s="66">
        <v>4</v>
      </c>
      <c r="J267" s="66">
        <v>2</v>
      </c>
      <c r="K267" s="66">
        <v>3</v>
      </c>
      <c r="L267" s="66">
        <v>4</v>
      </c>
      <c r="M267" s="66">
        <v>3</v>
      </c>
      <c r="N267" s="66">
        <v>2</v>
      </c>
      <c r="O267" s="66">
        <v>2</v>
      </c>
      <c r="P267" s="78"/>
      <c r="Q267" s="68">
        <v>1</v>
      </c>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row>
    <row r="268" spans="2:90" s="32" customFormat="1" ht="24.95" customHeight="1">
      <c r="B268" s="51">
        <v>109</v>
      </c>
      <c r="C268" s="51">
        <v>6</v>
      </c>
      <c r="D268" s="67">
        <v>9</v>
      </c>
      <c r="E268" s="55">
        <v>9</v>
      </c>
      <c r="F268" s="54"/>
      <c r="G268" s="66">
        <v>5</v>
      </c>
      <c r="H268" s="66">
        <v>5</v>
      </c>
      <c r="I268" s="66">
        <v>3</v>
      </c>
      <c r="J268" s="66">
        <v>3</v>
      </c>
      <c r="K268" s="66">
        <v>5</v>
      </c>
      <c r="L268" s="66">
        <v>2</v>
      </c>
      <c r="M268" s="66">
        <v>5</v>
      </c>
      <c r="N268" s="66">
        <v>2</v>
      </c>
      <c r="O268" s="66">
        <v>5</v>
      </c>
      <c r="P268" s="78"/>
      <c r="Q268" s="68">
        <v>3</v>
      </c>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row>
    <row r="269" spans="2:90" s="32" customFormat="1" ht="24.95" customHeight="1">
      <c r="B269" s="51">
        <v>110</v>
      </c>
      <c r="C269" s="51">
        <v>6</v>
      </c>
      <c r="D269" s="67">
        <v>9</v>
      </c>
      <c r="E269" s="55">
        <v>9</v>
      </c>
      <c r="F269" s="54"/>
      <c r="G269" s="66">
        <v>5</v>
      </c>
      <c r="H269" s="66">
        <v>4</v>
      </c>
      <c r="I269" s="66">
        <v>3</v>
      </c>
      <c r="J269" s="66">
        <v>3</v>
      </c>
      <c r="K269" s="66">
        <v>4</v>
      </c>
      <c r="L269" s="66">
        <v>5</v>
      </c>
      <c r="M269" s="66">
        <v>5</v>
      </c>
      <c r="N269" s="66">
        <v>3</v>
      </c>
      <c r="O269" s="66">
        <v>2</v>
      </c>
      <c r="P269" s="78"/>
      <c r="Q269" s="68">
        <v>3</v>
      </c>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row>
    <row r="270" spans="2:90" s="32" customFormat="1" ht="24.95" customHeight="1">
      <c r="B270" s="51">
        <v>111</v>
      </c>
      <c r="C270" s="51">
        <v>6</v>
      </c>
      <c r="D270" s="67">
        <v>9</v>
      </c>
      <c r="E270" s="55">
        <v>6</v>
      </c>
      <c r="F270" s="54"/>
      <c r="G270" s="66">
        <v>5</v>
      </c>
      <c r="H270" s="66">
        <v>2</v>
      </c>
      <c r="I270" s="66">
        <v>3</v>
      </c>
      <c r="J270" s="66">
        <v>3</v>
      </c>
      <c r="K270" s="66">
        <v>5</v>
      </c>
      <c r="L270" s="66">
        <v>3</v>
      </c>
      <c r="M270" s="66">
        <v>5</v>
      </c>
      <c r="N270" s="66">
        <v>3</v>
      </c>
      <c r="O270" s="66">
        <v>4</v>
      </c>
      <c r="P270" s="78"/>
      <c r="Q270" s="68">
        <v>2</v>
      </c>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row>
    <row r="271" spans="2:90" s="32" customFormat="1" ht="24.95" customHeight="1">
      <c r="B271" s="51">
        <v>112</v>
      </c>
      <c r="C271" s="51">
        <v>6</v>
      </c>
      <c r="D271" s="67">
        <v>9</v>
      </c>
      <c r="E271" s="55">
        <v>9</v>
      </c>
      <c r="F271" s="54"/>
      <c r="G271" s="66">
        <v>5</v>
      </c>
      <c r="H271" s="66">
        <v>5</v>
      </c>
      <c r="I271" s="66">
        <v>4</v>
      </c>
      <c r="J271" s="66">
        <v>4</v>
      </c>
      <c r="K271" s="66">
        <v>3</v>
      </c>
      <c r="L271" s="66">
        <v>4</v>
      </c>
      <c r="M271" s="66">
        <v>4</v>
      </c>
      <c r="N271" s="66">
        <v>5</v>
      </c>
      <c r="O271" s="66">
        <v>3</v>
      </c>
      <c r="P271" s="78"/>
      <c r="Q271" s="68">
        <v>3</v>
      </c>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row>
    <row r="272" spans="2:90" s="32" customFormat="1" ht="24.95" customHeight="1">
      <c r="B272" s="51">
        <v>113</v>
      </c>
      <c r="C272" s="51">
        <v>6</v>
      </c>
      <c r="D272" s="67">
        <v>9</v>
      </c>
      <c r="E272" s="55">
        <v>9</v>
      </c>
      <c r="F272" s="54"/>
      <c r="G272" s="66">
        <v>4</v>
      </c>
      <c r="H272" s="66">
        <v>4</v>
      </c>
      <c r="I272" s="66">
        <v>5</v>
      </c>
      <c r="J272" s="66">
        <v>3</v>
      </c>
      <c r="K272" s="66">
        <v>5</v>
      </c>
      <c r="L272" s="66">
        <v>2</v>
      </c>
      <c r="M272" s="66">
        <v>3</v>
      </c>
      <c r="N272" s="66">
        <v>2</v>
      </c>
      <c r="O272" s="66">
        <v>4</v>
      </c>
      <c r="P272" s="78"/>
      <c r="Q272" s="68">
        <v>3</v>
      </c>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row>
    <row r="273" spans="2:90" s="32" customFormat="1" ht="24.95" customHeight="1">
      <c r="B273" s="51">
        <v>114</v>
      </c>
      <c r="C273" s="51">
        <v>6</v>
      </c>
      <c r="D273" s="67">
        <v>9</v>
      </c>
      <c r="E273" s="55">
        <v>3</v>
      </c>
      <c r="F273" s="54"/>
      <c r="G273" s="66">
        <v>2</v>
      </c>
      <c r="H273" s="66">
        <v>3</v>
      </c>
      <c r="I273" s="66">
        <v>5</v>
      </c>
      <c r="J273" s="66">
        <v>5</v>
      </c>
      <c r="K273" s="66">
        <v>2</v>
      </c>
      <c r="L273" s="66">
        <v>2</v>
      </c>
      <c r="M273" s="66">
        <v>2</v>
      </c>
      <c r="N273" s="66">
        <v>2</v>
      </c>
      <c r="O273" s="66">
        <v>5</v>
      </c>
      <c r="P273" s="78"/>
      <c r="Q273" s="68">
        <v>1</v>
      </c>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row>
    <row r="274" spans="2:90" s="32" customFormat="1" ht="24.95" customHeight="1">
      <c r="B274" s="51">
        <v>115</v>
      </c>
      <c r="C274" s="51">
        <v>6</v>
      </c>
      <c r="D274" s="67">
        <v>9</v>
      </c>
      <c r="E274" s="55">
        <v>9</v>
      </c>
      <c r="F274" s="54"/>
      <c r="G274" s="66">
        <v>3</v>
      </c>
      <c r="H274" s="66">
        <v>5</v>
      </c>
      <c r="I274" s="66">
        <v>2</v>
      </c>
      <c r="J274" s="66">
        <v>2</v>
      </c>
      <c r="K274" s="66">
        <v>5</v>
      </c>
      <c r="L274" s="66">
        <v>3</v>
      </c>
      <c r="M274" s="66">
        <v>2</v>
      </c>
      <c r="N274" s="66">
        <v>4</v>
      </c>
      <c r="O274" s="66">
        <v>4</v>
      </c>
      <c r="P274" s="78"/>
      <c r="Q274" s="68">
        <v>3</v>
      </c>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row>
    <row r="275" spans="2:90" s="32" customFormat="1" ht="24.95" customHeight="1">
      <c r="B275" s="51">
        <v>116</v>
      </c>
      <c r="C275" s="51">
        <v>6</v>
      </c>
      <c r="D275" s="67">
        <v>9</v>
      </c>
      <c r="E275" s="55">
        <v>9</v>
      </c>
      <c r="F275" s="54"/>
      <c r="G275" s="66">
        <v>5</v>
      </c>
      <c r="H275" s="66">
        <v>5</v>
      </c>
      <c r="I275" s="66">
        <v>3</v>
      </c>
      <c r="J275" s="66">
        <v>2</v>
      </c>
      <c r="K275" s="66">
        <v>4</v>
      </c>
      <c r="L275" s="66">
        <v>4</v>
      </c>
      <c r="M275" s="66">
        <v>5</v>
      </c>
      <c r="N275" s="66">
        <v>3</v>
      </c>
      <c r="O275" s="66">
        <v>5</v>
      </c>
      <c r="P275" s="78"/>
      <c r="Q275" s="68">
        <v>3</v>
      </c>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row>
    <row r="276" spans="2:90" s="32" customFormat="1" ht="24.95" customHeight="1">
      <c r="B276" s="51">
        <v>117</v>
      </c>
      <c r="C276" s="51">
        <v>6</v>
      </c>
      <c r="D276" s="67">
        <v>9</v>
      </c>
      <c r="E276" s="55">
        <v>3</v>
      </c>
      <c r="F276" s="54"/>
      <c r="G276" s="66">
        <v>2</v>
      </c>
      <c r="H276" s="66">
        <v>5</v>
      </c>
      <c r="I276" s="66">
        <v>4</v>
      </c>
      <c r="J276" s="66">
        <v>3</v>
      </c>
      <c r="K276" s="66">
        <v>3</v>
      </c>
      <c r="L276" s="66">
        <v>5</v>
      </c>
      <c r="M276" s="66">
        <v>5</v>
      </c>
      <c r="N276" s="66">
        <v>5</v>
      </c>
      <c r="O276" s="66">
        <v>3</v>
      </c>
      <c r="P276" s="78"/>
      <c r="Q276" s="68">
        <v>1</v>
      </c>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row>
    <row r="277" spans="2:90" s="32" customFormat="1" ht="24.95" customHeight="1">
      <c r="B277" s="51">
        <v>118</v>
      </c>
      <c r="C277" s="51">
        <v>6</v>
      </c>
      <c r="D277" s="67">
        <v>9</v>
      </c>
      <c r="E277" s="55">
        <v>6</v>
      </c>
      <c r="F277" s="54"/>
      <c r="G277" s="66">
        <v>5</v>
      </c>
      <c r="H277" s="66">
        <v>2</v>
      </c>
      <c r="I277" s="66">
        <v>3</v>
      </c>
      <c r="J277" s="66">
        <v>5</v>
      </c>
      <c r="K277" s="66">
        <v>3</v>
      </c>
      <c r="L277" s="66">
        <v>2</v>
      </c>
      <c r="M277" s="66">
        <v>5</v>
      </c>
      <c r="N277" s="66">
        <v>4</v>
      </c>
      <c r="O277" s="66">
        <v>3</v>
      </c>
      <c r="P277" s="78"/>
      <c r="Q277" s="68">
        <v>2</v>
      </c>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row>
    <row r="278" spans="2:90" s="32" customFormat="1" ht="24.95" customHeight="1">
      <c r="B278" s="51">
        <v>119</v>
      </c>
      <c r="C278" s="51">
        <v>6</v>
      </c>
      <c r="D278" s="67">
        <v>9</v>
      </c>
      <c r="E278" s="55">
        <v>6</v>
      </c>
      <c r="F278" s="54"/>
      <c r="G278" s="66">
        <v>4</v>
      </c>
      <c r="H278" s="66">
        <v>2</v>
      </c>
      <c r="I278" s="66">
        <v>3</v>
      </c>
      <c r="J278" s="66">
        <v>3</v>
      </c>
      <c r="K278" s="66">
        <v>5</v>
      </c>
      <c r="L278" s="66">
        <v>4</v>
      </c>
      <c r="M278" s="66">
        <v>3</v>
      </c>
      <c r="N278" s="66">
        <v>5</v>
      </c>
      <c r="O278" s="66">
        <v>5</v>
      </c>
      <c r="P278" s="78"/>
      <c r="Q278" s="68">
        <v>2</v>
      </c>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row>
    <row r="279" spans="2:90" s="32" customFormat="1" ht="24.95" customHeight="1">
      <c r="B279" s="51">
        <v>120</v>
      </c>
      <c r="C279" s="51">
        <v>6</v>
      </c>
      <c r="D279" s="67">
        <v>9</v>
      </c>
      <c r="E279" s="55">
        <v>9</v>
      </c>
      <c r="F279" s="54"/>
      <c r="G279" s="66">
        <v>2</v>
      </c>
      <c r="H279" s="66">
        <v>5</v>
      </c>
      <c r="I279" s="66">
        <v>3</v>
      </c>
      <c r="J279" s="66">
        <v>3</v>
      </c>
      <c r="K279" s="66">
        <v>4</v>
      </c>
      <c r="L279" s="66">
        <v>2</v>
      </c>
      <c r="M279" s="66">
        <v>3</v>
      </c>
      <c r="N279" s="66">
        <v>3</v>
      </c>
      <c r="O279" s="66">
        <v>5</v>
      </c>
      <c r="P279" s="78"/>
      <c r="Q279" s="68">
        <v>3</v>
      </c>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row>
    <row r="280" spans="2:90" s="32" customFormat="1" ht="15.75" thickBot="1">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row>
    <row r="281" spans="2:90" s="32" customFormat="1" ht="22.5" customHeight="1" thickBot="1">
      <c r="B281" s="57" t="s">
        <v>51</v>
      </c>
      <c r="C281" s="79" t="s">
        <v>52</v>
      </c>
      <c r="D281" s="59"/>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row>
    <row r="282" spans="2:90" s="32" customFormat="1" ht="15" customHeight="1">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row>
    <row r="283" spans="2:90" s="32" customFormat="1" ht="15" customHeight="1">
      <c r="B283" s="60" t="s">
        <v>137</v>
      </c>
      <c r="C283" s="71"/>
      <c r="D283" s="16"/>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row>
    <row r="284" spans="2:90" s="32" customFormat="1" ht="15" customHeight="1">
      <c r="B284" s="62" t="s">
        <v>138</v>
      </c>
      <c r="C284" s="71"/>
      <c r="D284" s="16"/>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row>
    <row r="285" spans="2:90" s="32" customFormat="1" ht="15" customHeight="1">
      <c r="B285" s="62" t="s">
        <v>139</v>
      </c>
      <c r="C285" s="71"/>
      <c r="D285" s="16"/>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row>
    <row r="286" spans="2:90" s="32" customFormat="1" ht="15" customHeight="1">
      <c r="B286" s="62"/>
      <c r="C286" s="71"/>
      <c r="D286" s="16"/>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row>
    <row r="287" spans="2:90" s="32" customFormat="1" ht="15" customHeight="1">
      <c r="B287" s="60" t="s">
        <v>140</v>
      </c>
      <c r="C287" s="71"/>
      <c r="D287" s="16"/>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row>
    <row r="288" spans="2:90" s="32" customFormat="1" ht="15" customHeight="1">
      <c r="B288" s="62" t="s">
        <v>142</v>
      </c>
      <c r="C288" s="71"/>
      <c r="D288" s="16"/>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row>
    <row r="289" spans="2:141" s="32" customFormat="1" ht="15" customHeight="1">
      <c r="B289" s="76" t="s">
        <v>141</v>
      </c>
      <c r="C289" s="71"/>
      <c r="D289" s="16"/>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row>
    <row r="290" spans="2:141" s="32" customFormat="1" ht="15" customHeight="1">
      <c r="B290" s="62" t="s">
        <v>143</v>
      </c>
      <c r="C290" s="71"/>
      <c r="D290" s="16"/>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row>
    <row r="291" spans="2:141" s="32" customFormat="1" ht="15" customHeight="1">
      <c r="B291" s="62" t="s">
        <v>144</v>
      </c>
      <c r="C291" s="71"/>
      <c r="D291" s="16"/>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row>
    <row r="292" spans="2:141" s="32" customFormat="1" ht="15" customHeight="1">
      <c r="C292" s="62"/>
      <c r="D292" s="16"/>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row>
    <row r="293" spans="2:141" s="83" customFormat="1" ht="15" customHeight="1">
      <c r="B293" s="63" t="s">
        <v>34</v>
      </c>
      <c r="C293" s="80"/>
      <c r="D293" s="81"/>
      <c r="E293" s="82"/>
      <c r="F293" s="82"/>
      <c r="G293" s="82"/>
    </row>
    <row r="294" spans="2:141" s="32" customFormat="1" ht="15" customHeight="1">
      <c r="B294" s="61" t="s">
        <v>123</v>
      </c>
      <c r="D294" s="50"/>
      <c r="E294" s="33"/>
      <c r="F294" s="33"/>
      <c r="G294" s="33"/>
      <c r="K294" s="8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row>
    <row r="295" spans="2:141" s="32" customFormat="1" ht="15" customHeight="1">
      <c r="B295" s="61" t="s">
        <v>124</v>
      </c>
      <c r="D295" s="50"/>
      <c r="E295" s="33"/>
      <c r="F295" s="33"/>
      <c r="G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row>
    <row r="296" spans="2:141" s="32" customFormat="1" ht="15" customHeight="1" thickBot="1">
      <c r="B296" s="61" t="s">
        <v>125</v>
      </c>
      <c r="D296" s="50"/>
      <c r="E296" s="33"/>
      <c r="F296" s="33"/>
      <c r="G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row>
    <row r="297" spans="2:141" s="50" customFormat="1" ht="22.5" customHeight="1" thickBot="1">
      <c r="B297" s="16"/>
      <c r="C297" s="16"/>
      <c r="D297" s="16"/>
      <c r="E297" s="16"/>
      <c r="F297" s="16"/>
      <c r="G297" s="110" t="s">
        <v>90</v>
      </c>
      <c r="H297" s="111"/>
      <c r="I297" s="111"/>
      <c r="J297" s="111"/>
      <c r="K297" s="111"/>
      <c r="L297" s="111"/>
      <c r="M297" s="111"/>
      <c r="N297" s="111"/>
      <c r="O297" s="112"/>
      <c r="Q297" s="33"/>
      <c r="R297" s="33"/>
      <c r="S297" s="33"/>
      <c r="T297" s="33"/>
      <c r="U297" s="33"/>
      <c r="V297" s="33"/>
      <c r="W297" s="33"/>
      <c r="X297" s="33"/>
      <c r="Y297" s="33"/>
      <c r="Z297" s="33"/>
      <c r="AA297" s="33"/>
      <c r="AB297" s="33"/>
      <c r="AC297" s="33"/>
      <c r="AD297" s="33"/>
      <c r="AE297" s="33"/>
      <c r="AF297" s="33"/>
      <c r="AG297" s="33"/>
      <c r="AH297" s="33"/>
    </row>
    <row r="298" spans="2:141" s="50" customFormat="1" ht="22.5" customHeight="1" thickBot="1">
      <c r="B298" s="47" t="s">
        <v>8</v>
      </c>
      <c r="C298" s="48" t="s">
        <v>9</v>
      </c>
      <c r="D298" s="47" t="s">
        <v>10</v>
      </c>
      <c r="E298" s="64" t="s">
        <v>11</v>
      </c>
      <c r="F298" s="16"/>
      <c r="G298" s="47" t="s">
        <v>12</v>
      </c>
      <c r="H298" s="47" t="s">
        <v>13</v>
      </c>
      <c r="I298" s="47" t="s">
        <v>14</v>
      </c>
      <c r="J298" s="47" t="s">
        <v>15</v>
      </c>
      <c r="K298" s="47" t="s">
        <v>16</v>
      </c>
      <c r="L298" s="47" t="s">
        <v>17</v>
      </c>
      <c r="M298" s="47" t="s">
        <v>18</v>
      </c>
      <c r="N298" s="47" t="s">
        <v>19</v>
      </c>
      <c r="O298" s="47" t="s">
        <v>20</v>
      </c>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2"/>
      <c r="AQ298" s="32"/>
      <c r="AR298" s="32"/>
      <c r="AS298" s="32"/>
      <c r="AT298" s="32"/>
      <c r="AU298" s="32"/>
      <c r="AV298" s="32"/>
      <c r="AW298" s="32"/>
      <c r="AX298" s="32"/>
      <c r="AY298" s="32"/>
      <c r="AZ298" s="32"/>
      <c r="BA298" s="32"/>
      <c r="BB298" s="32"/>
      <c r="BC298" s="32"/>
      <c r="BD298" s="32"/>
      <c r="BE298" s="32"/>
      <c r="BF298" s="32"/>
      <c r="BG298" s="32"/>
      <c r="BH298" s="32"/>
      <c r="BI298" s="32"/>
      <c r="BJ298" s="32"/>
      <c r="BK298" s="32"/>
      <c r="BL298" s="32"/>
      <c r="BM298" s="32"/>
      <c r="BN298" s="32"/>
      <c r="BO298" s="32"/>
      <c r="BP298" s="32"/>
      <c r="BQ298" s="32"/>
      <c r="BR298" s="32"/>
      <c r="BS298" s="32"/>
      <c r="BT298" s="32"/>
      <c r="BU298" s="32"/>
      <c r="BV298" s="32"/>
      <c r="BW298" s="32"/>
      <c r="BX298" s="32"/>
      <c r="BY298" s="32"/>
      <c r="BZ298" s="32"/>
      <c r="CA298" s="32"/>
      <c r="CB298" s="32"/>
      <c r="CC298" s="32"/>
      <c r="CD298" s="32"/>
      <c r="CE298" s="32"/>
      <c r="CF298" s="32"/>
      <c r="CG298" s="32"/>
      <c r="CH298" s="32"/>
      <c r="CI298" s="32"/>
      <c r="CJ298" s="32"/>
      <c r="CK298" s="32"/>
      <c r="CL298" s="32"/>
      <c r="CM298" s="32"/>
      <c r="CN298" s="32"/>
      <c r="CO298" s="32"/>
      <c r="CP298" s="32"/>
      <c r="CQ298" s="32"/>
      <c r="CR298" s="32"/>
      <c r="CS298" s="32"/>
      <c r="CT298" s="32"/>
      <c r="CU298" s="32"/>
      <c r="CV298" s="32"/>
      <c r="CW298" s="32"/>
      <c r="CX298" s="32"/>
      <c r="CY298" s="32"/>
      <c r="CZ298" s="32"/>
      <c r="DA298" s="32"/>
      <c r="DB298" s="32"/>
      <c r="DC298" s="32"/>
      <c r="DD298" s="32"/>
      <c r="DE298" s="32"/>
      <c r="DF298" s="32"/>
      <c r="DG298" s="32"/>
      <c r="DH298" s="32"/>
      <c r="DI298" s="32"/>
      <c r="DJ298" s="32"/>
      <c r="DK298" s="32"/>
      <c r="DL298" s="32"/>
      <c r="DM298" s="32"/>
      <c r="DN298" s="32"/>
      <c r="DO298" s="32"/>
      <c r="DP298" s="32"/>
      <c r="DQ298" s="32"/>
      <c r="DR298" s="32"/>
      <c r="DS298" s="32"/>
      <c r="DT298" s="32"/>
      <c r="DU298" s="32"/>
      <c r="DV298" s="32"/>
      <c r="DW298" s="32"/>
      <c r="DX298" s="32"/>
      <c r="DY298" s="32"/>
      <c r="DZ298" s="32"/>
      <c r="EA298" s="32"/>
      <c r="EB298" s="32"/>
      <c r="EC298" s="32"/>
      <c r="ED298" s="32"/>
      <c r="EE298" s="32"/>
      <c r="EF298" s="32"/>
      <c r="EG298" s="32"/>
      <c r="EH298" s="32"/>
      <c r="EI298" s="32"/>
      <c r="EJ298" s="32"/>
      <c r="EK298" s="32"/>
    </row>
    <row r="299" spans="2:141" s="32" customFormat="1" ht="15" customHeight="1">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row>
    <row r="300" spans="2:141" s="32" customFormat="1" ht="24.95" customHeight="1">
      <c r="B300" s="65" t="s">
        <v>53</v>
      </c>
      <c r="C300" s="51">
        <v>7</v>
      </c>
      <c r="D300" s="52">
        <v>0</v>
      </c>
      <c r="E300" s="55">
        <v>80</v>
      </c>
      <c r="F300" s="54"/>
      <c r="G300" s="66">
        <v>3</v>
      </c>
      <c r="H300" s="66">
        <v>5</v>
      </c>
      <c r="I300" s="66">
        <v>3</v>
      </c>
      <c r="J300" s="66">
        <v>4</v>
      </c>
      <c r="K300" s="66">
        <v>3</v>
      </c>
      <c r="L300" s="66">
        <v>3</v>
      </c>
      <c r="M300" s="66">
        <v>2</v>
      </c>
      <c r="N300" s="66">
        <v>3</v>
      </c>
      <c r="O300" s="66">
        <v>3</v>
      </c>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row>
    <row r="301" spans="2:141">
      <c r="K301" s="32"/>
      <c r="L301" s="32"/>
      <c r="M301" s="32"/>
      <c r="N301" s="32"/>
      <c r="O301" s="32"/>
      <c r="AP301" s="32"/>
      <c r="AQ301" s="32"/>
      <c r="AR301" s="32"/>
      <c r="AS301" s="32"/>
      <c r="AT301" s="32"/>
      <c r="AU301" s="32"/>
      <c r="AV301" s="32"/>
      <c r="AW301" s="32"/>
      <c r="AX301" s="32"/>
      <c r="AY301" s="32"/>
      <c r="AZ301" s="32"/>
      <c r="BA301" s="32"/>
      <c r="BB301" s="32"/>
      <c r="BC301" s="32"/>
      <c r="BD301" s="32"/>
      <c r="BE301" s="32"/>
      <c r="BF301" s="32"/>
      <c r="BG301" s="32"/>
      <c r="BH301" s="32"/>
      <c r="BI301" s="32"/>
      <c r="BJ301" s="32"/>
      <c r="BK301" s="32"/>
      <c r="BL301" s="32"/>
      <c r="BM301" s="32"/>
      <c r="BN301" s="32"/>
      <c r="BO301" s="32"/>
      <c r="BP301" s="32"/>
      <c r="BQ301" s="32"/>
      <c r="BR301" s="32"/>
      <c r="BS301" s="32"/>
      <c r="BT301" s="32"/>
      <c r="BU301" s="32"/>
      <c r="BV301" s="32"/>
      <c r="BW301" s="32"/>
      <c r="BX301" s="32"/>
      <c r="BY301" s="32"/>
      <c r="BZ301" s="32"/>
      <c r="CA301" s="32"/>
      <c r="CB301" s="32"/>
      <c r="CC301" s="32"/>
      <c r="CD301" s="32"/>
      <c r="CE301" s="32"/>
      <c r="CF301" s="32"/>
      <c r="CG301" s="32"/>
      <c r="CH301" s="32"/>
      <c r="CI301" s="32"/>
      <c r="CJ301" s="32"/>
      <c r="CK301" s="32"/>
      <c r="CL301" s="32"/>
      <c r="CM301" s="32"/>
      <c r="CN301" s="32"/>
      <c r="CO301" s="32"/>
      <c r="CP301" s="32"/>
      <c r="CQ301" s="32"/>
      <c r="CR301" s="32"/>
      <c r="CS301" s="32"/>
      <c r="CT301" s="32"/>
      <c r="CU301" s="32"/>
      <c r="CV301" s="32"/>
      <c r="CW301" s="32"/>
      <c r="CX301" s="32"/>
      <c r="CY301" s="32"/>
      <c r="CZ301" s="32"/>
      <c r="DA301" s="32"/>
      <c r="DB301" s="32"/>
      <c r="DC301" s="32"/>
      <c r="DD301" s="32"/>
      <c r="DE301" s="32"/>
      <c r="DF301" s="32"/>
      <c r="DG301" s="32"/>
      <c r="DH301" s="32"/>
      <c r="DI301" s="32"/>
      <c r="DJ301" s="32"/>
      <c r="DK301" s="32"/>
      <c r="DL301" s="32"/>
      <c r="DM301" s="32"/>
      <c r="DN301" s="32"/>
      <c r="DO301" s="32"/>
      <c r="DP301" s="32"/>
      <c r="DQ301" s="32"/>
      <c r="DR301" s="32"/>
      <c r="DS301" s="32"/>
      <c r="DT301" s="32"/>
      <c r="DU301" s="32"/>
      <c r="DV301" s="32"/>
      <c r="DW301" s="32"/>
      <c r="DX301" s="32"/>
      <c r="DY301" s="32"/>
      <c r="DZ301" s="32"/>
      <c r="EA301" s="32"/>
      <c r="EB301" s="32"/>
      <c r="EC301" s="32"/>
      <c r="ED301" s="32"/>
      <c r="EE301" s="32"/>
      <c r="EF301" s="32"/>
      <c r="EG301" s="32"/>
      <c r="EH301" s="32"/>
      <c r="EI301" s="32"/>
      <c r="EJ301" s="32"/>
      <c r="EK301" s="32"/>
    </row>
    <row r="302" spans="2:141" s="32" customFormat="1" ht="24.95" customHeight="1">
      <c r="B302" s="51">
        <v>121</v>
      </c>
      <c r="C302" s="51">
        <v>7</v>
      </c>
      <c r="D302" s="67">
        <v>11</v>
      </c>
      <c r="E302" s="55">
        <v>95</v>
      </c>
      <c r="F302" s="54"/>
      <c r="G302" s="68">
        <v>4</v>
      </c>
      <c r="H302" s="68">
        <v>4</v>
      </c>
      <c r="I302" s="68">
        <v>2</v>
      </c>
      <c r="J302" s="68">
        <v>5</v>
      </c>
      <c r="K302" s="68">
        <v>2</v>
      </c>
      <c r="L302" s="68">
        <v>4</v>
      </c>
      <c r="M302" s="68">
        <v>5</v>
      </c>
      <c r="N302" s="68">
        <v>5</v>
      </c>
      <c r="O302" s="68">
        <v>4</v>
      </c>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row>
    <row r="303" spans="2:141" s="32" customFormat="1" ht="24.95" customHeight="1">
      <c r="B303" s="51">
        <v>122</v>
      </c>
      <c r="C303" s="51">
        <v>7</v>
      </c>
      <c r="D303" s="67">
        <v>11</v>
      </c>
      <c r="E303" s="55">
        <v>89</v>
      </c>
      <c r="F303" s="54"/>
      <c r="G303" s="66">
        <v>2</v>
      </c>
      <c r="H303" s="66">
        <v>5</v>
      </c>
      <c r="I303" s="66">
        <v>2</v>
      </c>
      <c r="J303" s="66">
        <v>3</v>
      </c>
      <c r="K303" s="66">
        <v>2</v>
      </c>
      <c r="L303" s="66">
        <v>2</v>
      </c>
      <c r="M303" s="66">
        <v>2</v>
      </c>
      <c r="N303" s="66">
        <v>3</v>
      </c>
      <c r="O303" s="66">
        <v>5</v>
      </c>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row>
    <row r="304" spans="2:141" s="32" customFormat="1" ht="24.95" customHeight="1">
      <c r="B304" s="51">
        <v>123</v>
      </c>
      <c r="C304" s="51">
        <v>7</v>
      </c>
      <c r="D304" s="67">
        <v>11</v>
      </c>
      <c r="E304" s="55">
        <v>82</v>
      </c>
      <c r="F304" s="54"/>
      <c r="G304" s="66">
        <v>3</v>
      </c>
      <c r="H304" s="66">
        <v>4</v>
      </c>
      <c r="I304" s="66">
        <v>2</v>
      </c>
      <c r="J304" s="66">
        <v>3</v>
      </c>
      <c r="K304" s="66">
        <v>2</v>
      </c>
      <c r="L304" s="66">
        <v>5</v>
      </c>
      <c r="M304" s="66">
        <v>2</v>
      </c>
      <c r="N304" s="66">
        <v>3</v>
      </c>
      <c r="O304" s="66">
        <v>4</v>
      </c>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row>
    <row r="305" spans="2:41" s="32" customFormat="1" ht="24.95" customHeight="1">
      <c r="B305" s="51">
        <v>124</v>
      </c>
      <c r="C305" s="51">
        <v>7</v>
      </c>
      <c r="D305" s="67">
        <v>11</v>
      </c>
      <c r="E305" s="55">
        <v>82</v>
      </c>
      <c r="F305" s="54"/>
      <c r="G305" s="66">
        <v>2</v>
      </c>
      <c r="H305" s="66">
        <v>4</v>
      </c>
      <c r="I305" s="66">
        <v>4</v>
      </c>
      <c r="J305" s="66">
        <v>2</v>
      </c>
      <c r="K305" s="66">
        <v>5</v>
      </c>
      <c r="L305" s="66">
        <v>4</v>
      </c>
      <c r="M305" s="66">
        <v>4</v>
      </c>
      <c r="N305" s="66">
        <v>4</v>
      </c>
      <c r="O305" s="66">
        <v>2</v>
      </c>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row>
    <row r="306" spans="2:41" s="32" customFormat="1" ht="24.95" customHeight="1">
      <c r="B306" s="51">
        <v>125</v>
      </c>
      <c r="C306" s="51">
        <v>7</v>
      </c>
      <c r="D306" s="67">
        <v>11</v>
      </c>
      <c r="E306" s="55">
        <v>95</v>
      </c>
      <c r="F306" s="54"/>
      <c r="G306" s="66">
        <v>4</v>
      </c>
      <c r="H306" s="66">
        <v>5</v>
      </c>
      <c r="I306" s="66">
        <v>3</v>
      </c>
      <c r="J306" s="66">
        <v>3</v>
      </c>
      <c r="K306" s="66">
        <v>5</v>
      </c>
      <c r="L306" s="66">
        <v>3</v>
      </c>
      <c r="M306" s="66">
        <v>5</v>
      </c>
      <c r="N306" s="66">
        <v>2</v>
      </c>
      <c r="O306" s="66">
        <v>5</v>
      </c>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row>
    <row r="307" spans="2:41" s="32" customFormat="1" ht="24.95" customHeight="1">
      <c r="B307" s="51">
        <v>126</v>
      </c>
      <c r="C307" s="51">
        <v>7</v>
      </c>
      <c r="D307" s="67">
        <v>11</v>
      </c>
      <c r="E307" s="55">
        <v>60</v>
      </c>
      <c r="F307" s="54"/>
      <c r="G307" s="66">
        <v>2</v>
      </c>
      <c r="H307" s="66">
        <v>4</v>
      </c>
      <c r="I307" s="66">
        <v>2</v>
      </c>
      <c r="J307" s="66">
        <v>3</v>
      </c>
      <c r="K307" s="66">
        <v>2</v>
      </c>
      <c r="L307" s="66">
        <v>4</v>
      </c>
      <c r="M307" s="66">
        <v>3</v>
      </c>
      <c r="N307" s="66">
        <v>3</v>
      </c>
      <c r="O307" s="66">
        <v>2</v>
      </c>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row>
    <row r="308" spans="2:41" s="32" customFormat="1" ht="24.95" customHeight="1">
      <c r="B308" s="51">
        <v>127</v>
      </c>
      <c r="C308" s="51">
        <v>7</v>
      </c>
      <c r="D308" s="67">
        <v>11</v>
      </c>
      <c r="E308" s="55">
        <v>92</v>
      </c>
      <c r="F308" s="54"/>
      <c r="G308" s="66">
        <v>3</v>
      </c>
      <c r="H308" s="66">
        <v>2</v>
      </c>
      <c r="I308" s="66">
        <v>4</v>
      </c>
      <c r="J308" s="66">
        <v>2</v>
      </c>
      <c r="K308" s="66">
        <v>5</v>
      </c>
      <c r="L308" s="66">
        <v>4</v>
      </c>
      <c r="M308" s="66">
        <v>2</v>
      </c>
      <c r="N308" s="66">
        <v>3</v>
      </c>
      <c r="O308" s="66">
        <v>5</v>
      </c>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row>
    <row r="309" spans="2:41" s="32" customFormat="1" ht="24.95" customHeight="1">
      <c r="B309" s="51">
        <v>128</v>
      </c>
      <c r="C309" s="51">
        <v>7</v>
      </c>
      <c r="D309" s="67">
        <v>11</v>
      </c>
      <c r="E309" s="55">
        <v>95</v>
      </c>
      <c r="F309" s="54"/>
      <c r="G309" s="66">
        <v>3</v>
      </c>
      <c r="H309" s="66">
        <v>2</v>
      </c>
      <c r="I309" s="66">
        <v>5</v>
      </c>
      <c r="J309" s="66">
        <v>3</v>
      </c>
      <c r="K309" s="66">
        <v>5</v>
      </c>
      <c r="L309" s="66">
        <v>2</v>
      </c>
      <c r="M309" s="66">
        <v>4</v>
      </c>
      <c r="N309" s="66">
        <v>5</v>
      </c>
      <c r="O309" s="66">
        <v>3</v>
      </c>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row>
    <row r="310" spans="2:41" s="32" customFormat="1" ht="24.95" customHeight="1">
      <c r="B310" s="51">
        <v>129</v>
      </c>
      <c r="C310" s="51">
        <v>7</v>
      </c>
      <c r="D310" s="67">
        <v>11</v>
      </c>
      <c r="E310" s="55">
        <v>95</v>
      </c>
      <c r="F310" s="54"/>
      <c r="G310" s="66">
        <v>5</v>
      </c>
      <c r="H310" s="66">
        <v>5</v>
      </c>
      <c r="I310" s="66">
        <v>3</v>
      </c>
      <c r="J310" s="66">
        <v>4</v>
      </c>
      <c r="K310" s="66">
        <v>2</v>
      </c>
      <c r="L310" s="66">
        <v>4</v>
      </c>
      <c r="M310" s="66">
        <v>5</v>
      </c>
      <c r="N310" s="66">
        <v>4</v>
      </c>
      <c r="O310" s="66">
        <v>2</v>
      </c>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row>
    <row r="311" spans="2:41" s="32" customFormat="1" ht="24.95" customHeight="1">
      <c r="B311" s="51">
        <v>130</v>
      </c>
      <c r="C311" s="51">
        <v>7</v>
      </c>
      <c r="D311" s="67">
        <v>11</v>
      </c>
      <c r="E311" s="55">
        <v>95</v>
      </c>
      <c r="F311" s="54"/>
      <c r="G311" s="66">
        <v>5</v>
      </c>
      <c r="H311" s="66">
        <v>2</v>
      </c>
      <c r="I311" s="66">
        <v>3</v>
      </c>
      <c r="J311" s="66">
        <v>5</v>
      </c>
      <c r="K311" s="66">
        <v>3</v>
      </c>
      <c r="L311" s="66">
        <v>4</v>
      </c>
      <c r="M311" s="66">
        <v>5</v>
      </c>
      <c r="N311" s="66">
        <v>4</v>
      </c>
      <c r="O311" s="66">
        <v>2</v>
      </c>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row>
    <row r="312" spans="2:41" s="32" customFormat="1" ht="24.95" customHeight="1">
      <c r="B312" s="51">
        <v>131</v>
      </c>
      <c r="C312" s="51">
        <v>7</v>
      </c>
      <c r="D312" s="67">
        <v>11</v>
      </c>
      <c r="E312" s="55">
        <v>95</v>
      </c>
      <c r="F312" s="54"/>
      <c r="G312" s="66">
        <v>4</v>
      </c>
      <c r="H312" s="66">
        <v>4</v>
      </c>
      <c r="I312" s="66">
        <v>5</v>
      </c>
      <c r="J312" s="66">
        <v>2</v>
      </c>
      <c r="K312" s="66">
        <v>4</v>
      </c>
      <c r="L312" s="66">
        <v>5</v>
      </c>
      <c r="M312" s="66">
        <v>5</v>
      </c>
      <c r="N312" s="66">
        <v>3</v>
      </c>
      <c r="O312" s="66">
        <v>5</v>
      </c>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row>
    <row r="313" spans="2:41" s="32" customFormat="1" ht="24.95" customHeight="1">
      <c r="B313" s="51">
        <v>132</v>
      </c>
      <c r="C313" s="51">
        <v>7</v>
      </c>
      <c r="D313" s="67">
        <v>11</v>
      </c>
      <c r="E313" s="55">
        <v>95</v>
      </c>
      <c r="F313" s="54"/>
      <c r="G313" s="66">
        <v>5</v>
      </c>
      <c r="H313" s="66">
        <v>5</v>
      </c>
      <c r="I313" s="66">
        <v>2</v>
      </c>
      <c r="J313" s="66">
        <v>3</v>
      </c>
      <c r="K313" s="66">
        <v>4</v>
      </c>
      <c r="L313" s="66">
        <v>5</v>
      </c>
      <c r="M313" s="66">
        <v>4</v>
      </c>
      <c r="N313" s="66">
        <v>5</v>
      </c>
      <c r="O313" s="66">
        <v>2</v>
      </c>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row>
    <row r="314" spans="2:41" s="32" customFormat="1" ht="24.95" customHeight="1">
      <c r="B314" s="51">
        <v>133</v>
      </c>
      <c r="C314" s="51">
        <v>7</v>
      </c>
      <c r="D314" s="67">
        <v>11</v>
      </c>
      <c r="E314" s="55">
        <v>92</v>
      </c>
      <c r="F314" s="54"/>
      <c r="G314" s="66">
        <v>2</v>
      </c>
      <c r="H314" s="66">
        <v>3</v>
      </c>
      <c r="I314" s="66">
        <v>5</v>
      </c>
      <c r="J314" s="66">
        <v>2</v>
      </c>
      <c r="K314" s="66">
        <v>5</v>
      </c>
      <c r="L314" s="66">
        <v>4</v>
      </c>
      <c r="M314" s="66">
        <v>3</v>
      </c>
      <c r="N314" s="66">
        <v>2</v>
      </c>
      <c r="O314" s="66">
        <v>2</v>
      </c>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row>
    <row r="315" spans="2:41" s="32" customFormat="1" ht="24.95" customHeight="1">
      <c r="B315" s="51">
        <v>134</v>
      </c>
      <c r="C315" s="51">
        <v>7</v>
      </c>
      <c r="D315" s="67">
        <v>11</v>
      </c>
      <c r="E315" s="55">
        <v>95</v>
      </c>
      <c r="F315" s="54"/>
      <c r="G315" s="66">
        <v>5</v>
      </c>
      <c r="H315" s="66">
        <v>2</v>
      </c>
      <c r="I315" s="66">
        <v>4</v>
      </c>
      <c r="J315" s="66">
        <v>2</v>
      </c>
      <c r="K315" s="66">
        <v>5</v>
      </c>
      <c r="L315" s="66">
        <v>3</v>
      </c>
      <c r="M315" s="66">
        <v>4</v>
      </c>
      <c r="N315" s="66">
        <v>5</v>
      </c>
      <c r="O315" s="66">
        <v>4</v>
      </c>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row>
    <row r="316" spans="2:41" s="32" customFormat="1" ht="24.95" customHeight="1">
      <c r="B316" s="51">
        <v>135</v>
      </c>
      <c r="C316" s="51">
        <v>7</v>
      </c>
      <c r="D316" s="67">
        <v>11</v>
      </c>
      <c r="E316" s="55">
        <v>95</v>
      </c>
      <c r="F316" s="54"/>
      <c r="G316" s="66">
        <v>4</v>
      </c>
      <c r="H316" s="66">
        <v>2</v>
      </c>
      <c r="I316" s="66">
        <v>5</v>
      </c>
      <c r="J316" s="66">
        <v>5</v>
      </c>
      <c r="K316" s="66">
        <v>3</v>
      </c>
      <c r="L316" s="66">
        <v>2</v>
      </c>
      <c r="M316" s="66">
        <v>2</v>
      </c>
      <c r="N316" s="66">
        <v>5</v>
      </c>
      <c r="O316" s="66">
        <v>2</v>
      </c>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row>
    <row r="317" spans="2:41" s="32" customFormat="1" ht="24.95" customHeight="1">
      <c r="B317" s="51">
        <v>136</v>
      </c>
      <c r="C317" s="51">
        <v>7</v>
      </c>
      <c r="D317" s="67">
        <v>11</v>
      </c>
      <c r="E317" s="55">
        <v>82</v>
      </c>
      <c r="F317" s="54"/>
      <c r="G317" s="66">
        <v>4</v>
      </c>
      <c r="H317" s="66">
        <v>3</v>
      </c>
      <c r="I317" s="66">
        <v>4</v>
      </c>
      <c r="J317" s="66">
        <v>3</v>
      </c>
      <c r="K317" s="66">
        <v>2</v>
      </c>
      <c r="L317" s="66">
        <v>3</v>
      </c>
      <c r="M317" s="66">
        <v>5</v>
      </c>
      <c r="N317" s="66">
        <v>4</v>
      </c>
      <c r="O317" s="66">
        <v>3</v>
      </c>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row>
    <row r="318" spans="2:41" s="32" customFormat="1" ht="24.95" customHeight="1">
      <c r="B318" s="51">
        <v>137</v>
      </c>
      <c r="C318" s="51">
        <v>7</v>
      </c>
      <c r="D318" s="67">
        <v>11</v>
      </c>
      <c r="E318" s="55">
        <v>95</v>
      </c>
      <c r="F318" s="54"/>
      <c r="G318" s="66">
        <v>5</v>
      </c>
      <c r="H318" s="66">
        <v>5</v>
      </c>
      <c r="I318" s="66">
        <v>2</v>
      </c>
      <c r="J318" s="66">
        <v>4</v>
      </c>
      <c r="K318" s="66">
        <v>3</v>
      </c>
      <c r="L318" s="66">
        <v>4</v>
      </c>
      <c r="M318" s="66">
        <v>5</v>
      </c>
      <c r="N318" s="66">
        <v>2</v>
      </c>
      <c r="O318" s="66">
        <v>3</v>
      </c>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row>
    <row r="319" spans="2:41" s="32" customFormat="1" ht="24.95" customHeight="1">
      <c r="B319" s="51">
        <v>138</v>
      </c>
      <c r="C319" s="51">
        <v>7</v>
      </c>
      <c r="D319" s="67">
        <v>11</v>
      </c>
      <c r="E319" s="55">
        <v>92</v>
      </c>
      <c r="F319" s="54"/>
      <c r="G319" s="66">
        <v>3</v>
      </c>
      <c r="H319" s="66">
        <v>3</v>
      </c>
      <c r="I319" s="66">
        <v>2</v>
      </c>
      <c r="J319" s="66">
        <v>5</v>
      </c>
      <c r="K319" s="66">
        <v>4</v>
      </c>
      <c r="L319" s="66">
        <v>4</v>
      </c>
      <c r="M319" s="66">
        <v>5</v>
      </c>
      <c r="N319" s="66">
        <v>2</v>
      </c>
      <c r="O319" s="66">
        <v>4</v>
      </c>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row>
    <row r="320" spans="2:41" s="32" customFormat="1" ht="24.95" customHeight="1">
      <c r="B320" s="51">
        <v>139</v>
      </c>
      <c r="C320" s="51">
        <v>7</v>
      </c>
      <c r="D320" s="67">
        <v>11</v>
      </c>
      <c r="E320" s="55">
        <v>92</v>
      </c>
      <c r="F320" s="54"/>
      <c r="G320" s="66">
        <v>5</v>
      </c>
      <c r="H320" s="66">
        <v>2</v>
      </c>
      <c r="I320" s="66">
        <v>4</v>
      </c>
      <c r="J320" s="66">
        <v>2</v>
      </c>
      <c r="K320" s="66">
        <v>3</v>
      </c>
      <c r="L320" s="66">
        <v>3</v>
      </c>
      <c r="M320" s="66">
        <v>2</v>
      </c>
      <c r="N320" s="66">
        <v>4</v>
      </c>
      <c r="O320" s="66">
        <v>5</v>
      </c>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row>
    <row r="321" spans="2:141" s="32" customFormat="1" ht="24.95" customHeight="1">
      <c r="B321" s="51">
        <v>140</v>
      </c>
      <c r="C321" s="51">
        <v>7</v>
      </c>
      <c r="D321" s="67">
        <v>11</v>
      </c>
      <c r="E321" s="55">
        <v>95</v>
      </c>
      <c r="F321" s="54"/>
      <c r="G321" s="66">
        <v>2</v>
      </c>
      <c r="H321" s="66">
        <v>5</v>
      </c>
      <c r="I321" s="66">
        <v>5</v>
      </c>
      <c r="J321" s="66">
        <v>4</v>
      </c>
      <c r="K321" s="66">
        <v>4</v>
      </c>
      <c r="L321" s="66">
        <v>2</v>
      </c>
      <c r="M321" s="66">
        <v>5</v>
      </c>
      <c r="N321" s="66">
        <v>2</v>
      </c>
      <c r="O321" s="66">
        <v>4</v>
      </c>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row>
    <row r="322" spans="2:141">
      <c r="AP322" s="32"/>
      <c r="AQ322" s="32"/>
      <c r="AR322" s="32"/>
      <c r="AS322" s="32"/>
      <c r="AT322" s="32"/>
      <c r="AU322" s="32"/>
      <c r="AV322" s="32"/>
      <c r="AW322" s="32"/>
      <c r="AX322" s="32"/>
      <c r="AY322" s="32"/>
      <c r="AZ322" s="32"/>
      <c r="BA322" s="32"/>
      <c r="BB322" s="32"/>
      <c r="BC322" s="32"/>
      <c r="BD322" s="32"/>
      <c r="BE322" s="32"/>
      <c r="BF322" s="32"/>
      <c r="BG322" s="32"/>
      <c r="BH322" s="32"/>
      <c r="BI322" s="32"/>
      <c r="BJ322" s="32"/>
      <c r="BK322" s="32"/>
      <c r="BL322" s="32"/>
      <c r="BM322" s="32"/>
      <c r="BN322" s="32"/>
      <c r="BO322" s="32"/>
      <c r="BP322" s="32"/>
      <c r="BQ322" s="32"/>
      <c r="BR322" s="32"/>
      <c r="BS322" s="32"/>
      <c r="BT322" s="32"/>
      <c r="BU322" s="32"/>
      <c r="BV322" s="32"/>
      <c r="BW322" s="32"/>
      <c r="BX322" s="32"/>
      <c r="BY322" s="32"/>
      <c r="BZ322" s="32"/>
      <c r="CA322" s="32"/>
      <c r="CB322" s="32"/>
      <c r="CC322" s="32"/>
      <c r="CD322" s="32"/>
      <c r="CE322" s="32"/>
      <c r="CF322" s="32"/>
      <c r="CG322" s="32"/>
      <c r="CH322" s="32"/>
      <c r="CI322" s="32"/>
      <c r="CJ322" s="32"/>
      <c r="CK322" s="32"/>
      <c r="CL322" s="32"/>
      <c r="CM322" s="32"/>
      <c r="CN322" s="32"/>
      <c r="CO322" s="32"/>
      <c r="CP322" s="32"/>
      <c r="CQ322" s="32"/>
      <c r="CR322" s="32"/>
      <c r="CS322" s="32"/>
      <c r="CT322" s="32"/>
      <c r="CU322" s="32"/>
      <c r="CV322" s="32"/>
      <c r="CW322" s="32"/>
      <c r="CX322" s="32"/>
      <c r="CY322" s="32"/>
      <c r="CZ322" s="32"/>
      <c r="DA322" s="32"/>
      <c r="DB322" s="32"/>
      <c r="DC322" s="32"/>
      <c r="DD322" s="32"/>
      <c r="DE322" s="32"/>
      <c r="DF322" s="32"/>
      <c r="DG322" s="32"/>
      <c r="DH322" s="32"/>
      <c r="DI322" s="32"/>
      <c r="DJ322" s="32"/>
      <c r="DK322" s="32"/>
      <c r="DL322" s="32"/>
      <c r="DM322" s="32"/>
      <c r="DN322" s="32"/>
      <c r="DO322" s="32"/>
      <c r="DP322" s="32"/>
      <c r="DQ322" s="32"/>
      <c r="DR322" s="32"/>
      <c r="DS322" s="32"/>
      <c r="DT322" s="32"/>
      <c r="DU322" s="32"/>
      <c r="DV322" s="32"/>
      <c r="DW322" s="32"/>
      <c r="DX322" s="32"/>
      <c r="DY322" s="32"/>
      <c r="DZ322" s="32"/>
      <c r="EA322" s="32"/>
      <c r="EB322" s="32"/>
      <c r="EC322" s="32"/>
      <c r="ED322" s="32"/>
      <c r="EE322" s="32"/>
      <c r="EF322" s="32"/>
      <c r="EG322" s="32"/>
      <c r="EH322" s="32"/>
      <c r="EI322" s="32"/>
      <c r="EJ322" s="32"/>
      <c r="EK322" s="32"/>
    </row>
    <row r="323" spans="2:141">
      <c r="AP323" s="32"/>
      <c r="AQ323" s="32"/>
      <c r="AR323" s="32"/>
      <c r="AS323" s="32"/>
      <c r="AT323" s="32"/>
      <c r="AU323" s="32"/>
      <c r="AV323" s="32"/>
      <c r="AW323" s="32"/>
      <c r="AX323" s="32"/>
      <c r="AY323" s="32"/>
      <c r="AZ323" s="32"/>
      <c r="BA323" s="32"/>
      <c r="BB323" s="32"/>
      <c r="BC323" s="32"/>
      <c r="BD323" s="32"/>
      <c r="BE323" s="32"/>
      <c r="BF323" s="32"/>
      <c r="BG323" s="32"/>
      <c r="BH323" s="32"/>
      <c r="BI323" s="32"/>
      <c r="BJ323" s="32"/>
      <c r="BK323" s="32"/>
      <c r="BL323" s="32"/>
      <c r="BM323" s="32"/>
      <c r="BN323" s="32"/>
      <c r="BO323" s="32"/>
      <c r="BP323" s="32"/>
      <c r="BQ323" s="32"/>
      <c r="BR323" s="32"/>
      <c r="BS323" s="32"/>
      <c r="BT323" s="32"/>
      <c r="BU323" s="32"/>
      <c r="BV323" s="32"/>
      <c r="BW323" s="32"/>
      <c r="BX323" s="32"/>
      <c r="BY323" s="32"/>
      <c r="BZ323" s="32"/>
      <c r="CA323" s="32"/>
      <c r="CB323" s="32"/>
      <c r="CC323" s="32"/>
      <c r="CD323" s="32"/>
      <c r="CE323" s="32"/>
      <c r="CF323" s="32"/>
      <c r="CG323" s="32"/>
      <c r="CH323" s="32"/>
      <c r="CI323" s="32"/>
      <c r="CJ323" s="32"/>
      <c r="CK323" s="32"/>
      <c r="CL323" s="32"/>
      <c r="CM323" s="32"/>
      <c r="CN323" s="32"/>
      <c r="CO323" s="32"/>
      <c r="CP323" s="32"/>
      <c r="CQ323" s="32"/>
      <c r="CR323" s="32"/>
      <c r="CS323" s="32"/>
      <c r="CT323" s="32"/>
      <c r="CU323" s="32"/>
      <c r="CV323" s="32"/>
      <c r="CW323" s="32"/>
      <c r="CX323" s="32"/>
      <c r="CY323" s="32"/>
      <c r="CZ323" s="32"/>
      <c r="DA323" s="32"/>
      <c r="DB323" s="32"/>
      <c r="DC323" s="32"/>
      <c r="DD323" s="32"/>
      <c r="DE323" s="32"/>
      <c r="DF323" s="32"/>
      <c r="DG323" s="32"/>
      <c r="DH323" s="32"/>
      <c r="DI323" s="32"/>
      <c r="DJ323" s="32"/>
      <c r="DK323" s="32"/>
      <c r="DL323" s="32"/>
      <c r="DM323" s="32"/>
      <c r="DN323" s="32"/>
      <c r="DO323" s="32"/>
      <c r="DP323" s="32"/>
      <c r="DQ323" s="32"/>
      <c r="DR323" s="32"/>
      <c r="DS323" s="32"/>
      <c r="DT323" s="32"/>
      <c r="DU323" s="32"/>
      <c r="DV323" s="32"/>
      <c r="DW323" s="32"/>
      <c r="DX323" s="32"/>
      <c r="DY323" s="32"/>
      <c r="DZ323" s="32"/>
      <c r="EA323" s="32"/>
      <c r="EB323" s="32"/>
      <c r="EC323" s="32"/>
      <c r="ED323" s="32"/>
      <c r="EE323" s="32"/>
      <c r="EF323" s="32"/>
      <c r="EG323" s="32"/>
      <c r="EH323" s="32"/>
      <c r="EI323" s="32"/>
      <c r="EJ323" s="32"/>
      <c r="EK323" s="32"/>
    </row>
    <row r="324" spans="2:141">
      <c r="AP324" s="32"/>
      <c r="AQ324" s="32"/>
      <c r="AR324" s="32"/>
      <c r="AS324" s="32"/>
      <c r="AT324" s="32"/>
      <c r="AU324" s="32"/>
      <c r="AV324" s="32"/>
      <c r="AW324" s="32"/>
      <c r="AX324" s="32"/>
      <c r="AY324" s="32"/>
      <c r="AZ324" s="32"/>
      <c r="BA324" s="32"/>
      <c r="BB324" s="32"/>
      <c r="BC324" s="32"/>
      <c r="BD324" s="32"/>
      <c r="BE324" s="32"/>
      <c r="BF324" s="32"/>
      <c r="BG324" s="32"/>
      <c r="BH324" s="32"/>
      <c r="BI324" s="32"/>
      <c r="BJ324" s="32"/>
      <c r="BK324" s="32"/>
      <c r="BL324" s="32"/>
      <c r="BM324" s="32"/>
      <c r="BN324" s="32"/>
      <c r="BO324" s="32"/>
      <c r="BP324" s="32"/>
      <c r="BQ324" s="32"/>
      <c r="BR324" s="32"/>
      <c r="BS324" s="32"/>
      <c r="BT324" s="32"/>
      <c r="BU324" s="32"/>
      <c r="BV324" s="32"/>
      <c r="BW324" s="32"/>
      <c r="BX324" s="32"/>
      <c r="BY324" s="32"/>
      <c r="BZ324" s="32"/>
      <c r="CA324" s="32"/>
      <c r="CB324" s="32"/>
      <c r="CC324" s="32"/>
      <c r="CD324" s="32"/>
      <c r="CE324" s="32"/>
      <c r="CF324" s="32"/>
      <c r="CG324" s="32"/>
      <c r="CH324" s="32"/>
      <c r="CI324" s="32"/>
      <c r="CJ324" s="32"/>
      <c r="CK324" s="32"/>
      <c r="CL324" s="32"/>
      <c r="CM324" s="32"/>
      <c r="CN324" s="32"/>
      <c r="CO324" s="32"/>
      <c r="CP324" s="32"/>
      <c r="CQ324" s="32"/>
      <c r="CR324" s="32"/>
      <c r="CS324" s="32"/>
      <c r="CT324" s="32"/>
      <c r="CU324" s="32"/>
      <c r="CV324" s="32"/>
      <c r="CW324" s="32"/>
      <c r="CX324" s="32"/>
      <c r="CY324" s="32"/>
      <c r="CZ324" s="32"/>
      <c r="DA324" s="32"/>
      <c r="DB324" s="32"/>
      <c r="DC324" s="32"/>
      <c r="DD324" s="32"/>
      <c r="DE324" s="32"/>
      <c r="DF324" s="32"/>
      <c r="DG324" s="32"/>
      <c r="DH324" s="32"/>
      <c r="DI324" s="32"/>
      <c r="DJ324" s="32"/>
      <c r="DK324" s="32"/>
      <c r="DL324" s="32"/>
      <c r="DM324" s="32"/>
      <c r="DN324" s="32"/>
      <c r="DO324" s="32"/>
      <c r="DP324" s="32"/>
      <c r="DQ324" s="32"/>
      <c r="DR324" s="32"/>
      <c r="DS324" s="32"/>
      <c r="DT324" s="32"/>
      <c r="DU324" s="32"/>
      <c r="DV324" s="32"/>
      <c r="DW324" s="32"/>
      <c r="DX324" s="32"/>
      <c r="DY324" s="32"/>
      <c r="DZ324" s="32"/>
      <c r="EA324" s="32"/>
      <c r="EB324" s="32"/>
      <c r="EC324" s="32"/>
      <c r="ED324" s="32"/>
      <c r="EE324" s="32"/>
      <c r="EF324" s="32"/>
      <c r="EG324" s="32"/>
      <c r="EH324" s="32"/>
      <c r="EI324" s="32"/>
      <c r="EJ324" s="32"/>
      <c r="EK324" s="32"/>
    </row>
    <row r="325" spans="2:141">
      <c r="AP325" s="32"/>
      <c r="AQ325" s="32"/>
      <c r="AR325" s="32"/>
      <c r="AS325" s="32"/>
      <c r="AT325" s="32"/>
      <c r="AU325" s="32"/>
      <c r="AV325" s="32"/>
      <c r="AW325" s="32"/>
      <c r="AX325" s="32"/>
      <c r="AY325" s="32"/>
      <c r="AZ325" s="32"/>
      <c r="BA325" s="32"/>
      <c r="BB325" s="32"/>
      <c r="BC325" s="32"/>
      <c r="BD325" s="32"/>
      <c r="BE325" s="32"/>
      <c r="BF325" s="32"/>
      <c r="BG325" s="32"/>
      <c r="BH325" s="32"/>
      <c r="BI325" s="32"/>
      <c r="BJ325" s="32"/>
      <c r="BK325" s="32"/>
      <c r="BL325" s="32"/>
      <c r="BM325" s="32"/>
      <c r="BN325" s="32"/>
      <c r="BO325" s="32"/>
      <c r="BP325" s="32"/>
      <c r="BQ325" s="32"/>
      <c r="BR325" s="32"/>
      <c r="BS325" s="32"/>
      <c r="BT325" s="32"/>
      <c r="BU325" s="32"/>
      <c r="BV325" s="32"/>
      <c r="BW325" s="32"/>
      <c r="BX325" s="32"/>
      <c r="BY325" s="32"/>
      <c r="BZ325" s="32"/>
      <c r="CA325" s="32"/>
      <c r="CB325" s="32"/>
      <c r="CC325" s="32"/>
      <c r="CD325" s="32"/>
      <c r="CE325" s="32"/>
      <c r="CF325" s="32"/>
      <c r="CG325" s="32"/>
      <c r="CH325" s="32"/>
      <c r="CI325" s="32"/>
      <c r="CJ325" s="32"/>
      <c r="CK325" s="32"/>
      <c r="CL325" s="32"/>
      <c r="CM325" s="32"/>
      <c r="CN325" s="32"/>
      <c r="CO325" s="32"/>
      <c r="CP325" s="32"/>
      <c r="CQ325" s="32"/>
      <c r="CR325" s="32"/>
      <c r="CS325" s="32"/>
      <c r="CT325" s="32"/>
      <c r="CU325" s="32"/>
      <c r="CV325" s="32"/>
      <c r="CW325" s="32"/>
      <c r="CX325" s="32"/>
      <c r="CY325" s="32"/>
      <c r="CZ325" s="32"/>
      <c r="DA325" s="32"/>
      <c r="DB325" s="32"/>
      <c r="DC325" s="32"/>
      <c r="DD325" s="32"/>
      <c r="DE325" s="32"/>
      <c r="DF325" s="32"/>
      <c r="DG325" s="32"/>
      <c r="DH325" s="32"/>
      <c r="DI325" s="32"/>
      <c r="DJ325" s="32"/>
      <c r="DK325" s="32"/>
      <c r="DL325" s="32"/>
      <c r="DM325" s="32"/>
      <c r="DN325" s="32"/>
      <c r="DO325" s="32"/>
      <c r="DP325" s="32"/>
      <c r="DQ325" s="32"/>
      <c r="DR325" s="32"/>
      <c r="DS325" s="32"/>
      <c r="DT325" s="32"/>
      <c r="DU325" s="32"/>
      <c r="DV325" s="32"/>
      <c r="DW325" s="32"/>
      <c r="DX325" s="32"/>
      <c r="DY325" s="32"/>
      <c r="DZ325" s="32"/>
      <c r="EA325" s="32"/>
      <c r="EB325" s="32"/>
      <c r="EC325" s="32"/>
      <c r="ED325" s="32"/>
      <c r="EE325" s="32"/>
      <c r="EF325" s="32"/>
      <c r="EG325" s="32"/>
      <c r="EH325" s="32"/>
      <c r="EI325" s="32"/>
      <c r="EJ325" s="32"/>
      <c r="EK325" s="32"/>
    </row>
    <row r="326" spans="2:141">
      <c r="AP326" s="32"/>
      <c r="AQ326" s="32"/>
      <c r="AR326" s="32"/>
      <c r="AS326" s="32"/>
      <c r="AT326" s="32"/>
      <c r="AU326" s="32"/>
      <c r="AV326" s="32"/>
      <c r="AW326" s="32"/>
      <c r="AX326" s="32"/>
      <c r="AY326" s="32"/>
      <c r="AZ326" s="32"/>
      <c r="BA326" s="32"/>
      <c r="BB326" s="32"/>
      <c r="BC326" s="32"/>
      <c r="BD326" s="32"/>
      <c r="BE326" s="32"/>
      <c r="BF326" s="32"/>
      <c r="BG326" s="32"/>
      <c r="BH326" s="32"/>
      <c r="BI326" s="32"/>
      <c r="BJ326" s="32"/>
      <c r="BK326" s="32"/>
      <c r="BL326" s="32"/>
      <c r="BM326" s="32"/>
      <c r="BN326" s="32"/>
      <c r="BO326" s="32"/>
      <c r="BP326" s="32"/>
      <c r="BQ326" s="32"/>
      <c r="BR326" s="32"/>
      <c r="BS326" s="32"/>
      <c r="BT326" s="32"/>
      <c r="BU326" s="32"/>
      <c r="BV326" s="32"/>
      <c r="BW326" s="32"/>
      <c r="BX326" s="32"/>
      <c r="BY326" s="32"/>
      <c r="BZ326" s="32"/>
      <c r="CA326" s="32"/>
      <c r="CB326" s="32"/>
      <c r="CC326" s="32"/>
      <c r="CD326" s="32"/>
      <c r="CE326" s="32"/>
      <c r="CF326" s="32"/>
      <c r="CG326" s="32"/>
      <c r="CH326" s="32"/>
      <c r="CI326" s="32"/>
      <c r="CJ326" s="32"/>
      <c r="CK326" s="32"/>
      <c r="CL326" s="32"/>
      <c r="CM326" s="32"/>
      <c r="CN326" s="32"/>
      <c r="CO326" s="32"/>
      <c r="CP326" s="32"/>
      <c r="CQ326" s="32"/>
      <c r="CR326" s="32"/>
      <c r="CS326" s="32"/>
      <c r="CT326" s="32"/>
      <c r="CU326" s="32"/>
      <c r="CV326" s="32"/>
      <c r="CW326" s="32"/>
      <c r="CX326" s="32"/>
      <c r="CY326" s="32"/>
      <c r="CZ326" s="32"/>
      <c r="DA326" s="32"/>
      <c r="DB326" s="32"/>
      <c r="DC326" s="32"/>
      <c r="DD326" s="32"/>
      <c r="DE326" s="32"/>
      <c r="DF326" s="32"/>
      <c r="DG326" s="32"/>
      <c r="DH326" s="32"/>
      <c r="DI326" s="32"/>
      <c r="DJ326" s="32"/>
      <c r="DK326" s="32"/>
      <c r="DL326" s="32"/>
      <c r="DM326" s="32"/>
      <c r="DN326" s="32"/>
      <c r="DO326" s="32"/>
      <c r="DP326" s="32"/>
      <c r="DQ326" s="32"/>
      <c r="DR326" s="32"/>
      <c r="DS326" s="32"/>
      <c r="DT326" s="32"/>
      <c r="DU326" s="32"/>
      <c r="DV326" s="32"/>
      <c r="DW326" s="32"/>
      <c r="DX326" s="32"/>
      <c r="DY326" s="32"/>
      <c r="DZ326" s="32"/>
      <c r="EA326" s="32"/>
      <c r="EB326" s="32"/>
      <c r="EC326" s="32"/>
      <c r="ED326" s="32"/>
      <c r="EE326" s="32"/>
      <c r="EF326" s="32"/>
      <c r="EG326" s="32"/>
      <c r="EH326" s="32"/>
      <c r="EI326" s="32"/>
      <c r="EJ326" s="32"/>
      <c r="EK326" s="32"/>
    </row>
    <row r="327" spans="2:141">
      <c r="AP327" s="32"/>
      <c r="AQ327" s="32"/>
      <c r="AR327" s="32"/>
      <c r="AS327" s="32"/>
      <c r="AT327" s="32"/>
      <c r="AU327" s="32"/>
      <c r="AV327" s="32"/>
      <c r="AW327" s="32"/>
      <c r="AX327" s="32"/>
      <c r="AY327" s="32"/>
      <c r="AZ327" s="32"/>
      <c r="BA327" s="32"/>
      <c r="BB327" s="32"/>
      <c r="BC327" s="32"/>
      <c r="BD327" s="32"/>
      <c r="BE327" s="32"/>
      <c r="BF327" s="32"/>
      <c r="BG327" s="32"/>
      <c r="BH327" s="32"/>
      <c r="BI327" s="32"/>
      <c r="BJ327" s="32"/>
      <c r="BK327" s="32"/>
      <c r="BL327" s="32"/>
      <c r="BM327" s="32"/>
      <c r="BN327" s="32"/>
      <c r="BO327" s="32"/>
      <c r="BP327" s="32"/>
      <c r="BQ327" s="32"/>
      <c r="BR327" s="32"/>
      <c r="BS327" s="32"/>
      <c r="BT327" s="32"/>
      <c r="BU327" s="32"/>
      <c r="BV327" s="32"/>
      <c r="BW327" s="32"/>
      <c r="BX327" s="32"/>
      <c r="BY327" s="32"/>
      <c r="BZ327" s="32"/>
      <c r="CA327" s="32"/>
      <c r="CB327" s="32"/>
      <c r="CC327" s="32"/>
      <c r="CD327" s="32"/>
      <c r="CE327" s="32"/>
      <c r="CF327" s="32"/>
      <c r="CG327" s="32"/>
      <c r="CH327" s="32"/>
      <c r="CI327" s="32"/>
      <c r="CJ327" s="32"/>
      <c r="CK327" s="32"/>
      <c r="CL327" s="32"/>
      <c r="CM327" s="32"/>
      <c r="CN327" s="32"/>
      <c r="CO327" s="32"/>
      <c r="CP327" s="32"/>
      <c r="CQ327" s="32"/>
      <c r="CR327" s="32"/>
      <c r="CS327" s="32"/>
      <c r="CT327" s="32"/>
      <c r="CU327" s="32"/>
      <c r="CV327" s="32"/>
      <c r="CW327" s="32"/>
      <c r="CX327" s="32"/>
      <c r="CY327" s="32"/>
      <c r="CZ327" s="32"/>
      <c r="DA327" s="32"/>
      <c r="DB327" s="32"/>
      <c r="DC327" s="32"/>
      <c r="DD327" s="32"/>
      <c r="DE327" s="32"/>
      <c r="DF327" s="32"/>
      <c r="DG327" s="32"/>
      <c r="DH327" s="32"/>
      <c r="DI327" s="32"/>
      <c r="DJ327" s="32"/>
      <c r="DK327" s="32"/>
      <c r="DL327" s="32"/>
      <c r="DM327" s="32"/>
      <c r="DN327" s="32"/>
      <c r="DO327" s="32"/>
      <c r="DP327" s="32"/>
      <c r="DQ327" s="32"/>
      <c r="DR327" s="32"/>
      <c r="DS327" s="32"/>
      <c r="DT327" s="32"/>
      <c r="DU327" s="32"/>
      <c r="DV327" s="32"/>
      <c r="DW327" s="32"/>
      <c r="DX327" s="32"/>
      <c r="DY327" s="32"/>
      <c r="DZ327" s="32"/>
      <c r="EA327" s="32"/>
      <c r="EB327" s="32"/>
      <c r="EC327" s="32"/>
      <c r="ED327" s="32"/>
      <c r="EE327" s="32"/>
      <c r="EF327" s="32"/>
      <c r="EG327" s="32"/>
      <c r="EH327" s="32"/>
      <c r="EI327" s="32"/>
      <c r="EJ327" s="32"/>
      <c r="EK327" s="32"/>
    </row>
    <row r="328" spans="2:141">
      <c r="AP328" s="32"/>
      <c r="AQ328" s="32"/>
      <c r="AR328" s="32"/>
      <c r="AS328" s="32"/>
      <c r="AT328" s="32"/>
      <c r="AU328" s="32"/>
      <c r="AV328" s="32"/>
      <c r="AW328" s="32"/>
      <c r="AX328" s="32"/>
      <c r="AY328" s="32"/>
      <c r="AZ328" s="32"/>
      <c r="BA328" s="32"/>
      <c r="BB328" s="32"/>
      <c r="BC328" s="32"/>
      <c r="BD328" s="32"/>
      <c r="BE328" s="32"/>
      <c r="BF328" s="32"/>
      <c r="BG328" s="32"/>
      <c r="BH328" s="32"/>
      <c r="BI328" s="32"/>
      <c r="BJ328" s="32"/>
      <c r="BK328" s="32"/>
      <c r="BL328" s="32"/>
      <c r="BM328" s="32"/>
      <c r="BN328" s="32"/>
      <c r="BO328" s="32"/>
      <c r="BP328" s="32"/>
      <c r="BQ328" s="32"/>
      <c r="BR328" s="32"/>
      <c r="BS328" s="32"/>
      <c r="BT328" s="32"/>
      <c r="BU328" s="32"/>
      <c r="BV328" s="32"/>
      <c r="BW328" s="32"/>
      <c r="BX328" s="32"/>
      <c r="BY328" s="32"/>
      <c r="BZ328" s="32"/>
      <c r="CA328" s="32"/>
      <c r="CB328" s="32"/>
      <c r="CC328" s="32"/>
      <c r="CD328" s="32"/>
      <c r="CE328" s="32"/>
      <c r="CF328" s="32"/>
      <c r="CG328" s="32"/>
      <c r="CH328" s="32"/>
      <c r="CI328" s="32"/>
      <c r="CJ328" s="32"/>
      <c r="CK328" s="32"/>
      <c r="CL328" s="32"/>
      <c r="CM328" s="32"/>
      <c r="CN328" s="32"/>
      <c r="CO328" s="32"/>
      <c r="CP328" s="32"/>
      <c r="CQ328" s="32"/>
      <c r="CR328" s="32"/>
      <c r="CS328" s="32"/>
      <c r="CT328" s="32"/>
      <c r="CU328" s="32"/>
      <c r="CV328" s="32"/>
      <c r="CW328" s="32"/>
      <c r="CX328" s="32"/>
      <c r="CY328" s="32"/>
      <c r="CZ328" s="32"/>
      <c r="DA328" s="32"/>
      <c r="DB328" s="32"/>
      <c r="DC328" s="32"/>
      <c r="DD328" s="32"/>
      <c r="DE328" s="32"/>
      <c r="DF328" s="32"/>
      <c r="DG328" s="32"/>
      <c r="DH328" s="32"/>
      <c r="DI328" s="32"/>
      <c r="DJ328" s="32"/>
      <c r="DK328" s="32"/>
      <c r="DL328" s="32"/>
      <c r="DM328" s="32"/>
      <c r="DN328" s="32"/>
      <c r="DO328" s="32"/>
      <c r="DP328" s="32"/>
      <c r="DQ328" s="32"/>
      <c r="DR328" s="32"/>
      <c r="DS328" s="32"/>
      <c r="DT328" s="32"/>
      <c r="DU328" s="32"/>
      <c r="DV328" s="32"/>
      <c r="DW328" s="32"/>
      <c r="DX328" s="32"/>
      <c r="DY328" s="32"/>
      <c r="DZ328" s="32"/>
      <c r="EA328" s="32"/>
      <c r="EB328" s="32"/>
      <c r="EC328" s="32"/>
      <c r="ED328" s="32"/>
      <c r="EE328" s="32"/>
      <c r="EF328" s="32"/>
      <c r="EG328" s="32"/>
      <c r="EH328" s="32"/>
      <c r="EI328" s="32"/>
      <c r="EJ328" s="32"/>
      <c r="EK328" s="32"/>
    </row>
    <row r="329" spans="2:141">
      <c r="AP329" s="32"/>
      <c r="AQ329" s="32"/>
      <c r="AR329" s="32"/>
      <c r="AS329" s="32"/>
      <c r="AT329" s="32"/>
      <c r="AU329" s="32"/>
      <c r="AV329" s="32"/>
      <c r="AW329" s="32"/>
      <c r="AX329" s="32"/>
      <c r="AY329" s="32"/>
      <c r="AZ329" s="32"/>
      <c r="BA329" s="32"/>
      <c r="BB329" s="32"/>
      <c r="BC329" s="32"/>
      <c r="BD329" s="32"/>
      <c r="BE329" s="32"/>
      <c r="BF329" s="32"/>
      <c r="BG329" s="32"/>
      <c r="BH329" s="32"/>
      <c r="BI329" s="32"/>
      <c r="BJ329" s="32"/>
      <c r="BK329" s="32"/>
      <c r="BL329" s="32"/>
      <c r="BM329" s="32"/>
      <c r="BN329" s="32"/>
      <c r="BO329" s="32"/>
      <c r="BP329" s="32"/>
      <c r="BQ329" s="32"/>
      <c r="BR329" s="32"/>
      <c r="BS329" s="32"/>
      <c r="BT329" s="32"/>
      <c r="BU329" s="32"/>
      <c r="BV329" s="32"/>
      <c r="BW329" s="32"/>
      <c r="BX329" s="32"/>
      <c r="BY329" s="32"/>
      <c r="BZ329" s="32"/>
      <c r="CA329" s="32"/>
      <c r="CB329" s="32"/>
      <c r="CC329" s="32"/>
      <c r="CD329" s="32"/>
      <c r="CE329" s="32"/>
      <c r="CF329" s="32"/>
      <c r="CG329" s="32"/>
      <c r="CH329" s="32"/>
      <c r="CI329" s="32"/>
      <c r="CJ329" s="32"/>
      <c r="CK329" s="32"/>
      <c r="CL329" s="32"/>
      <c r="CM329" s="32"/>
      <c r="CN329" s="32"/>
      <c r="CO329" s="32"/>
      <c r="CP329" s="32"/>
      <c r="CQ329" s="32"/>
      <c r="CR329" s="32"/>
      <c r="CS329" s="32"/>
      <c r="CT329" s="32"/>
      <c r="CU329" s="32"/>
      <c r="CV329" s="32"/>
      <c r="CW329" s="32"/>
      <c r="CX329" s="32"/>
      <c r="CY329" s="32"/>
      <c r="CZ329" s="32"/>
      <c r="DA329" s="32"/>
      <c r="DB329" s="32"/>
      <c r="DC329" s="32"/>
      <c r="DD329" s="32"/>
      <c r="DE329" s="32"/>
      <c r="DF329" s="32"/>
      <c r="DG329" s="32"/>
      <c r="DH329" s="32"/>
      <c r="DI329" s="32"/>
      <c r="DJ329" s="32"/>
      <c r="DK329" s="32"/>
      <c r="DL329" s="32"/>
      <c r="DM329" s="32"/>
      <c r="DN329" s="32"/>
      <c r="DO329" s="32"/>
      <c r="DP329" s="32"/>
      <c r="DQ329" s="32"/>
      <c r="DR329" s="32"/>
      <c r="DS329" s="32"/>
      <c r="DT329" s="32"/>
      <c r="DU329" s="32"/>
      <c r="DV329" s="32"/>
      <c r="DW329" s="32"/>
      <c r="DX329" s="32"/>
      <c r="DY329" s="32"/>
      <c r="DZ329" s="32"/>
      <c r="EA329" s="32"/>
      <c r="EB329" s="32"/>
      <c r="EC329" s="32"/>
      <c r="ED329" s="32"/>
      <c r="EE329" s="32"/>
      <c r="EF329" s="32"/>
      <c r="EG329" s="32"/>
      <c r="EH329" s="32"/>
      <c r="EI329" s="32"/>
      <c r="EJ329" s="32"/>
      <c r="EK329" s="32"/>
    </row>
    <row r="330" spans="2:141">
      <c r="AP330" s="32"/>
      <c r="AQ330" s="32"/>
      <c r="AR330" s="32"/>
      <c r="AS330" s="32"/>
      <c r="AT330" s="32"/>
      <c r="AU330" s="32"/>
      <c r="AV330" s="32"/>
      <c r="AW330" s="32"/>
      <c r="AX330" s="32"/>
      <c r="AY330" s="32"/>
      <c r="AZ330" s="32"/>
      <c r="BA330" s="32"/>
      <c r="BB330" s="32"/>
      <c r="BC330" s="32"/>
      <c r="BD330" s="32"/>
      <c r="BE330" s="32"/>
      <c r="BF330" s="32"/>
      <c r="BG330" s="32"/>
      <c r="BH330" s="32"/>
      <c r="BI330" s="32"/>
      <c r="BJ330" s="32"/>
      <c r="BK330" s="32"/>
      <c r="BL330" s="32"/>
      <c r="BM330" s="32"/>
      <c r="BN330" s="32"/>
      <c r="BO330" s="32"/>
      <c r="BP330" s="32"/>
      <c r="BQ330" s="32"/>
      <c r="BR330" s="32"/>
      <c r="BS330" s="32"/>
      <c r="BT330" s="32"/>
      <c r="BU330" s="32"/>
      <c r="BV330" s="32"/>
      <c r="BW330" s="32"/>
      <c r="BX330" s="32"/>
      <c r="BY330" s="32"/>
      <c r="BZ330" s="32"/>
      <c r="CA330" s="32"/>
      <c r="CB330" s="32"/>
      <c r="CC330" s="32"/>
      <c r="CD330" s="32"/>
      <c r="CE330" s="32"/>
      <c r="CF330" s="32"/>
      <c r="CG330" s="32"/>
      <c r="CH330" s="32"/>
      <c r="CI330" s="32"/>
      <c r="CJ330" s="32"/>
      <c r="CK330" s="32"/>
      <c r="CL330" s="32"/>
      <c r="CM330" s="32"/>
      <c r="CN330" s="32"/>
      <c r="CO330" s="32"/>
      <c r="CP330" s="32"/>
      <c r="CQ330" s="32"/>
      <c r="CR330" s="32"/>
      <c r="CS330" s="32"/>
      <c r="CT330" s="32"/>
      <c r="CU330" s="32"/>
      <c r="CV330" s="32"/>
      <c r="CW330" s="32"/>
      <c r="CX330" s="32"/>
      <c r="CY330" s="32"/>
      <c r="CZ330" s="32"/>
      <c r="DA330" s="32"/>
      <c r="DB330" s="32"/>
      <c r="DC330" s="32"/>
      <c r="DD330" s="32"/>
      <c r="DE330" s="32"/>
      <c r="DF330" s="32"/>
      <c r="DG330" s="32"/>
      <c r="DH330" s="32"/>
      <c r="DI330" s="32"/>
      <c r="DJ330" s="32"/>
      <c r="DK330" s="32"/>
      <c r="DL330" s="32"/>
      <c r="DM330" s="32"/>
      <c r="DN330" s="32"/>
      <c r="DO330" s="32"/>
      <c r="DP330" s="32"/>
      <c r="DQ330" s="32"/>
      <c r="DR330" s="32"/>
      <c r="DS330" s="32"/>
      <c r="DT330" s="32"/>
      <c r="DU330" s="32"/>
      <c r="DV330" s="32"/>
      <c r="DW330" s="32"/>
      <c r="DX330" s="32"/>
      <c r="DY330" s="32"/>
      <c r="DZ330" s="32"/>
      <c r="EA330" s="32"/>
      <c r="EB330" s="32"/>
      <c r="EC330" s="32"/>
      <c r="ED330" s="32"/>
      <c r="EE330" s="32"/>
      <c r="EF330" s="32"/>
      <c r="EG330" s="32"/>
      <c r="EH330" s="32"/>
      <c r="EI330" s="32"/>
      <c r="EJ330" s="32"/>
      <c r="EK330" s="32"/>
    </row>
    <row r="331" spans="2:141">
      <c r="AP331" s="32"/>
      <c r="AQ331" s="32"/>
      <c r="AR331" s="32"/>
      <c r="AS331" s="32"/>
      <c r="AT331" s="32"/>
      <c r="AU331" s="32"/>
      <c r="AV331" s="32"/>
      <c r="AW331" s="32"/>
      <c r="AX331" s="32"/>
      <c r="AY331" s="32"/>
      <c r="AZ331" s="32"/>
      <c r="BA331" s="32"/>
      <c r="BB331" s="32"/>
      <c r="BC331" s="32"/>
      <c r="BD331" s="32"/>
      <c r="BE331" s="32"/>
      <c r="BF331" s="32"/>
      <c r="BG331" s="32"/>
      <c r="BH331" s="32"/>
      <c r="BI331" s="32"/>
      <c r="BJ331" s="32"/>
      <c r="BK331" s="32"/>
      <c r="BL331" s="32"/>
      <c r="BM331" s="32"/>
      <c r="BN331" s="32"/>
      <c r="BO331" s="32"/>
      <c r="BP331" s="32"/>
      <c r="BQ331" s="32"/>
      <c r="BR331" s="32"/>
      <c r="BS331" s="32"/>
      <c r="BT331" s="32"/>
      <c r="BU331" s="32"/>
      <c r="BV331" s="32"/>
      <c r="BW331" s="32"/>
      <c r="BX331" s="32"/>
      <c r="BY331" s="32"/>
      <c r="BZ331" s="32"/>
      <c r="CA331" s="32"/>
      <c r="CB331" s="32"/>
      <c r="CC331" s="32"/>
      <c r="CD331" s="32"/>
      <c r="CE331" s="32"/>
      <c r="CF331" s="32"/>
      <c r="CG331" s="32"/>
      <c r="CH331" s="32"/>
      <c r="CI331" s="32"/>
      <c r="CJ331" s="32"/>
      <c r="CK331" s="32"/>
      <c r="CL331" s="32"/>
      <c r="CM331" s="32"/>
      <c r="CN331" s="32"/>
      <c r="CO331" s="32"/>
      <c r="CP331" s="32"/>
      <c r="CQ331" s="32"/>
      <c r="CR331" s="32"/>
      <c r="CS331" s="32"/>
      <c r="CT331" s="32"/>
      <c r="CU331" s="32"/>
      <c r="CV331" s="32"/>
      <c r="CW331" s="32"/>
      <c r="CX331" s="32"/>
      <c r="CY331" s="32"/>
      <c r="CZ331" s="32"/>
      <c r="DA331" s="32"/>
      <c r="DB331" s="32"/>
      <c r="DC331" s="32"/>
      <c r="DD331" s="32"/>
      <c r="DE331" s="32"/>
      <c r="DF331" s="32"/>
      <c r="DG331" s="32"/>
      <c r="DH331" s="32"/>
      <c r="DI331" s="32"/>
      <c r="DJ331" s="32"/>
      <c r="DK331" s="32"/>
      <c r="DL331" s="32"/>
      <c r="DM331" s="32"/>
      <c r="DN331" s="32"/>
      <c r="DO331" s="32"/>
      <c r="DP331" s="32"/>
      <c r="DQ331" s="32"/>
      <c r="DR331" s="32"/>
      <c r="DS331" s="32"/>
      <c r="DT331" s="32"/>
      <c r="DU331" s="32"/>
      <c r="DV331" s="32"/>
      <c r="DW331" s="32"/>
      <c r="DX331" s="32"/>
      <c r="DY331" s="32"/>
      <c r="DZ331" s="32"/>
      <c r="EA331" s="32"/>
      <c r="EB331" s="32"/>
      <c r="EC331" s="32"/>
      <c r="ED331" s="32"/>
      <c r="EE331" s="32"/>
      <c r="EF331" s="32"/>
      <c r="EG331" s="32"/>
      <c r="EH331" s="32"/>
      <c r="EI331" s="32"/>
      <c r="EJ331" s="32"/>
      <c r="EK331" s="32"/>
    </row>
    <row r="332" spans="2:141">
      <c r="AP332" s="32"/>
      <c r="AQ332" s="32"/>
      <c r="AR332" s="32"/>
      <c r="AS332" s="32"/>
      <c r="AT332" s="32"/>
      <c r="AU332" s="32"/>
      <c r="AV332" s="32"/>
      <c r="AW332" s="32"/>
      <c r="AX332" s="32"/>
      <c r="AY332" s="32"/>
      <c r="AZ332" s="32"/>
      <c r="BA332" s="32"/>
      <c r="BB332" s="32"/>
      <c r="BC332" s="32"/>
      <c r="BD332" s="32"/>
      <c r="BE332" s="32"/>
      <c r="BF332" s="32"/>
      <c r="BG332" s="32"/>
      <c r="BH332" s="32"/>
      <c r="BI332" s="32"/>
      <c r="BJ332" s="32"/>
      <c r="BK332" s="32"/>
      <c r="BL332" s="32"/>
      <c r="BM332" s="32"/>
      <c r="BN332" s="32"/>
      <c r="BO332" s="32"/>
      <c r="BP332" s="32"/>
      <c r="BQ332" s="32"/>
      <c r="BR332" s="32"/>
      <c r="BS332" s="32"/>
      <c r="BT332" s="32"/>
      <c r="BU332" s="32"/>
      <c r="BV332" s="32"/>
      <c r="BW332" s="32"/>
      <c r="BX332" s="32"/>
      <c r="BY332" s="32"/>
      <c r="BZ332" s="32"/>
      <c r="CA332" s="32"/>
      <c r="CB332" s="32"/>
      <c r="CC332" s="32"/>
      <c r="CD332" s="32"/>
      <c r="CE332" s="32"/>
      <c r="CF332" s="32"/>
      <c r="CG332" s="32"/>
      <c r="CH332" s="32"/>
      <c r="CI332" s="32"/>
      <c r="CJ332" s="32"/>
      <c r="CK332" s="32"/>
      <c r="CL332" s="32"/>
      <c r="CM332" s="32"/>
      <c r="CN332" s="32"/>
      <c r="CO332" s="32"/>
      <c r="CP332" s="32"/>
      <c r="CQ332" s="32"/>
      <c r="CR332" s="32"/>
      <c r="CS332" s="32"/>
      <c r="CT332" s="32"/>
      <c r="CU332" s="32"/>
      <c r="CV332" s="32"/>
      <c r="CW332" s="32"/>
      <c r="CX332" s="32"/>
      <c r="CY332" s="32"/>
      <c r="CZ332" s="32"/>
      <c r="DA332" s="32"/>
      <c r="DB332" s="32"/>
      <c r="DC332" s="32"/>
      <c r="DD332" s="32"/>
      <c r="DE332" s="32"/>
      <c r="DF332" s="32"/>
      <c r="DG332" s="32"/>
      <c r="DH332" s="32"/>
      <c r="DI332" s="32"/>
      <c r="DJ332" s="32"/>
      <c r="DK332" s="32"/>
      <c r="DL332" s="32"/>
      <c r="DM332" s="32"/>
      <c r="DN332" s="32"/>
      <c r="DO332" s="32"/>
      <c r="DP332" s="32"/>
      <c r="DQ332" s="32"/>
      <c r="DR332" s="32"/>
      <c r="DS332" s="32"/>
      <c r="DT332" s="32"/>
      <c r="DU332" s="32"/>
      <c r="DV332" s="32"/>
      <c r="DW332" s="32"/>
      <c r="DX332" s="32"/>
      <c r="DY332" s="32"/>
      <c r="DZ332" s="32"/>
      <c r="EA332" s="32"/>
      <c r="EB332" s="32"/>
      <c r="EC332" s="32"/>
      <c r="ED332" s="32"/>
      <c r="EE332" s="32"/>
      <c r="EF332" s="32"/>
      <c r="EG332" s="32"/>
      <c r="EH332" s="32"/>
      <c r="EI332" s="32"/>
      <c r="EJ332" s="32"/>
      <c r="EK332" s="32"/>
    </row>
    <row r="333" spans="2:141">
      <c r="AP333" s="32"/>
      <c r="AQ333" s="32"/>
      <c r="AR333" s="32"/>
      <c r="AS333" s="32"/>
      <c r="AT333" s="32"/>
      <c r="AU333" s="32"/>
      <c r="AV333" s="32"/>
      <c r="AW333" s="32"/>
      <c r="AX333" s="32"/>
      <c r="AY333" s="32"/>
      <c r="AZ333" s="32"/>
      <c r="BA333" s="32"/>
      <c r="BB333" s="32"/>
      <c r="BC333" s="32"/>
      <c r="BD333" s="32"/>
      <c r="BE333" s="32"/>
      <c r="BF333" s="32"/>
      <c r="BG333" s="32"/>
      <c r="BH333" s="32"/>
      <c r="BI333" s="32"/>
      <c r="BJ333" s="32"/>
      <c r="BK333" s="32"/>
      <c r="BL333" s="32"/>
      <c r="BM333" s="32"/>
      <c r="BN333" s="32"/>
      <c r="BO333" s="32"/>
      <c r="BP333" s="32"/>
      <c r="BQ333" s="32"/>
      <c r="BR333" s="32"/>
      <c r="BS333" s="32"/>
      <c r="BT333" s="32"/>
      <c r="BU333" s="32"/>
      <c r="BV333" s="32"/>
      <c r="BW333" s="32"/>
      <c r="BX333" s="32"/>
      <c r="BY333" s="32"/>
      <c r="BZ333" s="32"/>
      <c r="CA333" s="32"/>
      <c r="CB333" s="32"/>
      <c r="CC333" s="32"/>
      <c r="CD333" s="32"/>
      <c r="CE333" s="32"/>
      <c r="CF333" s="32"/>
      <c r="CG333" s="32"/>
      <c r="CH333" s="32"/>
      <c r="CI333" s="32"/>
      <c r="CJ333" s="32"/>
      <c r="CK333" s="32"/>
      <c r="CL333" s="32"/>
      <c r="CM333" s="32"/>
      <c r="CN333" s="32"/>
      <c r="CO333" s="32"/>
      <c r="CP333" s="32"/>
      <c r="CQ333" s="32"/>
      <c r="CR333" s="32"/>
      <c r="CS333" s="32"/>
      <c r="CT333" s="32"/>
      <c r="CU333" s="32"/>
      <c r="CV333" s="32"/>
      <c r="CW333" s="32"/>
      <c r="CX333" s="32"/>
      <c r="CY333" s="32"/>
      <c r="CZ333" s="32"/>
      <c r="DA333" s="32"/>
      <c r="DB333" s="32"/>
      <c r="DC333" s="32"/>
      <c r="DD333" s="32"/>
      <c r="DE333" s="32"/>
      <c r="DF333" s="32"/>
      <c r="DG333" s="32"/>
      <c r="DH333" s="32"/>
      <c r="DI333" s="32"/>
      <c r="DJ333" s="32"/>
      <c r="DK333" s="32"/>
      <c r="DL333" s="32"/>
      <c r="DM333" s="32"/>
      <c r="DN333" s="32"/>
      <c r="DO333" s="32"/>
      <c r="DP333" s="32"/>
      <c r="DQ333" s="32"/>
      <c r="DR333" s="32"/>
      <c r="DS333" s="32"/>
      <c r="DT333" s="32"/>
      <c r="DU333" s="32"/>
      <c r="DV333" s="32"/>
      <c r="DW333" s="32"/>
      <c r="DX333" s="32"/>
      <c r="DY333" s="32"/>
      <c r="DZ333" s="32"/>
      <c r="EA333" s="32"/>
      <c r="EB333" s="32"/>
      <c r="EC333" s="32"/>
      <c r="ED333" s="32"/>
      <c r="EE333" s="32"/>
      <c r="EF333" s="32"/>
      <c r="EG333" s="32"/>
      <c r="EH333" s="32"/>
      <c r="EI333" s="32"/>
      <c r="EJ333" s="32"/>
      <c r="EK333" s="32"/>
    </row>
    <row r="334" spans="2:141">
      <c r="AP334" s="32"/>
      <c r="AQ334" s="32"/>
      <c r="AR334" s="32"/>
      <c r="AS334" s="32"/>
      <c r="AT334" s="32"/>
      <c r="AU334" s="32"/>
      <c r="AV334" s="32"/>
      <c r="AW334" s="32"/>
      <c r="AX334" s="32"/>
      <c r="AY334" s="32"/>
      <c r="AZ334" s="32"/>
      <c r="BA334" s="32"/>
      <c r="BB334" s="32"/>
      <c r="BC334" s="32"/>
      <c r="BD334" s="32"/>
      <c r="BE334" s="32"/>
      <c r="BF334" s="32"/>
      <c r="BG334" s="32"/>
      <c r="BH334" s="32"/>
      <c r="BI334" s="32"/>
      <c r="BJ334" s="32"/>
      <c r="BK334" s="32"/>
      <c r="BL334" s="32"/>
      <c r="BM334" s="32"/>
      <c r="BN334" s="32"/>
      <c r="BO334" s="32"/>
      <c r="BP334" s="32"/>
      <c r="BQ334" s="32"/>
      <c r="BR334" s="32"/>
      <c r="BS334" s="32"/>
      <c r="BT334" s="32"/>
      <c r="BU334" s="32"/>
      <c r="BV334" s="32"/>
      <c r="BW334" s="32"/>
      <c r="BX334" s="32"/>
      <c r="BY334" s="32"/>
      <c r="BZ334" s="32"/>
      <c r="CA334" s="32"/>
      <c r="CB334" s="32"/>
      <c r="CC334" s="32"/>
      <c r="CD334" s="32"/>
      <c r="CE334" s="32"/>
      <c r="CF334" s="32"/>
      <c r="CG334" s="32"/>
      <c r="CH334" s="32"/>
      <c r="CI334" s="32"/>
      <c r="CJ334" s="32"/>
      <c r="CK334" s="32"/>
      <c r="CL334" s="32"/>
      <c r="CM334" s="32"/>
      <c r="CN334" s="32"/>
      <c r="CO334" s="32"/>
      <c r="CP334" s="32"/>
      <c r="CQ334" s="32"/>
      <c r="CR334" s="32"/>
      <c r="CS334" s="32"/>
      <c r="CT334" s="32"/>
      <c r="CU334" s="32"/>
      <c r="CV334" s="32"/>
      <c r="CW334" s="32"/>
      <c r="CX334" s="32"/>
      <c r="CY334" s="32"/>
      <c r="CZ334" s="32"/>
      <c r="DA334" s="32"/>
      <c r="DB334" s="32"/>
      <c r="DC334" s="32"/>
      <c r="DD334" s="32"/>
      <c r="DE334" s="32"/>
      <c r="DF334" s="32"/>
      <c r="DG334" s="32"/>
      <c r="DH334" s="32"/>
      <c r="DI334" s="32"/>
      <c r="DJ334" s="32"/>
      <c r="DK334" s="32"/>
      <c r="DL334" s="32"/>
      <c r="DM334" s="32"/>
      <c r="DN334" s="32"/>
      <c r="DO334" s="32"/>
      <c r="DP334" s="32"/>
      <c r="DQ334" s="32"/>
      <c r="DR334" s="32"/>
      <c r="DS334" s="32"/>
      <c r="DT334" s="32"/>
      <c r="DU334" s="32"/>
      <c r="DV334" s="32"/>
      <c r="DW334" s="32"/>
      <c r="DX334" s="32"/>
      <c r="DY334" s="32"/>
      <c r="DZ334" s="32"/>
      <c r="EA334" s="32"/>
      <c r="EB334" s="32"/>
      <c r="EC334" s="32"/>
      <c r="ED334" s="32"/>
      <c r="EE334" s="32"/>
      <c r="EF334" s="32"/>
      <c r="EG334" s="32"/>
      <c r="EH334" s="32"/>
      <c r="EI334" s="32"/>
      <c r="EJ334" s="32"/>
      <c r="EK334" s="32"/>
    </row>
    <row r="335" spans="2:141">
      <c r="AP335" s="32"/>
      <c r="AQ335" s="32"/>
      <c r="AR335" s="32"/>
      <c r="AS335" s="32"/>
      <c r="AT335" s="32"/>
      <c r="AU335" s="32"/>
      <c r="AV335" s="32"/>
      <c r="AW335" s="32"/>
      <c r="AX335" s="32"/>
      <c r="AY335" s="32"/>
      <c r="AZ335" s="32"/>
      <c r="BA335" s="32"/>
      <c r="BB335" s="32"/>
      <c r="BC335" s="32"/>
      <c r="BD335" s="32"/>
      <c r="BE335" s="32"/>
      <c r="BF335" s="32"/>
      <c r="BG335" s="32"/>
      <c r="BH335" s="32"/>
      <c r="BI335" s="32"/>
      <c r="BJ335" s="32"/>
      <c r="BK335" s="32"/>
      <c r="BL335" s="32"/>
      <c r="BM335" s="32"/>
      <c r="BN335" s="32"/>
      <c r="BO335" s="32"/>
      <c r="BP335" s="32"/>
      <c r="BQ335" s="32"/>
      <c r="BR335" s="32"/>
      <c r="BS335" s="32"/>
      <c r="BT335" s="32"/>
      <c r="BU335" s="32"/>
      <c r="BV335" s="32"/>
      <c r="BW335" s="32"/>
      <c r="BX335" s="32"/>
      <c r="BY335" s="32"/>
      <c r="BZ335" s="32"/>
      <c r="CA335" s="32"/>
      <c r="CB335" s="32"/>
      <c r="CC335" s="32"/>
      <c r="CD335" s="32"/>
      <c r="CE335" s="32"/>
      <c r="CF335" s="32"/>
      <c r="CG335" s="32"/>
      <c r="CH335" s="32"/>
      <c r="CI335" s="32"/>
      <c r="CJ335" s="32"/>
      <c r="CK335" s="32"/>
      <c r="CL335" s="32"/>
      <c r="CM335" s="32"/>
      <c r="CN335" s="32"/>
      <c r="CO335" s="32"/>
      <c r="CP335" s="32"/>
      <c r="CQ335" s="32"/>
      <c r="CR335" s="32"/>
      <c r="CS335" s="32"/>
      <c r="CT335" s="32"/>
      <c r="CU335" s="32"/>
      <c r="CV335" s="32"/>
      <c r="CW335" s="32"/>
      <c r="CX335" s="32"/>
      <c r="CY335" s="32"/>
      <c r="CZ335" s="32"/>
      <c r="DA335" s="32"/>
      <c r="DB335" s="32"/>
      <c r="DC335" s="32"/>
      <c r="DD335" s="32"/>
      <c r="DE335" s="32"/>
      <c r="DF335" s="32"/>
      <c r="DG335" s="32"/>
      <c r="DH335" s="32"/>
      <c r="DI335" s="32"/>
      <c r="DJ335" s="32"/>
      <c r="DK335" s="32"/>
      <c r="DL335" s="32"/>
      <c r="DM335" s="32"/>
      <c r="DN335" s="32"/>
      <c r="DO335" s="32"/>
      <c r="DP335" s="32"/>
      <c r="DQ335" s="32"/>
      <c r="DR335" s="32"/>
      <c r="DS335" s="32"/>
      <c r="DT335" s="32"/>
      <c r="DU335" s="32"/>
      <c r="DV335" s="32"/>
      <c r="DW335" s="32"/>
      <c r="DX335" s="32"/>
      <c r="DY335" s="32"/>
      <c r="DZ335" s="32"/>
      <c r="EA335" s="32"/>
      <c r="EB335" s="32"/>
      <c r="EC335" s="32"/>
      <c r="ED335" s="32"/>
      <c r="EE335" s="32"/>
      <c r="EF335" s="32"/>
      <c r="EG335" s="32"/>
      <c r="EH335" s="32"/>
      <c r="EI335" s="32"/>
      <c r="EJ335" s="32"/>
      <c r="EK335" s="32"/>
    </row>
    <row r="336" spans="2:141">
      <c r="AP336" s="32"/>
      <c r="AQ336" s="32"/>
      <c r="AR336" s="32"/>
      <c r="AS336" s="32"/>
      <c r="AT336" s="32"/>
      <c r="AU336" s="32"/>
      <c r="AV336" s="32"/>
      <c r="AW336" s="32"/>
      <c r="AX336" s="32"/>
      <c r="AY336" s="32"/>
      <c r="AZ336" s="32"/>
      <c r="BA336" s="32"/>
      <c r="BB336" s="32"/>
      <c r="BC336" s="32"/>
      <c r="BD336" s="32"/>
      <c r="BE336" s="32"/>
      <c r="BF336" s="32"/>
      <c r="BG336" s="32"/>
      <c r="BH336" s="32"/>
      <c r="BI336" s="32"/>
      <c r="BJ336" s="32"/>
      <c r="BK336" s="32"/>
      <c r="BL336" s="32"/>
      <c r="BM336" s="32"/>
      <c r="BN336" s="32"/>
      <c r="BO336" s="32"/>
      <c r="BP336" s="32"/>
      <c r="BQ336" s="32"/>
      <c r="BR336" s="32"/>
      <c r="BS336" s="32"/>
      <c r="BT336" s="32"/>
      <c r="BU336" s="32"/>
      <c r="BV336" s="32"/>
      <c r="BW336" s="32"/>
      <c r="BX336" s="32"/>
      <c r="BY336" s="32"/>
      <c r="BZ336" s="32"/>
      <c r="CA336" s="32"/>
      <c r="CB336" s="32"/>
      <c r="CC336" s="32"/>
      <c r="CD336" s="32"/>
      <c r="CE336" s="32"/>
      <c r="CF336" s="32"/>
      <c r="CG336" s="32"/>
      <c r="CH336" s="32"/>
      <c r="CI336" s="32"/>
      <c r="CJ336" s="32"/>
      <c r="CK336" s="32"/>
      <c r="CL336" s="32"/>
      <c r="CM336" s="32"/>
      <c r="CN336" s="32"/>
      <c r="CO336" s="32"/>
      <c r="CP336" s="32"/>
      <c r="CQ336" s="32"/>
      <c r="CR336" s="32"/>
      <c r="CS336" s="32"/>
      <c r="CT336" s="32"/>
      <c r="CU336" s="32"/>
      <c r="CV336" s="32"/>
      <c r="CW336" s="32"/>
      <c r="CX336" s="32"/>
      <c r="CY336" s="32"/>
      <c r="CZ336" s="32"/>
      <c r="DA336" s="32"/>
      <c r="DB336" s="32"/>
      <c r="DC336" s="32"/>
      <c r="DD336" s="32"/>
      <c r="DE336" s="32"/>
      <c r="DF336" s="32"/>
      <c r="DG336" s="32"/>
      <c r="DH336" s="32"/>
      <c r="DI336" s="32"/>
      <c r="DJ336" s="32"/>
      <c r="DK336" s="32"/>
      <c r="DL336" s="32"/>
      <c r="DM336" s="32"/>
      <c r="DN336" s="32"/>
      <c r="DO336" s="32"/>
      <c r="DP336" s="32"/>
      <c r="DQ336" s="32"/>
      <c r="DR336" s="32"/>
      <c r="DS336" s="32"/>
      <c r="DT336" s="32"/>
      <c r="DU336" s="32"/>
      <c r="DV336" s="32"/>
      <c r="DW336" s="32"/>
      <c r="DX336" s="32"/>
      <c r="DY336" s="32"/>
      <c r="DZ336" s="32"/>
      <c r="EA336" s="32"/>
      <c r="EB336" s="32"/>
      <c r="EC336" s="32"/>
      <c r="ED336" s="32"/>
      <c r="EE336" s="32"/>
      <c r="EF336" s="32"/>
      <c r="EG336" s="32"/>
      <c r="EH336" s="32"/>
      <c r="EI336" s="32"/>
      <c r="EJ336" s="32"/>
      <c r="EK336" s="32"/>
    </row>
    <row r="337" spans="42:141">
      <c r="AP337" s="32"/>
      <c r="AQ337" s="32"/>
      <c r="AR337" s="32"/>
      <c r="AS337" s="32"/>
      <c r="AT337" s="32"/>
      <c r="AU337" s="32"/>
      <c r="AV337" s="32"/>
      <c r="AW337" s="32"/>
      <c r="AX337" s="32"/>
      <c r="AY337" s="32"/>
      <c r="AZ337" s="32"/>
      <c r="BA337" s="32"/>
      <c r="BB337" s="32"/>
      <c r="BC337" s="32"/>
      <c r="BD337" s="32"/>
      <c r="BE337" s="32"/>
      <c r="BF337" s="32"/>
      <c r="BG337" s="32"/>
      <c r="BH337" s="32"/>
      <c r="BI337" s="32"/>
      <c r="BJ337" s="32"/>
      <c r="BK337" s="32"/>
      <c r="BL337" s="32"/>
      <c r="BM337" s="32"/>
      <c r="BN337" s="32"/>
      <c r="BO337" s="32"/>
      <c r="BP337" s="32"/>
      <c r="BQ337" s="32"/>
      <c r="BR337" s="32"/>
      <c r="BS337" s="32"/>
      <c r="BT337" s="32"/>
      <c r="BU337" s="32"/>
      <c r="BV337" s="32"/>
      <c r="BW337" s="32"/>
      <c r="BX337" s="32"/>
      <c r="BY337" s="32"/>
      <c r="BZ337" s="32"/>
      <c r="CA337" s="32"/>
      <c r="CB337" s="32"/>
      <c r="CC337" s="32"/>
      <c r="CD337" s="32"/>
      <c r="CE337" s="32"/>
      <c r="CF337" s="32"/>
      <c r="CG337" s="32"/>
      <c r="CH337" s="32"/>
      <c r="CI337" s="32"/>
      <c r="CJ337" s="32"/>
      <c r="CK337" s="32"/>
      <c r="CL337" s="32"/>
      <c r="CM337" s="32"/>
      <c r="CN337" s="32"/>
      <c r="CO337" s="32"/>
      <c r="CP337" s="32"/>
      <c r="CQ337" s="32"/>
      <c r="CR337" s="32"/>
      <c r="CS337" s="32"/>
      <c r="CT337" s="32"/>
      <c r="CU337" s="32"/>
      <c r="CV337" s="32"/>
      <c r="CW337" s="32"/>
      <c r="CX337" s="32"/>
      <c r="CY337" s="32"/>
      <c r="CZ337" s="32"/>
      <c r="DA337" s="32"/>
      <c r="DB337" s="32"/>
      <c r="DC337" s="32"/>
      <c r="DD337" s="32"/>
      <c r="DE337" s="32"/>
      <c r="DF337" s="32"/>
      <c r="DG337" s="32"/>
      <c r="DH337" s="32"/>
      <c r="DI337" s="32"/>
      <c r="DJ337" s="32"/>
      <c r="DK337" s="32"/>
      <c r="DL337" s="32"/>
      <c r="DM337" s="32"/>
      <c r="DN337" s="32"/>
      <c r="DO337" s="32"/>
      <c r="DP337" s="32"/>
      <c r="DQ337" s="32"/>
      <c r="DR337" s="32"/>
      <c r="DS337" s="32"/>
      <c r="DT337" s="32"/>
      <c r="DU337" s="32"/>
      <c r="DV337" s="32"/>
      <c r="DW337" s="32"/>
      <c r="DX337" s="32"/>
      <c r="DY337" s="32"/>
      <c r="DZ337" s="32"/>
      <c r="EA337" s="32"/>
      <c r="EB337" s="32"/>
      <c r="EC337" s="32"/>
      <c r="ED337" s="32"/>
      <c r="EE337" s="32"/>
      <c r="EF337" s="32"/>
      <c r="EG337" s="32"/>
      <c r="EH337" s="32"/>
      <c r="EI337" s="32"/>
      <c r="EJ337" s="32"/>
      <c r="EK337" s="32"/>
    </row>
    <row r="338" spans="42:141">
      <c r="AP338" s="32"/>
      <c r="AQ338" s="32"/>
      <c r="AR338" s="32"/>
      <c r="AS338" s="32"/>
      <c r="AT338" s="32"/>
      <c r="AU338" s="32"/>
      <c r="AV338" s="32"/>
      <c r="AW338" s="32"/>
      <c r="AX338" s="32"/>
      <c r="AY338" s="32"/>
      <c r="AZ338" s="32"/>
      <c r="BA338" s="32"/>
      <c r="BB338" s="32"/>
      <c r="BC338" s="32"/>
      <c r="BD338" s="32"/>
      <c r="BE338" s="32"/>
      <c r="BF338" s="32"/>
      <c r="BG338" s="32"/>
      <c r="BH338" s="32"/>
      <c r="BI338" s="32"/>
      <c r="BJ338" s="32"/>
      <c r="BK338" s="32"/>
      <c r="BL338" s="32"/>
      <c r="BM338" s="32"/>
      <c r="BN338" s="32"/>
      <c r="BO338" s="32"/>
      <c r="BP338" s="32"/>
      <c r="BQ338" s="32"/>
      <c r="BR338" s="32"/>
      <c r="BS338" s="32"/>
      <c r="BT338" s="32"/>
      <c r="BU338" s="32"/>
      <c r="BV338" s="32"/>
      <c r="BW338" s="32"/>
      <c r="BX338" s="32"/>
      <c r="BY338" s="32"/>
      <c r="BZ338" s="32"/>
      <c r="CA338" s="32"/>
      <c r="CB338" s="32"/>
      <c r="CC338" s="32"/>
      <c r="CD338" s="32"/>
      <c r="CE338" s="32"/>
      <c r="CF338" s="32"/>
      <c r="CG338" s="32"/>
      <c r="CH338" s="32"/>
      <c r="CI338" s="32"/>
      <c r="CJ338" s="32"/>
      <c r="CK338" s="32"/>
      <c r="CL338" s="32"/>
      <c r="CM338" s="32"/>
      <c r="CN338" s="32"/>
      <c r="CO338" s="32"/>
      <c r="CP338" s="32"/>
      <c r="CQ338" s="32"/>
      <c r="CR338" s="32"/>
      <c r="CS338" s="32"/>
      <c r="CT338" s="32"/>
      <c r="CU338" s="32"/>
      <c r="CV338" s="32"/>
      <c r="CW338" s="32"/>
      <c r="CX338" s="32"/>
      <c r="CY338" s="32"/>
      <c r="CZ338" s="32"/>
      <c r="DA338" s="32"/>
      <c r="DB338" s="32"/>
      <c r="DC338" s="32"/>
      <c r="DD338" s="32"/>
      <c r="DE338" s="32"/>
      <c r="DF338" s="32"/>
      <c r="DG338" s="32"/>
      <c r="DH338" s="32"/>
      <c r="DI338" s="32"/>
      <c r="DJ338" s="32"/>
      <c r="DK338" s="32"/>
      <c r="DL338" s="32"/>
      <c r="DM338" s="32"/>
      <c r="DN338" s="32"/>
      <c r="DO338" s="32"/>
      <c r="DP338" s="32"/>
      <c r="DQ338" s="32"/>
      <c r="DR338" s="32"/>
      <c r="DS338" s="32"/>
      <c r="DT338" s="32"/>
      <c r="DU338" s="32"/>
      <c r="DV338" s="32"/>
      <c r="DW338" s="32"/>
      <c r="DX338" s="32"/>
      <c r="DY338" s="32"/>
      <c r="DZ338" s="32"/>
      <c r="EA338" s="32"/>
      <c r="EB338" s="32"/>
      <c r="EC338" s="32"/>
      <c r="ED338" s="32"/>
      <c r="EE338" s="32"/>
      <c r="EF338" s="32"/>
      <c r="EG338" s="32"/>
      <c r="EH338" s="32"/>
      <c r="EI338" s="32"/>
      <c r="EJ338" s="32"/>
      <c r="EK338" s="32"/>
    </row>
    <row r="339" spans="42:141">
      <c r="AP339" s="32"/>
      <c r="AQ339" s="32"/>
      <c r="AR339" s="32"/>
      <c r="AS339" s="32"/>
      <c r="AT339" s="32"/>
      <c r="AU339" s="32"/>
      <c r="AV339" s="32"/>
      <c r="AW339" s="32"/>
      <c r="AX339" s="32"/>
      <c r="AY339" s="32"/>
      <c r="AZ339" s="32"/>
      <c r="BA339" s="32"/>
      <c r="BB339" s="32"/>
      <c r="BC339" s="32"/>
      <c r="BD339" s="32"/>
      <c r="BE339" s="32"/>
      <c r="BF339" s="32"/>
      <c r="BG339" s="32"/>
      <c r="BH339" s="32"/>
      <c r="BI339" s="32"/>
      <c r="BJ339" s="32"/>
      <c r="BK339" s="32"/>
      <c r="BL339" s="32"/>
      <c r="BM339" s="32"/>
      <c r="BN339" s="32"/>
      <c r="BO339" s="32"/>
      <c r="BP339" s="32"/>
      <c r="BQ339" s="32"/>
      <c r="BR339" s="32"/>
      <c r="BS339" s="32"/>
      <c r="BT339" s="32"/>
      <c r="BU339" s="32"/>
      <c r="BV339" s="32"/>
      <c r="BW339" s="32"/>
      <c r="BX339" s="32"/>
      <c r="BY339" s="32"/>
      <c r="BZ339" s="32"/>
      <c r="CA339" s="32"/>
      <c r="CB339" s="32"/>
      <c r="CC339" s="32"/>
      <c r="CD339" s="32"/>
      <c r="CE339" s="32"/>
      <c r="CF339" s="32"/>
      <c r="CG339" s="32"/>
      <c r="CH339" s="32"/>
      <c r="CI339" s="32"/>
      <c r="CJ339" s="32"/>
      <c r="CK339" s="32"/>
      <c r="CL339" s="32"/>
      <c r="CM339" s="32"/>
      <c r="CN339" s="32"/>
      <c r="CO339" s="32"/>
      <c r="CP339" s="32"/>
      <c r="CQ339" s="32"/>
      <c r="CR339" s="32"/>
      <c r="CS339" s="32"/>
      <c r="CT339" s="32"/>
      <c r="CU339" s="32"/>
      <c r="CV339" s="32"/>
      <c r="CW339" s="32"/>
      <c r="CX339" s="32"/>
      <c r="CY339" s="32"/>
      <c r="CZ339" s="32"/>
      <c r="DA339" s="32"/>
      <c r="DB339" s="32"/>
      <c r="DC339" s="32"/>
      <c r="DD339" s="32"/>
      <c r="DE339" s="32"/>
      <c r="DF339" s="32"/>
      <c r="DG339" s="32"/>
      <c r="DH339" s="32"/>
      <c r="DI339" s="32"/>
      <c r="DJ339" s="32"/>
      <c r="DK339" s="32"/>
      <c r="DL339" s="32"/>
      <c r="DM339" s="32"/>
      <c r="DN339" s="32"/>
      <c r="DO339" s="32"/>
      <c r="DP339" s="32"/>
      <c r="DQ339" s="32"/>
      <c r="DR339" s="32"/>
      <c r="DS339" s="32"/>
      <c r="DT339" s="32"/>
      <c r="DU339" s="32"/>
      <c r="DV339" s="32"/>
      <c r="DW339" s="32"/>
      <c r="DX339" s="32"/>
      <c r="DY339" s="32"/>
      <c r="DZ339" s="32"/>
      <c r="EA339" s="32"/>
      <c r="EB339" s="32"/>
      <c r="EC339" s="32"/>
      <c r="ED339" s="32"/>
      <c r="EE339" s="32"/>
      <c r="EF339" s="32"/>
      <c r="EG339" s="32"/>
      <c r="EH339" s="32"/>
      <c r="EI339" s="32"/>
      <c r="EJ339" s="32"/>
      <c r="EK339" s="32"/>
    </row>
    <row r="340" spans="42:141">
      <c r="AP340" s="32"/>
      <c r="AQ340" s="32"/>
      <c r="AR340" s="32"/>
      <c r="AS340" s="32"/>
      <c r="AT340" s="32"/>
      <c r="AU340" s="32"/>
      <c r="AV340" s="32"/>
      <c r="AW340" s="32"/>
      <c r="AX340" s="32"/>
      <c r="AY340" s="32"/>
      <c r="AZ340" s="32"/>
      <c r="BA340" s="32"/>
      <c r="BB340" s="32"/>
      <c r="BC340" s="32"/>
      <c r="BD340" s="32"/>
      <c r="BE340" s="32"/>
      <c r="BF340" s="32"/>
      <c r="BG340" s="32"/>
      <c r="BH340" s="32"/>
      <c r="BI340" s="32"/>
      <c r="BJ340" s="32"/>
      <c r="BK340" s="32"/>
      <c r="BL340" s="32"/>
      <c r="BM340" s="32"/>
      <c r="BN340" s="32"/>
      <c r="BO340" s="32"/>
      <c r="BP340" s="32"/>
      <c r="BQ340" s="32"/>
      <c r="BR340" s="32"/>
      <c r="BS340" s="32"/>
      <c r="BT340" s="32"/>
      <c r="BU340" s="32"/>
      <c r="BV340" s="32"/>
      <c r="BW340" s="32"/>
      <c r="BX340" s="32"/>
      <c r="BY340" s="32"/>
      <c r="BZ340" s="32"/>
      <c r="CA340" s="32"/>
      <c r="CB340" s="32"/>
      <c r="CC340" s="32"/>
      <c r="CD340" s="32"/>
      <c r="CE340" s="32"/>
      <c r="CF340" s="32"/>
      <c r="CG340" s="32"/>
      <c r="CH340" s="32"/>
      <c r="CI340" s="32"/>
      <c r="CJ340" s="32"/>
      <c r="CK340" s="32"/>
      <c r="CL340" s="32"/>
      <c r="CM340" s="32"/>
      <c r="CN340" s="32"/>
      <c r="CO340" s="32"/>
      <c r="CP340" s="32"/>
      <c r="CQ340" s="32"/>
      <c r="CR340" s="32"/>
      <c r="CS340" s="32"/>
      <c r="CT340" s="32"/>
      <c r="CU340" s="32"/>
      <c r="CV340" s="32"/>
      <c r="CW340" s="32"/>
      <c r="CX340" s="32"/>
      <c r="CY340" s="32"/>
      <c r="CZ340" s="32"/>
      <c r="DA340" s="32"/>
      <c r="DB340" s="32"/>
      <c r="DC340" s="32"/>
      <c r="DD340" s="32"/>
      <c r="DE340" s="32"/>
      <c r="DF340" s="32"/>
      <c r="DG340" s="32"/>
      <c r="DH340" s="32"/>
      <c r="DI340" s="32"/>
      <c r="DJ340" s="32"/>
      <c r="DK340" s="32"/>
      <c r="DL340" s="32"/>
      <c r="DM340" s="32"/>
      <c r="DN340" s="32"/>
      <c r="DO340" s="32"/>
      <c r="DP340" s="32"/>
      <c r="DQ340" s="32"/>
      <c r="DR340" s="32"/>
      <c r="DS340" s="32"/>
      <c r="DT340" s="32"/>
      <c r="DU340" s="32"/>
      <c r="DV340" s="32"/>
      <c r="DW340" s="32"/>
      <c r="DX340" s="32"/>
      <c r="DY340" s="32"/>
      <c r="DZ340" s="32"/>
      <c r="EA340" s="32"/>
      <c r="EB340" s="32"/>
      <c r="EC340" s="32"/>
      <c r="ED340" s="32"/>
      <c r="EE340" s="32"/>
      <c r="EF340" s="32"/>
      <c r="EG340" s="32"/>
      <c r="EH340" s="32"/>
      <c r="EI340" s="32"/>
      <c r="EJ340" s="32"/>
      <c r="EK340" s="32"/>
    </row>
    <row r="341" spans="42:141">
      <c r="AP341" s="32"/>
      <c r="AQ341" s="32"/>
      <c r="AR341" s="32"/>
      <c r="AS341" s="32"/>
      <c r="AT341" s="32"/>
      <c r="AU341" s="32"/>
      <c r="AV341" s="32"/>
      <c r="AW341" s="32"/>
      <c r="AX341" s="32"/>
      <c r="AY341" s="32"/>
      <c r="AZ341" s="32"/>
      <c r="BA341" s="32"/>
      <c r="BB341" s="32"/>
      <c r="BC341" s="32"/>
      <c r="BD341" s="32"/>
      <c r="BE341" s="32"/>
      <c r="BF341" s="32"/>
      <c r="BG341" s="32"/>
      <c r="BH341" s="32"/>
      <c r="BI341" s="32"/>
      <c r="BJ341" s="32"/>
      <c r="BK341" s="32"/>
      <c r="BL341" s="32"/>
      <c r="BM341" s="32"/>
      <c r="BN341" s="32"/>
      <c r="BO341" s="32"/>
      <c r="BP341" s="32"/>
      <c r="BQ341" s="32"/>
      <c r="BR341" s="32"/>
      <c r="BS341" s="32"/>
      <c r="BT341" s="32"/>
      <c r="BU341" s="32"/>
      <c r="BV341" s="32"/>
      <c r="BW341" s="32"/>
      <c r="BX341" s="32"/>
      <c r="BY341" s="32"/>
      <c r="BZ341" s="32"/>
      <c r="CA341" s="32"/>
      <c r="CB341" s="32"/>
      <c r="CC341" s="32"/>
      <c r="CD341" s="32"/>
      <c r="CE341" s="32"/>
      <c r="CF341" s="32"/>
      <c r="CG341" s="32"/>
      <c r="CH341" s="32"/>
      <c r="CI341" s="32"/>
      <c r="CJ341" s="32"/>
      <c r="CK341" s="32"/>
      <c r="CL341" s="32"/>
      <c r="CM341" s="32"/>
      <c r="CN341" s="32"/>
      <c r="CO341" s="32"/>
      <c r="CP341" s="32"/>
      <c r="CQ341" s="32"/>
      <c r="CR341" s="32"/>
      <c r="CS341" s="32"/>
      <c r="CT341" s="32"/>
      <c r="CU341" s="32"/>
      <c r="CV341" s="32"/>
      <c r="CW341" s="32"/>
      <c r="CX341" s="32"/>
      <c r="CY341" s="32"/>
      <c r="CZ341" s="32"/>
      <c r="DA341" s="32"/>
      <c r="DB341" s="32"/>
      <c r="DC341" s="32"/>
      <c r="DD341" s="32"/>
      <c r="DE341" s="32"/>
      <c r="DF341" s="32"/>
      <c r="DG341" s="32"/>
      <c r="DH341" s="32"/>
      <c r="DI341" s="32"/>
      <c r="DJ341" s="32"/>
      <c r="DK341" s="32"/>
      <c r="DL341" s="32"/>
      <c r="DM341" s="32"/>
      <c r="DN341" s="32"/>
      <c r="DO341" s="32"/>
      <c r="DP341" s="32"/>
      <c r="DQ341" s="32"/>
      <c r="DR341" s="32"/>
      <c r="DS341" s="32"/>
      <c r="DT341" s="32"/>
      <c r="DU341" s="32"/>
      <c r="DV341" s="32"/>
      <c r="DW341" s="32"/>
      <c r="DX341" s="32"/>
      <c r="DY341" s="32"/>
      <c r="DZ341" s="32"/>
      <c r="EA341" s="32"/>
      <c r="EB341" s="32"/>
      <c r="EC341" s="32"/>
      <c r="ED341" s="32"/>
      <c r="EE341" s="32"/>
      <c r="EF341" s="32"/>
      <c r="EG341" s="32"/>
      <c r="EH341" s="32"/>
      <c r="EI341" s="32"/>
      <c r="EJ341" s="32"/>
      <c r="EK341" s="32"/>
    </row>
    <row r="342" spans="42:141">
      <c r="AP342" s="32"/>
      <c r="AQ342" s="32"/>
      <c r="AR342" s="32"/>
      <c r="AS342" s="32"/>
      <c r="AT342" s="32"/>
      <c r="AU342" s="32"/>
      <c r="AV342" s="32"/>
      <c r="AW342" s="32"/>
      <c r="AX342" s="32"/>
      <c r="AY342" s="32"/>
      <c r="AZ342" s="32"/>
      <c r="BA342" s="32"/>
      <c r="BB342" s="32"/>
      <c r="BC342" s="32"/>
      <c r="BD342" s="32"/>
      <c r="BE342" s="32"/>
      <c r="BF342" s="32"/>
      <c r="BG342" s="32"/>
      <c r="BH342" s="32"/>
      <c r="BI342" s="32"/>
      <c r="BJ342" s="32"/>
      <c r="BK342" s="32"/>
      <c r="BL342" s="32"/>
      <c r="BM342" s="32"/>
      <c r="BN342" s="32"/>
      <c r="BO342" s="32"/>
      <c r="BP342" s="32"/>
      <c r="BQ342" s="32"/>
      <c r="BR342" s="32"/>
      <c r="BS342" s="32"/>
      <c r="BT342" s="32"/>
      <c r="BU342" s="32"/>
      <c r="BV342" s="32"/>
      <c r="BW342" s="32"/>
      <c r="BX342" s="32"/>
      <c r="BY342" s="32"/>
      <c r="BZ342" s="32"/>
      <c r="CA342" s="32"/>
      <c r="CB342" s="32"/>
      <c r="CC342" s="32"/>
      <c r="CD342" s="32"/>
      <c r="CE342" s="32"/>
      <c r="CF342" s="32"/>
      <c r="CG342" s="32"/>
      <c r="CH342" s="32"/>
      <c r="CI342" s="32"/>
      <c r="CJ342" s="32"/>
      <c r="CK342" s="32"/>
      <c r="CL342" s="32"/>
      <c r="CM342" s="32"/>
      <c r="CN342" s="32"/>
      <c r="CO342" s="32"/>
      <c r="CP342" s="32"/>
      <c r="CQ342" s="32"/>
      <c r="CR342" s="32"/>
      <c r="CS342" s="32"/>
      <c r="CT342" s="32"/>
      <c r="CU342" s="32"/>
      <c r="CV342" s="32"/>
      <c r="CW342" s="32"/>
      <c r="CX342" s="32"/>
      <c r="CY342" s="32"/>
      <c r="CZ342" s="32"/>
      <c r="DA342" s="32"/>
      <c r="DB342" s="32"/>
      <c r="DC342" s="32"/>
      <c r="DD342" s="32"/>
      <c r="DE342" s="32"/>
      <c r="DF342" s="32"/>
      <c r="DG342" s="32"/>
      <c r="DH342" s="32"/>
      <c r="DI342" s="32"/>
      <c r="DJ342" s="32"/>
      <c r="DK342" s="32"/>
      <c r="DL342" s="32"/>
      <c r="DM342" s="32"/>
      <c r="DN342" s="32"/>
      <c r="DO342" s="32"/>
      <c r="DP342" s="32"/>
      <c r="DQ342" s="32"/>
      <c r="DR342" s="32"/>
      <c r="DS342" s="32"/>
      <c r="DT342" s="32"/>
      <c r="DU342" s="32"/>
      <c r="DV342" s="32"/>
      <c r="DW342" s="32"/>
      <c r="DX342" s="32"/>
      <c r="DY342" s="32"/>
      <c r="DZ342" s="32"/>
      <c r="EA342" s="32"/>
      <c r="EB342" s="32"/>
      <c r="EC342" s="32"/>
      <c r="ED342" s="32"/>
      <c r="EE342" s="32"/>
      <c r="EF342" s="32"/>
      <c r="EG342" s="32"/>
      <c r="EH342" s="32"/>
      <c r="EI342" s="32"/>
      <c r="EJ342" s="32"/>
      <c r="EK342" s="32"/>
    </row>
    <row r="343" spans="42:141">
      <c r="AP343" s="32"/>
      <c r="AQ343" s="32"/>
      <c r="AR343" s="32"/>
      <c r="AS343" s="32"/>
      <c r="AT343" s="32"/>
      <c r="AU343" s="32"/>
      <c r="AV343" s="32"/>
      <c r="AW343" s="32"/>
      <c r="AX343" s="32"/>
      <c r="AY343" s="32"/>
      <c r="AZ343" s="32"/>
      <c r="BA343" s="32"/>
      <c r="BB343" s="32"/>
      <c r="BC343" s="32"/>
      <c r="BD343" s="32"/>
      <c r="BE343" s="32"/>
      <c r="BF343" s="32"/>
      <c r="BG343" s="32"/>
      <c r="BH343" s="32"/>
      <c r="BI343" s="32"/>
      <c r="BJ343" s="32"/>
      <c r="BK343" s="32"/>
      <c r="BL343" s="32"/>
      <c r="BM343" s="32"/>
      <c r="BN343" s="32"/>
      <c r="BO343" s="32"/>
      <c r="BP343" s="32"/>
      <c r="BQ343" s="32"/>
      <c r="BR343" s="32"/>
      <c r="BS343" s="32"/>
      <c r="BT343" s="32"/>
      <c r="BU343" s="32"/>
      <c r="BV343" s="32"/>
      <c r="BW343" s="32"/>
      <c r="BX343" s="32"/>
      <c r="BY343" s="32"/>
      <c r="BZ343" s="32"/>
      <c r="CA343" s="32"/>
      <c r="CB343" s="32"/>
      <c r="CC343" s="32"/>
      <c r="CD343" s="32"/>
      <c r="CE343" s="32"/>
      <c r="CF343" s="32"/>
      <c r="CG343" s="32"/>
      <c r="CH343" s="32"/>
      <c r="CI343" s="32"/>
      <c r="CJ343" s="32"/>
      <c r="CK343" s="32"/>
      <c r="CL343" s="32"/>
      <c r="CM343" s="32"/>
      <c r="CN343" s="32"/>
      <c r="CO343" s="32"/>
      <c r="CP343" s="32"/>
      <c r="CQ343" s="32"/>
      <c r="CR343" s="32"/>
      <c r="CS343" s="32"/>
      <c r="CT343" s="32"/>
      <c r="CU343" s="32"/>
      <c r="CV343" s="32"/>
      <c r="CW343" s="32"/>
      <c r="CX343" s="32"/>
      <c r="CY343" s="32"/>
      <c r="CZ343" s="32"/>
      <c r="DA343" s="32"/>
      <c r="DB343" s="32"/>
      <c r="DC343" s="32"/>
      <c r="DD343" s="32"/>
      <c r="DE343" s="32"/>
      <c r="DF343" s="32"/>
      <c r="DG343" s="32"/>
      <c r="DH343" s="32"/>
      <c r="DI343" s="32"/>
      <c r="DJ343" s="32"/>
      <c r="DK343" s="32"/>
      <c r="DL343" s="32"/>
      <c r="DM343" s="32"/>
      <c r="DN343" s="32"/>
      <c r="DO343" s="32"/>
      <c r="DP343" s="32"/>
      <c r="DQ343" s="32"/>
      <c r="DR343" s="32"/>
      <c r="DS343" s="32"/>
      <c r="DT343" s="32"/>
      <c r="DU343" s="32"/>
      <c r="DV343" s="32"/>
      <c r="DW343" s="32"/>
      <c r="DX343" s="32"/>
      <c r="DY343" s="32"/>
      <c r="DZ343" s="32"/>
      <c r="EA343" s="32"/>
      <c r="EB343" s="32"/>
      <c r="EC343" s="32"/>
      <c r="ED343" s="32"/>
      <c r="EE343" s="32"/>
      <c r="EF343" s="32"/>
      <c r="EG343" s="32"/>
      <c r="EH343" s="32"/>
      <c r="EI343" s="32"/>
      <c r="EJ343" s="32"/>
      <c r="EK343" s="32"/>
    </row>
    <row r="344" spans="42:141">
      <c r="AP344" s="32"/>
      <c r="AQ344" s="32"/>
      <c r="AR344" s="32"/>
      <c r="AS344" s="32"/>
      <c r="AT344" s="32"/>
      <c r="AU344" s="32"/>
      <c r="AV344" s="32"/>
      <c r="AW344" s="32"/>
      <c r="AX344" s="32"/>
      <c r="AY344" s="32"/>
      <c r="AZ344" s="32"/>
      <c r="BA344" s="32"/>
      <c r="BB344" s="32"/>
      <c r="BC344" s="32"/>
      <c r="BD344" s="32"/>
      <c r="BE344" s="32"/>
      <c r="BF344" s="32"/>
      <c r="BG344" s="32"/>
      <c r="BH344" s="32"/>
      <c r="BI344" s="32"/>
      <c r="BJ344" s="32"/>
      <c r="BK344" s="32"/>
      <c r="BL344" s="32"/>
      <c r="BM344" s="32"/>
      <c r="BN344" s="32"/>
      <c r="BO344" s="32"/>
      <c r="BP344" s="32"/>
      <c r="BQ344" s="32"/>
      <c r="BR344" s="32"/>
      <c r="BS344" s="32"/>
      <c r="BT344" s="32"/>
      <c r="BU344" s="32"/>
      <c r="BV344" s="32"/>
      <c r="BW344" s="32"/>
      <c r="BX344" s="32"/>
      <c r="BY344" s="32"/>
      <c r="BZ344" s="32"/>
      <c r="CA344" s="32"/>
      <c r="CB344" s="32"/>
      <c r="CC344" s="32"/>
      <c r="CD344" s="32"/>
      <c r="CE344" s="32"/>
      <c r="CF344" s="32"/>
      <c r="CG344" s="32"/>
      <c r="CH344" s="32"/>
      <c r="CI344" s="32"/>
      <c r="CJ344" s="32"/>
      <c r="CK344" s="32"/>
      <c r="CL344" s="32"/>
      <c r="CM344" s="32"/>
      <c r="CN344" s="32"/>
      <c r="CO344" s="32"/>
      <c r="CP344" s="32"/>
      <c r="CQ344" s="32"/>
      <c r="CR344" s="32"/>
      <c r="CS344" s="32"/>
      <c r="CT344" s="32"/>
      <c r="CU344" s="32"/>
      <c r="CV344" s="32"/>
      <c r="CW344" s="32"/>
      <c r="CX344" s="32"/>
      <c r="CY344" s="32"/>
      <c r="CZ344" s="32"/>
      <c r="DA344" s="32"/>
      <c r="DB344" s="32"/>
      <c r="DC344" s="32"/>
      <c r="DD344" s="32"/>
      <c r="DE344" s="32"/>
      <c r="DF344" s="32"/>
      <c r="DG344" s="32"/>
      <c r="DH344" s="32"/>
      <c r="DI344" s="32"/>
      <c r="DJ344" s="32"/>
      <c r="DK344" s="32"/>
      <c r="DL344" s="32"/>
      <c r="DM344" s="32"/>
      <c r="DN344" s="32"/>
      <c r="DO344" s="32"/>
      <c r="DP344" s="32"/>
      <c r="DQ344" s="32"/>
      <c r="DR344" s="32"/>
      <c r="DS344" s="32"/>
      <c r="DT344" s="32"/>
      <c r="DU344" s="32"/>
      <c r="DV344" s="32"/>
      <c r="DW344" s="32"/>
      <c r="DX344" s="32"/>
      <c r="DY344" s="32"/>
      <c r="DZ344" s="32"/>
      <c r="EA344" s="32"/>
      <c r="EB344" s="32"/>
      <c r="EC344" s="32"/>
      <c r="ED344" s="32"/>
      <c r="EE344" s="32"/>
      <c r="EF344" s="32"/>
      <c r="EG344" s="32"/>
      <c r="EH344" s="32"/>
      <c r="EI344" s="32"/>
      <c r="EJ344" s="32"/>
      <c r="EK344" s="32"/>
    </row>
    <row r="345" spans="42:141">
      <c r="AP345" s="32"/>
      <c r="AQ345" s="32"/>
      <c r="AR345" s="32"/>
      <c r="AS345" s="32"/>
      <c r="AT345" s="32"/>
      <c r="AU345" s="32"/>
      <c r="AV345" s="32"/>
      <c r="AW345" s="32"/>
      <c r="AX345" s="32"/>
      <c r="AY345" s="32"/>
      <c r="AZ345" s="32"/>
      <c r="BA345" s="32"/>
      <c r="BB345" s="32"/>
      <c r="BC345" s="32"/>
      <c r="BD345" s="32"/>
      <c r="BE345" s="32"/>
      <c r="BF345" s="32"/>
      <c r="BG345" s="32"/>
      <c r="BH345" s="32"/>
      <c r="BI345" s="32"/>
      <c r="BJ345" s="32"/>
      <c r="BK345" s="32"/>
      <c r="BL345" s="32"/>
      <c r="BM345" s="32"/>
      <c r="BN345" s="32"/>
      <c r="BO345" s="32"/>
      <c r="BP345" s="32"/>
      <c r="BQ345" s="32"/>
      <c r="BR345" s="32"/>
      <c r="BS345" s="32"/>
      <c r="BT345" s="32"/>
      <c r="BU345" s="32"/>
      <c r="BV345" s="32"/>
      <c r="BW345" s="32"/>
      <c r="BX345" s="32"/>
      <c r="BY345" s="32"/>
      <c r="BZ345" s="32"/>
      <c r="CA345" s="32"/>
      <c r="CB345" s="32"/>
      <c r="CC345" s="32"/>
      <c r="CD345" s="32"/>
      <c r="CE345" s="32"/>
      <c r="CF345" s="32"/>
      <c r="CG345" s="32"/>
      <c r="CH345" s="32"/>
      <c r="CI345" s="32"/>
      <c r="CJ345" s="32"/>
      <c r="CK345" s="32"/>
      <c r="CL345" s="32"/>
      <c r="CM345" s="32"/>
      <c r="CN345" s="32"/>
      <c r="CO345" s="32"/>
      <c r="CP345" s="32"/>
      <c r="CQ345" s="32"/>
      <c r="CR345" s="32"/>
      <c r="CS345" s="32"/>
      <c r="CT345" s="32"/>
      <c r="CU345" s="32"/>
      <c r="CV345" s="32"/>
      <c r="CW345" s="32"/>
      <c r="CX345" s="32"/>
      <c r="CY345" s="32"/>
      <c r="CZ345" s="32"/>
      <c r="DA345" s="32"/>
      <c r="DB345" s="32"/>
      <c r="DC345" s="32"/>
      <c r="DD345" s="32"/>
      <c r="DE345" s="32"/>
      <c r="DF345" s="32"/>
      <c r="DG345" s="32"/>
      <c r="DH345" s="32"/>
      <c r="DI345" s="32"/>
      <c r="DJ345" s="32"/>
      <c r="DK345" s="32"/>
      <c r="DL345" s="32"/>
      <c r="DM345" s="32"/>
      <c r="DN345" s="32"/>
      <c r="DO345" s="32"/>
      <c r="DP345" s="32"/>
      <c r="DQ345" s="32"/>
      <c r="DR345" s="32"/>
      <c r="DS345" s="32"/>
      <c r="DT345" s="32"/>
      <c r="DU345" s="32"/>
      <c r="DV345" s="32"/>
      <c r="DW345" s="32"/>
      <c r="DX345" s="32"/>
      <c r="DY345" s="32"/>
      <c r="DZ345" s="32"/>
      <c r="EA345" s="32"/>
      <c r="EB345" s="32"/>
      <c r="EC345" s="32"/>
      <c r="ED345" s="32"/>
      <c r="EE345" s="32"/>
      <c r="EF345" s="32"/>
      <c r="EG345" s="32"/>
      <c r="EH345" s="32"/>
      <c r="EI345" s="32"/>
      <c r="EJ345" s="32"/>
      <c r="EK345" s="32"/>
    </row>
    <row r="346" spans="42:141">
      <c r="AP346" s="32"/>
      <c r="AQ346" s="32"/>
      <c r="AR346" s="32"/>
      <c r="AS346" s="32"/>
      <c r="AT346" s="32"/>
      <c r="AU346" s="32"/>
      <c r="AV346" s="32"/>
      <c r="AW346" s="32"/>
      <c r="AX346" s="32"/>
      <c r="AY346" s="32"/>
      <c r="AZ346" s="32"/>
      <c r="BA346" s="32"/>
      <c r="BB346" s="32"/>
      <c r="BC346" s="32"/>
      <c r="BD346" s="32"/>
      <c r="BE346" s="32"/>
      <c r="BF346" s="32"/>
      <c r="BG346" s="32"/>
      <c r="BH346" s="32"/>
      <c r="BI346" s="32"/>
      <c r="BJ346" s="32"/>
      <c r="BK346" s="32"/>
      <c r="BL346" s="32"/>
      <c r="BM346" s="32"/>
      <c r="BN346" s="32"/>
      <c r="BO346" s="32"/>
      <c r="BP346" s="32"/>
      <c r="BQ346" s="32"/>
      <c r="BR346" s="32"/>
      <c r="BS346" s="32"/>
      <c r="BT346" s="32"/>
      <c r="BU346" s="32"/>
      <c r="BV346" s="32"/>
      <c r="BW346" s="32"/>
      <c r="BX346" s="32"/>
      <c r="BY346" s="32"/>
      <c r="BZ346" s="32"/>
      <c r="CA346" s="32"/>
      <c r="CB346" s="32"/>
      <c r="CC346" s="32"/>
      <c r="CD346" s="32"/>
      <c r="CE346" s="32"/>
      <c r="CF346" s="32"/>
      <c r="CG346" s="32"/>
      <c r="CH346" s="32"/>
      <c r="CI346" s="32"/>
      <c r="CJ346" s="32"/>
      <c r="CK346" s="32"/>
      <c r="CL346" s="32"/>
      <c r="CM346" s="32"/>
      <c r="CN346" s="32"/>
      <c r="CO346" s="32"/>
      <c r="CP346" s="32"/>
      <c r="CQ346" s="32"/>
      <c r="CR346" s="32"/>
      <c r="CS346" s="32"/>
      <c r="CT346" s="32"/>
      <c r="CU346" s="32"/>
      <c r="CV346" s="32"/>
      <c r="CW346" s="32"/>
      <c r="CX346" s="32"/>
      <c r="CY346" s="32"/>
      <c r="CZ346" s="32"/>
      <c r="DA346" s="32"/>
      <c r="DB346" s="32"/>
      <c r="DC346" s="32"/>
      <c r="DD346" s="32"/>
      <c r="DE346" s="32"/>
      <c r="DF346" s="32"/>
      <c r="DG346" s="32"/>
      <c r="DH346" s="32"/>
      <c r="DI346" s="32"/>
      <c r="DJ346" s="32"/>
      <c r="DK346" s="32"/>
      <c r="DL346" s="32"/>
      <c r="DM346" s="32"/>
      <c r="DN346" s="32"/>
      <c r="DO346" s="32"/>
      <c r="DP346" s="32"/>
      <c r="DQ346" s="32"/>
      <c r="DR346" s="32"/>
      <c r="DS346" s="32"/>
      <c r="DT346" s="32"/>
      <c r="DU346" s="32"/>
      <c r="DV346" s="32"/>
      <c r="DW346" s="32"/>
      <c r="DX346" s="32"/>
      <c r="DY346" s="32"/>
      <c r="DZ346" s="32"/>
      <c r="EA346" s="32"/>
      <c r="EB346" s="32"/>
      <c r="EC346" s="32"/>
      <c r="ED346" s="32"/>
      <c r="EE346" s="32"/>
      <c r="EF346" s="32"/>
      <c r="EG346" s="32"/>
      <c r="EH346" s="32"/>
      <c r="EI346" s="32"/>
      <c r="EJ346" s="32"/>
      <c r="EK346" s="32"/>
    </row>
    <row r="347" spans="42:141">
      <c r="AP347" s="32"/>
      <c r="AQ347" s="32"/>
      <c r="AR347" s="32"/>
      <c r="AS347" s="32"/>
      <c r="AT347" s="32"/>
      <c r="AU347" s="32"/>
      <c r="AV347" s="32"/>
      <c r="AW347" s="32"/>
      <c r="AX347" s="32"/>
      <c r="AY347" s="32"/>
      <c r="AZ347" s="32"/>
      <c r="BA347" s="32"/>
      <c r="BB347" s="32"/>
      <c r="BC347" s="32"/>
      <c r="BD347" s="32"/>
      <c r="BE347" s="32"/>
      <c r="BF347" s="32"/>
      <c r="BG347" s="32"/>
      <c r="BH347" s="32"/>
      <c r="BI347" s="32"/>
      <c r="BJ347" s="32"/>
      <c r="BK347" s="32"/>
      <c r="BL347" s="32"/>
      <c r="BM347" s="32"/>
      <c r="BN347" s="32"/>
      <c r="BO347" s="32"/>
      <c r="BP347" s="32"/>
      <c r="BQ347" s="32"/>
      <c r="BR347" s="32"/>
      <c r="BS347" s="32"/>
      <c r="BT347" s="32"/>
      <c r="BU347" s="32"/>
      <c r="BV347" s="32"/>
      <c r="BW347" s="32"/>
      <c r="BX347" s="32"/>
      <c r="BY347" s="32"/>
      <c r="BZ347" s="32"/>
      <c r="CA347" s="32"/>
      <c r="CB347" s="32"/>
      <c r="CC347" s="32"/>
      <c r="CD347" s="32"/>
      <c r="CE347" s="32"/>
      <c r="CF347" s="32"/>
      <c r="CG347" s="32"/>
      <c r="CH347" s="32"/>
      <c r="CI347" s="32"/>
      <c r="CJ347" s="32"/>
      <c r="CK347" s="32"/>
      <c r="CL347" s="32"/>
      <c r="CM347" s="32"/>
      <c r="CN347" s="32"/>
      <c r="CO347" s="32"/>
      <c r="CP347" s="32"/>
      <c r="CQ347" s="32"/>
      <c r="CR347" s="32"/>
      <c r="CS347" s="32"/>
      <c r="CT347" s="32"/>
      <c r="CU347" s="32"/>
      <c r="CV347" s="32"/>
      <c r="CW347" s="32"/>
      <c r="CX347" s="32"/>
      <c r="CY347" s="32"/>
      <c r="CZ347" s="32"/>
      <c r="DA347" s="32"/>
      <c r="DB347" s="32"/>
      <c r="DC347" s="32"/>
      <c r="DD347" s="32"/>
      <c r="DE347" s="32"/>
      <c r="DF347" s="32"/>
      <c r="DG347" s="32"/>
      <c r="DH347" s="32"/>
      <c r="DI347" s="32"/>
      <c r="DJ347" s="32"/>
      <c r="DK347" s="32"/>
      <c r="DL347" s="32"/>
      <c r="DM347" s="32"/>
      <c r="DN347" s="32"/>
      <c r="DO347" s="32"/>
      <c r="DP347" s="32"/>
      <c r="DQ347" s="32"/>
      <c r="DR347" s="32"/>
      <c r="DS347" s="32"/>
      <c r="DT347" s="32"/>
      <c r="DU347" s="32"/>
      <c r="DV347" s="32"/>
      <c r="DW347" s="32"/>
      <c r="DX347" s="32"/>
      <c r="DY347" s="32"/>
      <c r="DZ347" s="32"/>
      <c r="EA347" s="32"/>
      <c r="EB347" s="32"/>
      <c r="EC347" s="32"/>
      <c r="ED347" s="32"/>
      <c r="EE347" s="32"/>
      <c r="EF347" s="32"/>
      <c r="EG347" s="32"/>
      <c r="EH347" s="32"/>
      <c r="EI347" s="32"/>
      <c r="EJ347" s="32"/>
      <c r="EK347" s="32"/>
    </row>
    <row r="348" spans="42:141">
      <c r="AP348" s="32"/>
      <c r="AQ348" s="32"/>
      <c r="AR348" s="32"/>
      <c r="AS348" s="32"/>
      <c r="AT348" s="32"/>
      <c r="AU348" s="32"/>
      <c r="AV348" s="32"/>
      <c r="AW348" s="32"/>
      <c r="AX348" s="32"/>
      <c r="AY348" s="32"/>
      <c r="AZ348" s="32"/>
      <c r="BA348" s="32"/>
      <c r="BB348" s="32"/>
      <c r="BC348" s="32"/>
      <c r="BD348" s="32"/>
      <c r="BE348" s="32"/>
      <c r="BF348" s="32"/>
      <c r="BG348" s="32"/>
      <c r="BH348" s="32"/>
      <c r="BI348" s="32"/>
      <c r="BJ348" s="32"/>
      <c r="BK348" s="32"/>
      <c r="BL348" s="32"/>
      <c r="BM348" s="32"/>
      <c r="BN348" s="32"/>
      <c r="BO348" s="32"/>
      <c r="BP348" s="32"/>
      <c r="BQ348" s="32"/>
      <c r="BR348" s="32"/>
      <c r="BS348" s="32"/>
      <c r="BT348" s="32"/>
      <c r="BU348" s="32"/>
      <c r="BV348" s="32"/>
      <c r="BW348" s="32"/>
      <c r="BX348" s="32"/>
      <c r="BY348" s="32"/>
      <c r="BZ348" s="32"/>
      <c r="CA348" s="32"/>
      <c r="CB348" s="32"/>
      <c r="CC348" s="32"/>
      <c r="CD348" s="32"/>
      <c r="CE348" s="32"/>
      <c r="CF348" s="32"/>
      <c r="CG348" s="32"/>
      <c r="CH348" s="32"/>
      <c r="CI348" s="32"/>
      <c r="CJ348" s="32"/>
      <c r="CK348" s="32"/>
      <c r="CL348" s="32"/>
      <c r="CM348" s="32"/>
      <c r="CN348" s="32"/>
      <c r="CO348" s="32"/>
      <c r="CP348" s="32"/>
      <c r="CQ348" s="32"/>
      <c r="CR348" s="32"/>
      <c r="CS348" s="32"/>
      <c r="CT348" s="32"/>
      <c r="CU348" s="32"/>
      <c r="CV348" s="32"/>
      <c r="CW348" s="32"/>
      <c r="CX348" s="32"/>
      <c r="CY348" s="32"/>
      <c r="CZ348" s="32"/>
      <c r="DA348" s="32"/>
      <c r="DB348" s="32"/>
      <c r="DC348" s="32"/>
      <c r="DD348" s="32"/>
      <c r="DE348" s="32"/>
      <c r="DF348" s="32"/>
      <c r="DG348" s="32"/>
      <c r="DH348" s="32"/>
      <c r="DI348" s="32"/>
      <c r="DJ348" s="32"/>
      <c r="DK348" s="32"/>
      <c r="DL348" s="32"/>
      <c r="DM348" s="32"/>
      <c r="DN348" s="32"/>
      <c r="DO348" s="32"/>
      <c r="DP348" s="32"/>
      <c r="DQ348" s="32"/>
      <c r="DR348" s="32"/>
      <c r="DS348" s="32"/>
      <c r="DT348" s="32"/>
      <c r="DU348" s="32"/>
      <c r="DV348" s="32"/>
      <c r="DW348" s="32"/>
      <c r="DX348" s="32"/>
      <c r="DY348" s="32"/>
      <c r="DZ348" s="32"/>
      <c r="EA348" s="32"/>
      <c r="EB348" s="32"/>
      <c r="EC348" s="32"/>
      <c r="ED348" s="32"/>
      <c r="EE348" s="32"/>
      <c r="EF348" s="32"/>
      <c r="EG348" s="32"/>
      <c r="EH348" s="32"/>
      <c r="EI348" s="32"/>
      <c r="EJ348" s="32"/>
      <c r="EK348" s="32"/>
    </row>
    <row r="349" spans="42:141">
      <c r="AP349" s="32"/>
      <c r="AQ349" s="32"/>
      <c r="AR349" s="32"/>
      <c r="AS349" s="32"/>
      <c r="AT349" s="32"/>
      <c r="AU349" s="32"/>
      <c r="AV349" s="32"/>
      <c r="AW349" s="32"/>
      <c r="AX349" s="32"/>
      <c r="AY349" s="32"/>
      <c r="AZ349" s="32"/>
      <c r="BA349" s="32"/>
      <c r="BB349" s="32"/>
      <c r="BC349" s="32"/>
      <c r="BD349" s="32"/>
      <c r="BE349" s="32"/>
      <c r="BF349" s="32"/>
      <c r="BG349" s="32"/>
      <c r="BH349" s="32"/>
      <c r="BI349" s="32"/>
      <c r="BJ349" s="32"/>
      <c r="BK349" s="32"/>
      <c r="BL349" s="32"/>
      <c r="BM349" s="32"/>
      <c r="BN349" s="32"/>
      <c r="BO349" s="32"/>
      <c r="BP349" s="32"/>
      <c r="BQ349" s="32"/>
      <c r="BR349" s="32"/>
      <c r="BS349" s="32"/>
      <c r="BT349" s="32"/>
      <c r="BU349" s="32"/>
      <c r="BV349" s="32"/>
      <c r="BW349" s="32"/>
      <c r="BX349" s="32"/>
      <c r="BY349" s="32"/>
      <c r="BZ349" s="32"/>
      <c r="CA349" s="32"/>
      <c r="CB349" s="32"/>
      <c r="CC349" s="32"/>
      <c r="CD349" s="32"/>
      <c r="CE349" s="32"/>
      <c r="CF349" s="32"/>
      <c r="CG349" s="32"/>
      <c r="CH349" s="32"/>
      <c r="CI349" s="32"/>
      <c r="CJ349" s="32"/>
      <c r="CK349" s="32"/>
      <c r="CL349" s="32"/>
      <c r="CM349" s="32"/>
      <c r="CN349" s="32"/>
      <c r="CO349" s="32"/>
      <c r="CP349" s="32"/>
      <c r="CQ349" s="32"/>
      <c r="CR349" s="32"/>
      <c r="CS349" s="32"/>
      <c r="CT349" s="32"/>
      <c r="CU349" s="32"/>
      <c r="CV349" s="32"/>
      <c r="CW349" s="32"/>
      <c r="CX349" s="32"/>
      <c r="CY349" s="32"/>
      <c r="CZ349" s="32"/>
      <c r="DA349" s="32"/>
      <c r="DB349" s="32"/>
      <c r="DC349" s="32"/>
      <c r="DD349" s="32"/>
      <c r="DE349" s="32"/>
      <c r="DF349" s="32"/>
      <c r="DG349" s="32"/>
      <c r="DH349" s="32"/>
      <c r="DI349" s="32"/>
      <c r="DJ349" s="32"/>
      <c r="DK349" s="32"/>
      <c r="DL349" s="32"/>
      <c r="DM349" s="32"/>
      <c r="DN349" s="32"/>
      <c r="DO349" s="32"/>
      <c r="DP349" s="32"/>
      <c r="DQ349" s="32"/>
      <c r="DR349" s="32"/>
      <c r="DS349" s="32"/>
      <c r="DT349" s="32"/>
      <c r="DU349" s="32"/>
      <c r="DV349" s="32"/>
      <c r="DW349" s="32"/>
      <c r="DX349" s="32"/>
      <c r="DY349" s="32"/>
      <c r="DZ349" s="32"/>
      <c r="EA349" s="32"/>
      <c r="EB349" s="32"/>
      <c r="EC349" s="32"/>
      <c r="ED349" s="32"/>
      <c r="EE349" s="32"/>
      <c r="EF349" s="32"/>
      <c r="EG349" s="32"/>
      <c r="EH349" s="32"/>
      <c r="EI349" s="32"/>
      <c r="EJ349" s="32"/>
      <c r="EK349" s="32"/>
    </row>
    <row r="350" spans="42:141">
      <c r="AP350" s="32"/>
      <c r="AQ350" s="32"/>
      <c r="AR350" s="32"/>
      <c r="AS350" s="32"/>
      <c r="AT350" s="32"/>
      <c r="AU350" s="32"/>
      <c r="AV350" s="32"/>
      <c r="AW350" s="32"/>
      <c r="AX350" s="32"/>
      <c r="AY350" s="32"/>
      <c r="AZ350" s="32"/>
      <c r="BA350" s="32"/>
      <c r="BB350" s="32"/>
      <c r="BC350" s="32"/>
      <c r="BD350" s="32"/>
      <c r="BE350" s="32"/>
      <c r="BF350" s="32"/>
      <c r="BG350" s="32"/>
      <c r="BH350" s="32"/>
      <c r="BI350" s="32"/>
      <c r="BJ350" s="32"/>
      <c r="BK350" s="32"/>
      <c r="BL350" s="32"/>
      <c r="BM350" s="32"/>
      <c r="BN350" s="32"/>
      <c r="BO350" s="32"/>
      <c r="BP350" s="32"/>
      <c r="BQ350" s="32"/>
      <c r="BR350" s="32"/>
      <c r="BS350" s="32"/>
      <c r="BT350" s="32"/>
      <c r="BU350" s="32"/>
      <c r="BV350" s="32"/>
      <c r="BW350" s="32"/>
      <c r="BX350" s="32"/>
      <c r="BY350" s="32"/>
      <c r="BZ350" s="32"/>
      <c r="CA350" s="32"/>
      <c r="CB350" s="32"/>
      <c r="CC350" s="32"/>
      <c r="CD350" s="32"/>
      <c r="CE350" s="32"/>
      <c r="CF350" s="32"/>
      <c r="CG350" s="32"/>
      <c r="CH350" s="32"/>
      <c r="CI350" s="32"/>
      <c r="CJ350" s="32"/>
      <c r="CK350" s="32"/>
      <c r="CL350" s="32"/>
      <c r="CM350" s="32"/>
      <c r="CN350" s="32"/>
      <c r="CO350" s="32"/>
      <c r="CP350" s="32"/>
      <c r="CQ350" s="32"/>
      <c r="CR350" s="32"/>
      <c r="CS350" s="32"/>
      <c r="CT350" s="32"/>
      <c r="CU350" s="32"/>
      <c r="CV350" s="32"/>
      <c r="CW350" s="32"/>
      <c r="CX350" s="32"/>
      <c r="CY350" s="32"/>
      <c r="CZ350" s="32"/>
      <c r="DA350" s="32"/>
      <c r="DB350" s="32"/>
      <c r="DC350" s="32"/>
      <c r="DD350" s="32"/>
      <c r="DE350" s="32"/>
      <c r="DF350" s="32"/>
      <c r="DG350" s="32"/>
      <c r="DH350" s="32"/>
      <c r="DI350" s="32"/>
      <c r="DJ350" s="32"/>
      <c r="DK350" s="32"/>
      <c r="DL350" s="32"/>
      <c r="DM350" s="32"/>
      <c r="DN350" s="32"/>
      <c r="DO350" s="32"/>
      <c r="DP350" s="32"/>
      <c r="DQ350" s="32"/>
      <c r="DR350" s="32"/>
      <c r="DS350" s="32"/>
      <c r="DT350" s="32"/>
      <c r="DU350" s="32"/>
      <c r="DV350" s="32"/>
      <c r="DW350" s="32"/>
      <c r="DX350" s="32"/>
      <c r="DY350" s="32"/>
      <c r="DZ350" s="32"/>
      <c r="EA350" s="32"/>
      <c r="EB350" s="32"/>
      <c r="EC350" s="32"/>
      <c r="ED350" s="32"/>
      <c r="EE350" s="32"/>
      <c r="EF350" s="32"/>
      <c r="EG350" s="32"/>
      <c r="EH350" s="32"/>
      <c r="EI350" s="32"/>
      <c r="EJ350" s="32"/>
      <c r="EK350" s="32"/>
    </row>
    <row r="351" spans="42:141">
      <c r="AP351" s="32"/>
      <c r="AQ351" s="32"/>
      <c r="AR351" s="32"/>
      <c r="AS351" s="32"/>
      <c r="AT351" s="32"/>
      <c r="AU351" s="32"/>
      <c r="AV351" s="32"/>
      <c r="AW351" s="32"/>
      <c r="AX351" s="32"/>
      <c r="AY351" s="32"/>
      <c r="AZ351" s="32"/>
      <c r="BA351" s="32"/>
      <c r="BB351" s="32"/>
      <c r="BC351" s="32"/>
      <c r="BD351" s="32"/>
      <c r="BE351" s="32"/>
      <c r="BF351" s="32"/>
      <c r="BG351" s="32"/>
      <c r="BH351" s="32"/>
      <c r="BI351" s="32"/>
      <c r="BJ351" s="32"/>
      <c r="BK351" s="32"/>
      <c r="BL351" s="32"/>
      <c r="BM351" s="32"/>
      <c r="BN351" s="32"/>
      <c r="BO351" s="32"/>
      <c r="BP351" s="32"/>
      <c r="BQ351" s="32"/>
      <c r="BR351" s="32"/>
      <c r="BS351" s="32"/>
      <c r="BT351" s="32"/>
      <c r="BU351" s="32"/>
      <c r="BV351" s="32"/>
      <c r="BW351" s="32"/>
      <c r="BX351" s="32"/>
      <c r="BY351" s="32"/>
      <c r="BZ351" s="32"/>
      <c r="CA351" s="32"/>
      <c r="CB351" s="32"/>
      <c r="CC351" s="32"/>
      <c r="CD351" s="32"/>
      <c r="CE351" s="32"/>
      <c r="CF351" s="32"/>
      <c r="CG351" s="32"/>
      <c r="CH351" s="32"/>
      <c r="CI351" s="32"/>
      <c r="CJ351" s="32"/>
      <c r="CK351" s="32"/>
      <c r="CL351" s="32"/>
      <c r="CM351" s="32"/>
      <c r="CN351" s="32"/>
      <c r="CO351" s="32"/>
      <c r="CP351" s="32"/>
      <c r="CQ351" s="32"/>
      <c r="CR351" s="32"/>
      <c r="CS351" s="32"/>
      <c r="CT351" s="32"/>
      <c r="CU351" s="32"/>
      <c r="CV351" s="32"/>
      <c r="CW351" s="32"/>
      <c r="CX351" s="32"/>
      <c r="CY351" s="32"/>
      <c r="CZ351" s="32"/>
      <c r="DA351" s="32"/>
      <c r="DB351" s="32"/>
      <c r="DC351" s="32"/>
      <c r="DD351" s="32"/>
      <c r="DE351" s="32"/>
      <c r="DF351" s="32"/>
      <c r="DG351" s="32"/>
      <c r="DH351" s="32"/>
      <c r="DI351" s="32"/>
      <c r="DJ351" s="32"/>
      <c r="DK351" s="32"/>
      <c r="DL351" s="32"/>
      <c r="DM351" s="32"/>
      <c r="DN351" s="32"/>
      <c r="DO351" s="32"/>
      <c r="DP351" s="32"/>
      <c r="DQ351" s="32"/>
      <c r="DR351" s="32"/>
      <c r="DS351" s="32"/>
      <c r="DT351" s="32"/>
      <c r="DU351" s="32"/>
      <c r="DV351" s="32"/>
      <c r="DW351" s="32"/>
      <c r="DX351" s="32"/>
      <c r="DY351" s="32"/>
      <c r="DZ351" s="32"/>
      <c r="EA351" s="32"/>
      <c r="EB351" s="32"/>
      <c r="EC351" s="32"/>
      <c r="ED351" s="32"/>
      <c r="EE351" s="32"/>
      <c r="EF351" s="32"/>
      <c r="EG351" s="32"/>
      <c r="EH351" s="32"/>
      <c r="EI351" s="32"/>
      <c r="EJ351" s="32"/>
      <c r="EK351" s="32"/>
    </row>
    <row r="352" spans="42:141">
      <c r="AP352" s="32"/>
      <c r="AQ352" s="32"/>
      <c r="AR352" s="32"/>
      <c r="AS352" s="32"/>
      <c r="AT352" s="32"/>
      <c r="AU352" s="32"/>
      <c r="AV352" s="32"/>
      <c r="AW352" s="32"/>
      <c r="AX352" s="32"/>
      <c r="AY352" s="32"/>
      <c r="AZ352" s="32"/>
      <c r="BA352" s="32"/>
      <c r="BB352" s="32"/>
      <c r="BC352" s="32"/>
      <c r="BD352" s="32"/>
      <c r="BE352" s="32"/>
      <c r="BF352" s="32"/>
      <c r="BG352" s="32"/>
      <c r="BH352" s="32"/>
      <c r="BI352" s="32"/>
      <c r="BJ352" s="32"/>
      <c r="BK352" s="32"/>
      <c r="BL352" s="32"/>
      <c r="BM352" s="32"/>
      <c r="BN352" s="32"/>
      <c r="BO352" s="32"/>
      <c r="BP352" s="32"/>
      <c r="BQ352" s="32"/>
      <c r="BR352" s="32"/>
      <c r="BS352" s="32"/>
      <c r="BT352" s="32"/>
      <c r="BU352" s="32"/>
      <c r="BV352" s="32"/>
      <c r="BW352" s="32"/>
      <c r="BX352" s="32"/>
      <c r="BY352" s="32"/>
      <c r="BZ352" s="32"/>
      <c r="CA352" s="32"/>
      <c r="CB352" s="32"/>
      <c r="CC352" s="32"/>
      <c r="CD352" s="32"/>
      <c r="CE352" s="32"/>
      <c r="CF352" s="32"/>
      <c r="CG352" s="32"/>
      <c r="CH352" s="32"/>
      <c r="CI352" s="32"/>
      <c r="CJ352" s="32"/>
      <c r="CK352" s="32"/>
      <c r="CL352" s="32"/>
      <c r="CM352" s="32"/>
      <c r="CN352" s="32"/>
      <c r="CO352" s="32"/>
      <c r="CP352" s="32"/>
      <c r="CQ352" s="32"/>
      <c r="CR352" s="32"/>
      <c r="CS352" s="32"/>
      <c r="CT352" s="32"/>
      <c r="CU352" s="32"/>
      <c r="CV352" s="32"/>
      <c r="CW352" s="32"/>
      <c r="CX352" s="32"/>
      <c r="CY352" s="32"/>
      <c r="CZ352" s="32"/>
      <c r="DA352" s="32"/>
      <c r="DB352" s="32"/>
      <c r="DC352" s="32"/>
      <c r="DD352" s="32"/>
      <c r="DE352" s="32"/>
      <c r="DF352" s="32"/>
      <c r="DG352" s="32"/>
      <c r="DH352" s="32"/>
      <c r="DI352" s="32"/>
      <c r="DJ352" s="32"/>
      <c r="DK352" s="32"/>
      <c r="DL352" s="32"/>
      <c r="DM352" s="32"/>
      <c r="DN352" s="32"/>
      <c r="DO352" s="32"/>
      <c r="DP352" s="32"/>
      <c r="DQ352" s="32"/>
      <c r="DR352" s="32"/>
      <c r="DS352" s="32"/>
      <c r="DT352" s="32"/>
      <c r="DU352" s="32"/>
      <c r="DV352" s="32"/>
      <c r="DW352" s="32"/>
      <c r="DX352" s="32"/>
      <c r="DY352" s="32"/>
      <c r="DZ352" s="32"/>
      <c r="EA352" s="32"/>
      <c r="EB352" s="32"/>
      <c r="EC352" s="32"/>
      <c r="ED352" s="32"/>
      <c r="EE352" s="32"/>
      <c r="EF352" s="32"/>
      <c r="EG352" s="32"/>
      <c r="EH352" s="32"/>
      <c r="EI352" s="32"/>
      <c r="EJ352" s="32"/>
      <c r="EK352" s="32"/>
    </row>
    <row r="353" spans="42:141">
      <c r="AP353" s="32"/>
      <c r="AQ353" s="32"/>
      <c r="AR353" s="32"/>
      <c r="AS353" s="32"/>
      <c r="AT353" s="32"/>
      <c r="AU353" s="32"/>
      <c r="AV353" s="32"/>
      <c r="AW353" s="32"/>
      <c r="AX353" s="32"/>
      <c r="AY353" s="32"/>
      <c r="AZ353" s="32"/>
      <c r="BA353" s="32"/>
      <c r="BB353" s="32"/>
      <c r="BC353" s="32"/>
      <c r="BD353" s="32"/>
      <c r="BE353" s="32"/>
      <c r="BF353" s="32"/>
      <c r="BG353" s="32"/>
      <c r="BH353" s="32"/>
      <c r="BI353" s="32"/>
      <c r="BJ353" s="32"/>
      <c r="BK353" s="32"/>
      <c r="BL353" s="32"/>
      <c r="BM353" s="32"/>
      <c r="BN353" s="32"/>
      <c r="BO353" s="32"/>
      <c r="BP353" s="32"/>
      <c r="BQ353" s="32"/>
      <c r="BR353" s="32"/>
      <c r="BS353" s="32"/>
      <c r="BT353" s="32"/>
      <c r="BU353" s="32"/>
      <c r="BV353" s="32"/>
      <c r="BW353" s="32"/>
      <c r="BX353" s="32"/>
      <c r="BY353" s="32"/>
      <c r="BZ353" s="32"/>
      <c r="CA353" s="32"/>
      <c r="CB353" s="32"/>
      <c r="CC353" s="32"/>
      <c r="CD353" s="32"/>
      <c r="CE353" s="32"/>
      <c r="CF353" s="32"/>
      <c r="CG353" s="32"/>
      <c r="CH353" s="32"/>
      <c r="CI353" s="32"/>
      <c r="CJ353" s="32"/>
      <c r="CK353" s="32"/>
      <c r="CL353" s="32"/>
      <c r="CM353" s="32"/>
      <c r="CN353" s="32"/>
      <c r="CO353" s="32"/>
      <c r="CP353" s="32"/>
      <c r="CQ353" s="32"/>
      <c r="CR353" s="32"/>
      <c r="CS353" s="32"/>
      <c r="CT353" s="32"/>
      <c r="CU353" s="32"/>
      <c r="CV353" s="32"/>
      <c r="CW353" s="32"/>
      <c r="CX353" s="32"/>
      <c r="CY353" s="32"/>
      <c r="CZ353" s="32"/>
      <c r="DA353" s="32"/>
      <c r="DB353" s="32"/>
      <c r="DC353" s="32"/>
      <c r="DD353" s="32"/>
      <c r="DE353" s="32"/>
      <c r="DF353" s="32"/>
      <c r="DG353" s="32"/>
      <c r="DH353" s="32"/>
      <c r="DI353" s="32"/>
      <c r="DJ353" s="32"/>
      <c r="DK353" s="32"/>
      <c r="DL353" s="32"/>
      <c r="DM353" s="32"/>
      <c r="DN353" s="32"/>
      <c r="DO353" s="32"/>
      <c r="DP353" s="32"/>
      <c r="DQ353" s="32"/>
      <c r="DR353" s="32"/>
      <c r="DS353" s="32"/>
      <c r="DT353" s="32"/>
      <c r="DU353" s="32"/>
      <c r="DV353" s="32"/>
      <c r="DW353" s="32"/>
      <c r="DX353" s="32"/>
      <c r="DY353" s="32"/>
      <c r="DZ353" s="32"/>
      <c r="EA353" s="32"/>
      <c r="EB353" s="32"/>
      <c r="EC353" s="32"/>
      <c r="ED353" s="32"/>
      <c r="EE353" s="32"/>
      <c r="EF353" s="32"/>
      <c r="EG353" s="32"/>
      <c r="EH353" s="32"/>
      <c r="EI353" s="32"/>
      <c r="EJ353" s="32"/>
      <c r="EK353" s="32"/>
    </row>
    <row r="354" spans="42:141">
      <c r="AP354" s="32"/>
      <c r="AQ354" s="32"/>
      <c r="AR354" s="32"/>
      <c r="AS354" s="32"/>
      <c r="AT354" s="32"/>
      <c r="AU354" s="32"/>
      <c r="AV354" s="32"/>
      <c r="AW354" s="32"/>
      <c r="AX354" s="32"/>
      <c r="AY354" s="32"/>
      <c r="AZ354" s="32"/>
      <c r="BA354" s="32"/>
      <c r="BB354" s="32"/>
      <c r="BC354" s="32"/>
      <c r="BD354" s="32"/>
      <c r="BE354" s="32"/>
      <c r="BF354" s="32"/>
      <c r="BG354" s="32"/>
      <c r="BH354" s="32"/>
      <c r="BI354" s="32"/>
      <c r="BJ354" s="32"/>
      <c r="BK354" s="32"/>
      <c r="BL354" s="32"/>
      <c r="BM354" s="32"/>
      <c r="BN354" s="32"/>
      <c r="BO354" s="32"/>
      <c r="BP354" s="32"/>
      <c r="BQ354" s="32"/>
      <c r="BR354" s="32"/>
      <c r="BS354" s="32"/>
      <c r="BT354" s="32"/>
      <c r="BU354" s="32"/>
      <c r="BV354" s="32"/>
      <c r="BW354" s="32"/>
      <c r="BX354" s="32"/>
      <c r="BY354" s="32"/>
      <c r="BZ354" s="32"/>
      <c r="CA354" s="32"/>
      <c r="CB354" s="32"/>
      <c r="CC354" s="32"/>
      <c r="CD354" s="32"/>
      <c r="CE354" s="32"/>
      <c r="CF354" s="32"/>
      <c r="CG354" s="32"/>
      <c r="CH354" s="32"/>
      <c r="CI354" s="32"/>
      <c r="CJ354" s="32"/>
      <c r="CK354" s="32"/>
      <c r="CL354" s="32"/>
      <c r="CM354" s="32"/>
      <c r="CN354" s="32"/>
      <c r="CO354" s="32"/>
      <c r="CP354" s="32"/>
      <c r="CQ354" s="32"/>
      <c r="CR354" s="32"/>
      <c r="CS354" s="32"/>
      <c r="CT354" s="32"/>
      <c r="CU354" s="32"/>
      <c r="CV354" s="32"/>
      <c r="CW354" s="32"/>
      <c r="CX354" s="32"/>
      <c r="CY354" s="32"/>
      <c r="CZ354" s="32"/>
      <c r="DA354" s="32"/>
      <c r="DB354" s="32"/>
      <c r="DC354" s="32"/>
      <c r="DD354" s="32"/>
      <c r="DE354" s="32"/>
      <c r="DF354" s="32"/>
      <c r="DG354" s="32"/>
      <c r="DH354" s="32"/>
      <c r="DI354" s="32"/>
      <c r="DJ354" s="32"/>
      <c r="DK354" s="32"/>
      <c r="DL354" s="32"/>
      <c r="DM354" s="32"/>
      <c r="DN354" s="32"/>
      <c r="DO354" s="32"/>
      <c r="DP354" s="32"/>
      <c r="DQ354" s="32"/>
      <c r="DR354" s="32"/>
      <c r="DS354" s="32"/>
      <c r="DT354" s="32"/>
      <c r="DU354" s="32"/>
      <c r="DV354" s="32"/>
      <c r="DW354" s="32"/>
      <c r="DX354" s="32"/>
      <c r="DY354" s="32"/>
      <c r="DZ354" s="32"/>
      <c r="EA354" s="32"/>
      <c r="EB354" s="32"/>
      <c r="EC354" s="32"/>
      <c r="ED354" s="32"/>
      <c r="EE354" s="32"/>
      <c r="EF354" s="32"/>
      <c r="EG354" s="32"/>
      <c r="EH354" s="32"/>
      <c r="EI354" s="32"/>
      <c r="EJ354" s="32"/>
      <c r="EK354" s="32"/>
    </row>
    <row r="355" spans="42:141">
      <c r="AP355" s="32"/>
      <c r="AQ355" s="32"/>
      <c r="AR355" s="32"/>
      <c r="AS355" s="32"/>
      <c r="AT355" s="32"/>
      <c r="AU355" s="32"/>
      <c r="AV355" s="32"/>
      <c r="AW355" s="32"/>
      <c r="AX355" s="32"/>
      <c r="AY355" s="32"/>
      <c r="AZ355" s="32"/>
      <c r="BA355" s="32"/>
      <c r="BB355" s="32"/>
      <c r="BC355" s="32"/>
      <c r="BD355" s="32"/>
      <c r="BE355" s="32"/>
      <c r="BF355" s="32"/>
      <c r="BG355" s="32"/>
      <c r="BH355" s="32"/>
      <c r="BI355" s="32"/>
      <c r="BJ355" s="32"/>
      <c r="BK355" s="32"/>
      <c r="BL355" s="32"/>
      <c r="BM355" s="32"/>
      <c r="BN355" s="32"/>
      <c r="BO355" s="32"/>
      <c r="BP355" s="32"/>
      <c r="BQ355" s="32"/>
      <c r="BR355" s="32"/>
      <c r="BS355" s="32"/>
      <c r="BT355" s="32"/>
      <c r="BU355" s="32"/>
      <c r="BV355" s="32"/>
      <c r="BW355" s="32"/>
      <c r="BX355" s="32"/>
      <c r="BY355" s="32"/>
      <c r="BZ355" s="32"/>
      <c r="CA355" s="32"/>
      <c r="CB355" s="32"/>
      <c r="CC355" s="32"/>
      <c r="CD355" s="32"/>
      <c r="CE355" s="32"/>
      <c r="CF355" s="32"/>
      <c r="CG355" s="32"/>
      <c r="CH355" s="32"/>
      <c r="CI355" s="32"/>
      <c r="CJ355" s="32"/>
      <c r="CK355" s="32"/>
      <c r="CL355" s="32"/>
      <c r="CM355" s="32"/>
      <c r="CN355" s="32"/>
      <c r="CO355" s="32"/>
      <c r="CP355" s="32"/>
      <c r="CQ355" s="32"/>
      <c r="CR355" s="32"/>
      <c r="CS355" s="32"/>
      <c r="CT355" s="32"/>
      <c r="CU355" s="32"/>
      <c r="CV355" s="32"/>
      <c r="CW355" s="32"/>
      <c r="CX355" s="32"/>
      <c r="CY355" s="32"/>
      <c r="CZ355" s="32"/>
      <c r="DA355" s="32"/>
      <c r="DB355" s="32"/>
      <c r="DC355" s="32"/>
      <c r="DD355" s="32"/>
      <c r="DE355" s="32"/>
      <c r="DF355" s="32"/>
      <c r="DG355" s="32"/>
      <c r="DH355" s="32"/>
      <c r="DI355" s="32"/>
      <c r="DJ355" s="32"/>
      <c r="DK355" s="32"/>
      <c r="DL355" s="32"/>
      <c r="DM355" s="32"/>
      <c r="DN355" s="32"/>
      <c r="DO355" s="32"/>
      <c r="DP355" s="32"/>
      <c r="DQ355" s="32"/>
      <c r="DR355" s="32"/>
      <c r="DS355" s="32"/>
      <c r="DT355" s="32"/>
      <c r="DU355" s="32"/>
      <c r="DV355" s="32"/>
      <c r="DW355" s="32"/>
      <c r="DX355" s="32"/>
      <c r="DY355" s="32"/>
      <c r="DZ355" s="32"/>
      <c r="EA355" s="32"/>
      <c r="EB355" s="32"/>
      <c r="EC355" s="32"/>
      <c r="ED355" s="32"/>
      <c r="EE355" s="32"/>
      <c r="EF355" s="32"/>
      <c r="EG355" s="32"/>
      <c r="EH355" s="32"/>
      <c r="EI355" s="32"/>
      <c r="EJ355" s="32"/>
      <c r="EK355" s="32"/>
    </row>
    <row r="356" spans="42:141">
      <c r="AP356" s="32"/>
      <c r="AQ356" s="32"/>
      <c r="AR356" s="32"/>
      <c r="AS356" s="32"/>
      <c r="AT356" s="32"/>
      <c r="AU356" s="32"/>
      <c r="AV356" s="32"/>
      <c r="AW356" s="32"/>
      <c r="AX356" s="32"/>
      <c r="AY356" s="32"/>
      <c r="AZ356" s="32"/>
      <c r="BA356" s="32"/>
      <c r="BB356" s="32"/>
      <c r="BC356" s="32"/>
      <c r="BD356" s="32"/>
      <c r="BE356" s="32"/>
      <c r="BF356" s="32"/>
      <c r="BG356" s="32"/>
      <c r="BH356" s="32"/>
      <c r="BI356" s="32"/>
      <c r="BJ356" s="32"/>
      <c r="BK356" s="32"/>
      <c r="BL356" s="32"/>
      <c r="BM356" s="32"/>
      <c r="BN356" s="32"/>
      <c r="BO356" s="32"/>
      <c r="BP356" s="32"/>
      <c r="BQ356" s="32"/>
      <c r="BR356" s="32"/>
      <c r="BS356" s="32"/>
      <c r="BT356" s="32"/>
      <c r="BU356" s="32"/>
      <c r="BV356" s="32"/>
      <c r="BW356" s="32"/>
      <c r="BX356" s="32"/>
      <c r="BY356" s="32"/>
      <c r="BZ356" s="32"/>
      <c r="CA356" s="32"/>
      <c r="CB356" s="32"/>
      <c r="CC356" s="32"/>
      <c r="CD356" s="32"/>
      <c r="CE356" s="32"/>
      <c r="CF356" s="32"/>
      <c r="CG356" s="32"/>
      <c r="CH356" s="32"/>
      <c r="CI356" s="32"/>
      <c r="CJ356" s="32"/>
      <c r="CK356" s="32"/>
      <c r="CL356" s="32"/>
      <c r="CM356" s="32"/>
      <c r="CN356" s="32"/>
      <c r="CO356" s="32"/>
      <c r="CP356" s="32"/>
      <c r="CQ356" s="32"/>
      <c r="CR356" s="32"/>
      <c r="CS356" s="32"/>
      <c r="CT356" s="32"/>
      <c r="CU356" s="32"/>
      <c r="CV356" s="32"/>
      <c r="CW356" s="32"/>
      <c r="CX356" s="32"/>
      <c r="CY356" s="32"/>
      <c r="CZ356" s="32"/>
      <c r="DA356" s="32"/>
      <c r="DB356" s="32"/>
      <c r="DC356" s="32"/>
      <c r="DD356" s="32"/>
      <c r="DE356" s="32"/>
      <c r="DF356" s="32"/>
      <c r="DG356" s="32"/>
      <c r="DH356" s="32"/>
      <c r="DI356" s="32"/>
      <c r="DJ356" s="32"/>
      <c r="DK356" s="32"/>
      <c r="DL356" s="32"/>
      <c r="DM356" s="32"/>
      <c r="DN356" s="32"/>
      <c r="DO356" s="32"/>
      <c r="DP356" s="32"/>
      <c r="DQ356" s="32"/>
      <c r="DR356" s="32"/>
      <c r="DS356" s="32"/>
      <c r="DT356" s="32"/>
      <c r="DU356" s="32"/>
      <c r="DV356" s="32"/>
      <c r="DW356" s="32"/>
      <c r="DX356" s="32"/>
      <c r="DY356" s="32"/>
      <c r="DZ356" s="32"/>
      <c r="EA356" s="32"/>
      <c r="EB356" s="32"/>
      <c r="EC356" s="32"/>
      <c r="ED356" s="32"/>
      <c r="EE356" s="32"/>
      <c r="EF356" s="32"/>
      <c r="EG356" s="32"/>
      <c r="EH356" s="32"/>
      <c r="EI356" s="32"/>
      <c r="EJ356" s="32"/>
      <c r="EK356" s="32"/>
    </row>
    <row r="357" spans="42:141">
      <c r="AP357" s="32"/>
      <c r="AQ357" s="32"/>
      <c r="AR357" s="32"/>
      <c r="AS357" s="32"/>
      <c r="AT357" s="32"/>
      <c r="AU357" s="32"/>
      <c r="AV357" s="32"/>
      <c r="AW357" s="32"/>
      <c r="AX357" s="32"/>
      <c r="AY357" s="32"/>
      <c r="AZ357" s="32"/>
      <c r="BA357" s="32"/>
      <c r="BB357" s="32"/>
      <c r="BC357" s="32"/>
      <c r="BD357" s="32"/>
      <c r="BE357" s="32"/>
      <c r="BF357" s="32"/>
      <c r="BG357" s="32"/>
      <c r="BH357" s="32"/>
      <c r="BI357" s="32"/>
      <c r="BJ357" s="32"/>
      <c r="BK357" s="32"/>
      <c r="BL357" s="32"/>
      <c r="BM357" s="32"/>
      <c r="BN357" s="32"/>
      <c r="BO357" s="32"/>
      <c r="BP357" s="32"/>
      <c r="BQ357" s="32"/>
      <c r="BR357" s="32"/>
      <c r="BS357" s="32"/>
      <c r="BT357" s="32"/>
      <c r="BU357" s="32"/>
      <c r="BV357" s="32"/>
      <c r="BW357" s="32"/>
      <c r="BX357" s="32"/>
      <c r="BY357" s="32"/>
      <c r="BZ357" s="32"/>
      <c r="CA357" s="32"/>
      <c r="CB357" s="32"/>
      <c r="CC357" s="32"/>
      <c r="CD357" s="32"/>
      <c r="CE357" s="32"/>
      <c r="CF357" s="32"/>
      <c r="CG357" s="32"/>
      <c r="CH357" s="32"/>
      <c r="CI357" s="32"/>
      <c r="CJ357" s="32"/>
      <c r="CK357" s="32"/>
      <c r="CL357" s="32"/>
      <c r="CM357" s="32"/>
      <c r="CN357" s="32"/>
      <c r="CO357" s="32"/>
      <c r="CP357" s="32"/>
      <c r="CQ357" s="32"/>
      <c r="CR357" s="32"/>
      <c r="CS357" s="32"/>
      <c r="CT357" s="32"/>
      <c r="CU357" s="32"/>
      <c r="CV357" s="32"/>
      <c r="CW357" s="32"/>
      <c r="CX357" s="32"/>
      <c r="CY357" s="32"/>
      <c r="CZ357" s="32"/>
      <c r="DA357" s="32"/>
      <c r="DB357" s="32"/>
      <c r="DC357" s="32"/>
      <c r="DD357" s="32"/>
      <c r="DE357" s="32"/>
      <c r="DF357" s="32"/>
      <c r="DG357" s="32"/>
      <c r="DH357" s="32"/>
      <c r="DI357" s="32"/>
      <c r="DJ357" s="32"/>
      <c r="DK357" s="32"/>
      <c r="DL357" s="32"/>
      <c r="DM357" s="32"/>
      <c r="DN357" s="32"/>
      <c r="DO357" s="32"/>
      <c r="DP357" s="32"/>
      <c r="DQ357" s="32"/>
      <c r="DR357" s="32"/>
      <c r="DS357" s="32"/>
      <c r="DT357" s="32"/>
      <c r="DU357" s="32"/>
      <c r="DV357" s="32"/>
      <c r="DW357" s="32"/>
      <c r="DX357" s="32"/>
      <c r="DY357" s="32"/>
      <c r="DZ357" s="32"/>
      <c r="EA357" s="32"/>
      <c r="EB357" s="32"/>
      <c r="EC357" s="32"/>
      <c r="ED357" s="32"/>
      <c r="EE357" s="32"/>
      <c r="EF357" s="32"/>
      <c r="EG357" s="32"/>
      <c r="EH357" s="32"/>
      <c r="EI357" s="32"/>
      <c r="EJ357" s="32"/>
      <c r="EK357" s="32"/>
    </row>
    <row r="358" spans="42:141">
      <c r="AP358" s="32"/>
      <c r="AQ358" s="32"/>
      <c r="AR358" s="32"/>
      <c r="AS358" s="32"/>
      <c r="AT358" s="32"/>
      <c r="AU358" s="32"/>
      <c r="AV358" s="32"/>
      <c r="AW358" s="32"/>
      <c r="AX358" s="32"/>
      <c r="AY358" s="32"/>
      <c r="AZ358" s="32"/>
      <c r="BA358" s="32"/>
      <c r="BB358" s="32"/>
      <c r="BC358" s="32"/>
      <c r="BD358" s="32"/>
      <c r="BE358" s="32"/>
      <c r="BF358" s="32"/>
      <c r="BG358" s="32"/>
      <c r="BH358" s="32"/>
      <c r="BI358" s="32"/>
      <c r="BJ358" s="32"/>
      <c r="BK358" s="32"/>
      <c r="BL358" s="32"/>
      <c r="BM358" s="32"/>
      <c r="BN358" s="32"/>
      <c r="BO358" s="32"/>
      <c r="BP358" s="32"/>
      <c r="BQ358" s="32"/>
      <c r="BR358" s="32"/>
      <c r="BS358" s="32"/>
      <c r="BT358" s="32"/>
      <c r="BU358" s="32"/>
      <c r="BV358" s="32"/>
      <c r="BW358" s="32"/>
      <c r="BX358" s="32"/>
      <c r="BY358" s="32"/>
      <c r="BZ358" s="32"/>
      <c r="CA358" s="32"/>
      <c r="CB358" s="32"/>
      <c r="CC358" s="32"/>
      <c r="CD358" s="32"/>
      <c r="CE358" s="32"/>
      <c r="CF358" s="32"/>
      <c r="CG358" s="32"/>
      <c r="CH358" s="32"/>
      <c r="CI358" s="32"/>
      <c r="CJ358" s="32"/>
      <c r="CK358" s="32"/>
      <c r="CL358" s="32"/>
      <c r="CM358" s="32"/>
      <c r="CN358" s="32"/>
      <c r="CO358" s="32"/>
      <c r="CP358" s="32"/>
      <c r="CQ358" s="32"/>
      <c r="CR358" s="32"/>
      <c r="CS358" s="32"/>
      <c r="CT358" s="32"/>
      <c r="CU358" s="32"/>
      <c r="CV358" s="32"/>
      <c r="CW358" s="32"/>
      <c r="CX358" s="32"/>
      <c r="CY358" s="32"/>
      <c r="CZ358" s="32"/>
      <c r="DA358" s="32"/>
      <c r="DB358" s="32"/>
      <c r="DC358" s="32"/>
      <c r="DD358" s="32"/>
      <c r="DE358" s="32"/>
      <c r="DF358" s="32"/>
      <c r="DG358" s="32"/>
      <c r="DH358" s="32"/>
      <c r="DI358" s="32"/>
      <c r="DJ358" s="32"/>
      <c r="DK358" s="32"/>
      <c r="DL358" s="32"/>
      <c r="DM358" s="32"/>
      <c r="DN358" s="32"/>
      <c r="DO358" s="32"/>
      <c r="DP358" s="32"/>
      <c r="DQ358" s="32"/>
      <c r="DR358" s="32"/>
      <c r="DS358" s="32"/>
      <c r="DT358" s="32"/>
      <c r="DU358" s="32"/>
      <c r="DV358" s="32"/>
      <c r="DW358" s="32"/>
      <c r="DX358" s="32"/>
      <c r="DY358" s="32"/>
      <c r="DZ358" s="32"/>
      <c r="EA358" s="32"/>
      <c r="EB358" s="32"/>
      <c r="EC358" s="32"/>
      <c r="ED358" s="32"/>
      <c r="EE358" s="32"/>
      <c r="EF358" s="32"/>
      <c r="EG358" s="32"/>
      <c r="EH358" s="32"/>
      <c r="EI358" s="32"/>
      <c r="EJ358" s="32"/>
      <c r="EK358" s="32"/>
    </row>
    <row r="359" spans="42:141">
      <c r="AP359" s="32"/>
      <c r="AQ359" s="32"/>
      <c r="AR359" s="32"/>
      <c r="AS359" s="32"/>
      <c r="AT359" s="32"/>
      <c r="AU359" s="32"/>
      <c r="AV359" s="32"/>
      <c r="AW359" s="32"/>
      <c r="AX359" s="32"/>
      <c r="AY359" s="32"/>
      <c r="AZ359" s="32"/>
      <c r="BA359" s="32"/>
      <c r="BB359" s="32"/>
      <c r="BC359" s="32"/>
      <c r="BD359" s="32"/>
      <c r="BE359" s="32"/>
      <c r="BF359" s="32"/>
      <c r="BG359" s="32"/>
      <c r="BH359" s="32"/>
      <c r="BI359" s="32"/>
      <c r="BJ359" s="32"/>
      <c r="BK359" s="32"/>
      <c r="BL359" s="32"/>
      <c r="BM359" s="32"/>
      <c r="BN359" s="32"/>
      <c r="BO359" s="32"/>
      <c r="BP359" s="32"/>
      <c r="BQ359" s="32"/>
      <c r="BR359" s="32"/>
      <c r="BS359" s="32"/>
      <c r="BT359" s="32"/>
      <c r="BU359" s="32"/>
      <c r="BV359" s="32"/>
      <c r="BW359" s="32"/>
      <c r="BX359" s="32"/>
      <c r="BY359" s="32"/>
      <c r="BZ359" s="32"/>
      <c r="CA359" s="32"/>
      <c r="CB359" s="32"/>
      <c r="CC359" s="32"/>
      <c r="CD359" s="32"/>
      <c r="CE359" s="32"/>
      <c r="CF359" s="32"/>
      <c r="CG359" s="32"/>
      <c r="CH359" s="32"/>
      <c r="CI359" s="32"/>
      <c r="CJ359" s="32"/>
      <c r="CK359" s="32"/>
      <c r="CL359" s="32"/>
      <c r="CM359" s="32"/>
      <c r="CN359" s="32"/>
      <c r="CO359" s="32"/>
      <c r="CP359" s="32"/>
      <c r="CQ359" s="32"/>
      <c r="CR359" s="32"/>
      <c r="CS359" s="32"/>
      <c r="CT359" s="32"/>
      <c r="CU359" s="32"/>
      <c r="CV359" s="32"/>
      <c r="CW359" s="32"/>
      <c r="CX359" s="32"/>
      <c r="CY359" s="32"/>
      <c r="CZ359" s="32"/>
      <c r="DA359" s="32"/>
      <c r="DB359" s="32"/>
      <c r="DC359" s="32"/>
      <c r="DD359" s="32"/>
      <c r="DE359" s="32"/>
      <c r="DF359" s="32"/>
      <c r="DG359" s="32"/>
      <c r="DH359" s="32"/>
      <c r="DI359" s="32"/>
      <c r="DJ359" s="32"/>
      <c r="DK359" s="32"/>
      <c r="DL359" s="32"/>
      <c r="DM359" s="32"/>
      <c r="DN359" s="32"/>
      <c r="DO359" s="32"/>
      <c r="DP359" s="32"/>
      <c r="DQ359" s="32"/>
      <c r="DR359" s="32"/>
      <c r="DS359" s="32"/>
      <c r="DT359" s="32"/>
      <c r="DU359" s="32"/>
      <c r="DV359" s="32"/>
      <c r="DW359" s="32"/>
      <c r="DX359" s="32"/>
      <c r="DY359" s="32"/>
      <c r="DZ359" s="32"/>
      <c r="EA359" s="32"/>
      <c r="EB359" s="32"/>
      <c r="EC359" s="32"/>
      <c r="ED359" s="32"/>
      <c r="EE359" s="32"/>
      <c r="EF359" s="32"/>
      <c r="EG359" s="32"/>
      <c r="EH359" s="32"/>
      <c r="EI359" s="32"/>
      <c r="EJ359" s="32"/>
      <c r="EK359" s="32"/>
    </row>
    <row r="360" spans="42:141">
      <c r="AP360" s="32"/>
      <c r="AQ360" s="32"/>
      <c r="AR360" s="32"/>
      <c r="AS360" s="32"/>
      <c r="AT360" s="32"/>
      <c r="AU360" s="32"/>
      <c r="AV360" s="32"/>
      <c r="AW360" s="32"/>
      <c r="AX360" s="32"/>
      <c r="AY360" s="32"/>
      <c r="AZ360" s="32"/>
      <c r="BA360" s="32"/>
      <c r="BB360" s="32"/>
      <c r="BC360" s="32"/>
      <c r="BD360" s="32"/>
      <c r="BE360" s="32"/>
      <c r="BF360" s="32"/>
      <c r="BG360" s="32"/>
      <c r="BH360" s="32"/>
      <c r="BI360" s="32"/>
      <c r="BJ360" s="32"/>
      <c r="BK360" s="32"/>
      <c r="BL360" s="32"/>
      <c r="BM360" s="32"/>
      <c r="BN360" s="32"/>
      <c r="BO360" s="32"/>
      <c r="BP360" s="32"/>
      <c r="BQ360" s="32"/>
      <c r="BR360" s="32"/>
      <c r="BS360" s="32"/>
      <c r="BT360" s="32"/>
      <c r="BU360" s="32"/>
      <c r="BV360" s="32"/>
      <c r="BW360" s="32"/>
      <c r="BX360" s="32"/>
      <c r="BY360" s="32"/>
      <c r="BZ360" s="32"/>
      <c r="CA360" s="32"/>
      <c r="CB360" s="32"/>
      <c r="CC360" s="32"/>
      <c r="CD360" s="32"/>
      <c r="CE360" s="32"/>
      <c r="CF360" s="32"/>
      <c r="CG360" s="32"/>
      <c r="CH360" s="32"/>
      <c r="CI360" s="32"/>
      <c r="CJ360" s="32"/>
      <c r="CK360" s="32"/>
      <c r="CL360" s="32"/>
      <c r="CM360" s="32"/>
      <c r="CN360" s="32"/>
      <c r="CO360" s="32"/>
      <c r="CP360" s="32"/>
      <c r="CQ360" s="32"/>
      <c r="CR360" s="32"/>
      <c r="CS360" s="32"/>
      <c r="CT360" s="32"/>
      <c r="CU360" s="32"/>
      <c r="CV360" s="32"/>
      <c r="CW360" s="32"/>
      <c r="CX360" s="32"/>
      <c r="CY360" s="32"/>
      <c r="CZ360" s="32"/>
      <c r="DA360" s="32"/>
      <c r="DB360" s="32"/>
      <c r="DC360" s="32"/>
      <c r="DD360" s="32"/>
      <c r="DE360" s="32"/>
      <c r="DF360" s="32"/>
      <c r="DG360" s="32"/>
      <c r="DH360" s="32"/>
      <c r="DI360" s="32"/>
      <c r="DJ360" s="32"/>
      <c r="DK360" s="32"/>
      <c r="DL360" s="32"/>
      <c r="DM360" s="32"/>
      <c r="DN360" s="32"/>
      <c r="DO360" s="32"/>
      <c r="DP360" s="32"/>
      <c r="DQ360" s="32"/>
      <c r="DR360" s="32"/>
      <c r="DS360" s="32"/>
      <c r="DT360" s="32"/>
      <c r="DU360" s="32"/>
      <c r="DV360" s="32"/>
      <c r="DW360" s="32"/>
      <c r="DX360" s="32"/>
      <c r="DY360" s="32"/>
      <c r="DZ360" s="32"/>
      <c r="EA360" s="32"/>
      <c r="EB360" s="32"/>
      <c r="EC360" s="32"/>
      <c r="ED360" s="32"/>
      <c r="EE360" s="32"/>
      <c r="EF360" s="32"/>
      <c r="EG360" s="32"/>
      <c r="EH360" s="32"/>
      <c r="EI360" s="32"/>
      <c r="EJ360" s="32"/>
      <c r="EK360" s="32"/>
    </row>
    <row r="361" spans="42:141">
      <c r="AP361" s="32"/>
      <c r="AQ361" s="32"/>
      <c r="AR361" s="32"/>
      <c r="AS361" s="32"/>
      <c r="AT361" s="32"/>
      <c r="AU361" s="32"/>
      <c r="AV361" s="32"/>
      <c r="AW361" s="32"/>
      <c r="AX361" s="32"/>
      <c r="AY361" s="32"/>
      <c r="AZ361" s="32"/>
      <c r="BA361" s="32"/>
      <c r="BB361" s="32"/>
      <c r="BC361" s="32"/>
      <c r="BD361" s="32"/>
      <c r="BE361" s="32"/>
      <c r="BF361" s="32"/>
      <c r="BG361" s="32"/>
      <c r="BH361" s="32"/>
      <c r="BI361" s="32"/>
      <c r="BJ361" s="32"/>
      <c r="BK361" s="32"/>
      <c r="BL361" s="32"/>
      <c r="BM361" s="32"/>
      <c r="BN361" s="32"/>
      <c r="BO361" s="32"/>
      <c r="BP361" s="32"/>
      <c r="BQ361" s="32"/>
      <c r="BR361" s="32"/>
      <c r="BS361" s="32"/>
      <c r="BT361" s="32"/>
      <c r="BU361" s="32"/>
      <c r="BV361" s="32"/>
      <c r="BW361" s="32"/>
      <c r="BX361" s="32"/>
      <c r="BY361" s="32"/>
      <c r="BZ361" s="32"/>
      <c r="CA361" s="32"/>
      <c r="CB361" s="32"/>
      <c r="CC361" s="32"/>
      <c r="CD361" s="32"/>
      <c r="CE361" s="32"/>
      <c r="CF361" s="32"/>
      <c r="CG361" s="32"/>
      <c r="CH361" s="32"/>
      <c r="CI361" s="32"/>
      <c r="CJ361" s="32"/>
      <c r="CK361" s="32"/>
      <c r="CL361" s="32"/>
      <c r="CM361" s="32"/>
      <c r="CN361" s="32"/>
      <c r="CO361" s="32"/>
      <c r="CP361" s="32"/>
      <c r="CQ361" s="32"/>
      <c r="CR361" s="32"/>
      <c r="CS361" s="32"/>
      <c r="CT361" s="32"/>
      <c r="CU361" s="32"/>
      <c r="CV361" s="32"/>
      <c r="CW361" s="32"/>
      <c r="CX361" s="32"/>
      <c r="CY361" s="32"/>
      <c r="CZ361" s="32"/>
      <c r="DA361" s="32"/>
      <c r="DB361" s="32"/>
      <c r="DC361" s="32"/>
      <c r="DD361" s="32"/>
      <c r="DE361" s="32"/>
      <c r="DF361" s="32"/>
      <c r="DG361" s="32"/>
      <c r="DH361" s="32"/>
      <c r="DI361" s="32"/>
      <c r="DJ361" s="32"/>
      <c r="DK361" s="32"/>
      <c r="DL361" s="32"/>
      <c r="DM361" s="32"/>
      <c r="DN361" s="32"/>
      <c r="DO361" s="32"/>
      <c r="DP361" s="32"/>
      <c r="DQ361" s="32"/>
      <c r="DR361" s="32"/>
      <c r="DS361" s="32"/>
      <c r="DT361" s="32"/>
      <c r="DU361" s="32"/>
      <c r="DV361" s="32"/>
      <c r="DW361" s="32"/>
      <c r="DX361" s="32"/>
      <c r="DY361" s="32"/>
      <c r="DZ361" s="32"/>
      <c r="EA361" s="32"/>
      <c r="EB361" s="32"/>
      <c r="EC361" s="32"/>
      <c r="ED361" s="32"/>
      <c r="EE361" s="32"/>
      <c r="EF361" s="32"/>
      <c r="EG361" s="32"/>
      <c r="EH361" s="32"/>
      <c r="EI361" s="32"/>
      <c r="EJ361" s="32"/>
      <c r="EK361" s="32"/>
    </row>
    <row r="362" spans="42:141">
      <c r="AP362" s="32"/>
      <c r="AQ362" s="32"/>
      <c r="AR362" s="32"/>
      <c r="AS362" s="32"/>
      <c r="AT362" s="32"/>
      <c r="AU362" s="32"/>
      <c r="AV362" s="32"/>
      <c r="AW362" s="32"/>
      <c r="AX362" s="32"/>
      <c r="AY362" s="32"/>
      <c r="AZ362" s="32"/>
      <c r="BA362" s="32"/>
      <c r="BB362" s="32"/>
      <c r="BC362" s="32"/>
      <c r="BD362" s="32"/>
      <c r="BE362" s="32"/>
      <c r="BF362" s="32"/>
      <c r="BG362" s="32"/>
      <c r="BH362" s="32"/>
      <c r="BI362" s="32"/>
      <c r="BJ362" s="32"/>
      <c r="BK362" s="32"/>
      <c r="BL362" s="32"/>
      <c r="BM362" s="32"/>
      <c r="BN362" s="32"/>
      <c r="BO362" s="32"/>
      <c r="BP362" s="32"/>
      <c r="BQ362" s="32"/>
      <c r="BR362" s="32"/>
      <c r="BS362" s="32"/>
      <c r="BT362" s="32"/>
      <c r="BU362" s="32"/>
      <c r="BV362" s="32"/>
      <c r="BW362" s="32"/>
      <c r="BX362" s="32"/>
      <c r="BY362" s="32"/>
      <c r="BZ362" s="32"/>
      <c r="CA362" s="32"/>
      <c r="CB362" s="32"/>
      <c r="CC362" s="32"/>
      <c r="CD362" s="32"/>
      <c r="CE362" s="32"/>
      <c r="CF362" s="32"/>
      <c r="CG362" s="32"/>
      <c r="CH362" s="32"/>
      <c r="CI362" s="32"/>
      <c r="CJ362" s="32"/>
      <c r="CK362" s="32"/>
      <c r="CL362" s="32"/>
      <c r="CM362" s="32"/>
      <c r="CN362" s="32"/>
      <c r="CO362" s="32"/>
      <c r="CP362" s="32"/>
      <c r="CQ362" s="32"/>
      <c r="CR362" s="32"/>
      <c r="CS362" s="32"/>
      <c r="CT362" s="32"/>
      <c r="CU362" s="32"/>
      <c r="CV362" s="32"/>
      <c r="CW362" s="32"/>
      <c r="CX362" s="32"/>
      <c r="CY362" s="32"/>
      <c r="CZ362" s="32"/>
      <c r="DA362" s="32"/>
      <c r="DB362" s="32"/>
      <c r="DC362" s="32"/>
      <c r="DD362" s="32"/>
      <c r="DE362" s="32"/>
      <c r="DF362" s="32"/>
      <c r="DG362" s="32"/>
      <c r="DH362" s="32"/>
      <c r="DI362" s="32"/>
      <c r="DJ362" s="32"/>
      <c r="DK362" s="32"/>
      <c r="DL362" s="32"/>
      <c r="DM362" s="32"/>
      <c r="DN362" s="32"/>
      <c r="DO362" s="32"/>
      <c r="DP362" s="32"/>
      <c r="DQ362" s="32"/>
      <c r="DR362" s="32"/>
      <c r="DS362" s="32"/>
      <c r="DT362" s="32"/>
      <c r="DU362" s="32"/>
      <c r="DV362" s="32"/>
      <c r="DW362" s="32"/>
      <c r="DX362" s="32"/>
      <c r="DY362" s="32"/>
      <c r="DZ362" s="32"/>
      <c r="EA362" s="32"/>
      <c r="EB362" s="32"/>
      <c r="EC362" s="32"/>
      <c r="ED362" s="32"/>
      <c r="EE362" s="32"/>
      <c r="EF362" s="32"/>
      <c r="EG362" s="32"/>
      <c r="EH362" s="32"/>
      <c r="EI362" s="32"/>
      <c r="EJ362" s="32"/>
      <c r="EK362" s="32"/>
    </row>
    <row r="363" spans="42:141">
      <c r="AP363" s="32"/>
      <c r="AQ363" s="32"/>
      <c r="AR363" s="32"/>
      <c r="AS363" s="32"/>
      <c r="AT363" s="32"/>
      <c r="AU363" s="32"/>
      <c r="AV363" s="32"/>
      <c r="AW363" s="32"/>
      <c r="AX363" s="32"/>
      <c r="AY363" s="32"/>
      <c r="AZ363" s="32"/>
      <c r="BA363" s="32"/>
      <c r="BB363" s="32"/>
      <c r="BC363" s="32"/>
      <c r="BD363" s="32"/>
      <c r="BE363" s="32"/>
      <c r="BF363" s="32"/>
      <c r="BG363" s="32"/>
      <c r="BH363" s="32"/>
      <c r="BI363" s="32"/>
      <c r="BJ363" s="32"/>
      <c r="BK363" s="32"/>
      <c r="BL363" s="32"/>
      <c r="BM363" s="32"/>
      <c r="BN363" s="32"/>
      <c r="BO363" s="32"/>
      <c r="BP363" s="32"/>
      <c r="BQ363" s="32"/>
      <c r="BR363" s="32"/>
      <c r="BS363" s="32"/>
      <c r="BT363" s="32"/>
      <c r="BU363" s="32"/>
      <c r="BV363" s="32"/>
      <c r="BW363" s="32"/>
      <c r="BX363" s="32"/>
      <c r="BY363" s="32"/>
      <c r="BZ363" s="32"/>
      <c r="CA363" s="32"/>
      <c r="CB363" s="32"/>
      <c r="CC363" s="32"/>
      <c r="CD363" s="32"/>
      <c r="CE363" s="32"/>
      <c r="CF363" s="32"/>
      <c r="CG363" s="32"/>
      <c r="CH363" s="32"/>
      <c r="CI363" s="32"/>
      <c r="CJ363" s="32"/>
      <c r="CK363" s="32"/>
      <c r="CL363" s="32"/>
      <c r="CM363" s="32"/>
      <c r="CN363" s="32"/>
      <c r="CO363" s="32"/>
      <c r="CP363" s="32"/>
      <c r="CQ363" s="32"/>
      <c r="CR363" s="32"/>
      <c r="CS363" s="32"/>
      <c r="CT363" s="32"/>
      <c r="CU363" s="32"/>
      <c r="CV363" s="32"/>
      <c r="CW363" s="32"/>
      <c r="CX363" s="32"/>
      <c r="CY363" s="32"/>
      <c r="CZ363" s="32"/>
      <c r="DA363" s="32"/>
      <c r="DB363" s="32"/>
      <c r="DC363" s="32"/>
      <c r="DD363" s="32"/>
      <c r="DE363" s="32"/>
      <c r="DF363" s="32"/>
      <c r="DG363" s="32"/>
      <c r="DH363" s="32"/>
      <c r="DI363" s="32"/>
      <c r="DJ363" s="32"/>
      <c r="DK363" s="32"/>
      <c r="DL363" s="32"/>
      <c r="DM363" s="32"/>
      <c r="DN363" s="32"/>
      <c r="DO363" s="32"/>
      <c r="DP363" s="32"/>
      <c r="DQ363" s="32"/>
      <c r="DR363" s="32"/>
      <c r="DS363" s="32"/>
      <c r="DT363" s="32"/>
      <c r="DU363" s="32"/>
      <c r="DV363" s="32"/>
      <c r="DW363" s="32"/>
      <c r="DX363" s="32"/>
      <c r="DY363" s="32"/>
      <c r="DZ363" s="32"/>
      <c r="EA363" s="32"/>
      <c r="EB363" s="32"/>
      <c r="EC363" s="32"/>
      <c r="ED363" s="32"/>
      <c r="EE363" s="32"/>
      <c r="EF363" s="32"/>
      <c r="EG363" s="32"/>
      <c r="EH363" s="32"/>
      <c r="EI363" s="32"/>
      <c r="EJ363" s="32"/>
      <c r="EK363" s="32"/>
    </row>
    <row r="364" spans="42:141">
      <c r="AP364" s="32"/>
      <c r="AQ364" s="32"/>
      <c r="AR364" s="32"/>
      <c r="AS364" s="32"/>
      <c r="AT364" s="32"/>
      <c r="AU364" s="32"/>
      <c r="AV364" s="32"/>
      <c r="AW364" s="32"/>
      <c r="AX364" s="32"/>
      <c r="AY364" s="32"/>
      <c r="AZ364" s="32"/>
      <c r="BA364" s="32"/>
      <c r="BB364" s="32"/>
      <c r="BC364" s="32"/>
      <c r="BD364" s="32"/>
      <c r="BE364" s="32"/>
      <c r="BF364" s="32"/>
      <c r="BG364" s="32"/>
      <c r="BH364" s="32"/>
      <c r="BI364" s="32"/>
      <c r="BJ364" s="32"/>
      <c r="BK364" s="32"/>
      <c r="BL364" s="32"/>
      <c r="BM364" s="32"/>
      <c r="BN364" s="32"/>
      <c r="BO364" s="32"/>
      <c r="BP364" s="32"/>
      <c r="BQ364" s="32"/>
      <c r="BR364" s="32"/>
      <c r="BS364" s="32"/>
      <c r="BT364" s="32"/>
      <c r="BU364" s="32"/>
      <c r="BV364" s="32"/>
      <c r="BW364" s="32"/>
      <c r="BX364" s="32"/>
      <c r="BY364" s="32"/>
      <c r="BZ364" s="32"/>
      <c r="CA364" s="32"/>
      <c r="CB364" s="32"/>
      <c r="CC364" s="32"/>
      <c r="CD364" s="32"/>
      <c r="CE364" s="32"/>
      <c r="CF364" s="32"/>
      <c r="CG364" s="32"/>
      <c r="CH364" s="32"/>
      <c r="CI364" s="32"/>
      <c r="CJ364" s="32"/>
      <c r="CK364" s="32"/>
      <c r="CL364" s="32"/>
      <c r="CM364" s="32"/>
      <c r="CN364" s="32"/>
      <c r="CO364" s="32"/>
      <c r="CP364" s="32"/>
      <c r="CQ364" s="32"/>
      <c r="CR364" s="32"/>
      <c r="CS364" s="32"/>
      <c r="CT364" s="32"/>
      <c r="CU364" s="32"/>
      <c r="CV364" s="32"/>
      <c r="CW364" s="32"/>
      <c r="CX364" s="32"/>
      <c r="CY364" s="32"/>
      <c r="CZ364" s="32"/>
      <c r="DA364" s="32"/>
      <c r="DB364" s="32"/>
      <c r="DC364" s="32"/>
      <c r="DD364" s="32"/>
      <c r="DE364" s="32"/>
      <c r="DF364" s="32"/>
      <c r="DG364" s="32"/>
      <c r="DH364" s="32"/>
      <c r="DI364" s="32"/>
      <c r="DJ364" s="32"/>
      <c r="DK364" s="32"/>
      <c r="DL364" s="32"/>
      <c r="DM364" s="32"/>
      <c r="DN364" s="32"/>
      <c r="DO364" s="32"/>
      <c r="DP364" s="32"/>
      <c r="DQ364" s="32"/>
      <c r="DR364" s="32"/>
      <c r="DS364" s="32"/>
      <c r="DT364" s="32"/>
      <c r="DU364" s="32"/>
      <c r="DV364" s="32"/>
      <c r="DW364" s="32"/>
      <c r="DX364" s="32"/>
      <c r="DY364" s="32"/>
      <c r="DZ364" s="32"/>
      <c r="EA364" s="32"/>
      <c r="EB364" s="32"/>
      <c r="EC364" s="32"/>
      <c r="ED364" s="32"/>
      <c r="EE364" s="32"/>
      <c r="EF364" s="32"/>
      <c r="EG364" s="32"/>
      <c r="EH364" s="32"/>
      <c r="EI364" s="32"/>
      <c r="EJ364" s="32"/>
      <c r="EK364" s="32"/>
    </row>
    <row r="365" spans="42:141">
      <c r="AP365" s="32"/>
      <c r="AQ365" s="32"/>
      <c r="AR365" s="32"/>
      <c r="AS365" s="32"/>
      <c r="AT365" s="32"/>
      <c r="AU365" s="32"/>
      <c r="AV365" s="32"/>
      <c r="AW365" s="32"/>
      <c r="AX365" s="32"/>
      <c r="AY365" s="32"/>
      <c r="AZ365" s="32"/>
      <c r="BA365" s="32"/>
      <c r="BB365" s="32"/>
      <c r="BC365" s="32"/>
      <c r="BD365" s="32"/>
      <c r="BE365" s="32"/>
      <c r="BF365" s="32"/>
      <c r="BG365" s="32"/>
      <c r="BH365" s="32"/>
      <c r="BI365" s="32"/>
      <c r="BJ365" s="32"/>
      <c r="BK365" s="32"/>
      <c r="BL365" s="32"/>
      <c r="BM365" s="32"/>
      <c r="BN365" s="32"/>
      <c r="BO365" s="32"/>
      <c r="BP365" s="32"/>
      <c r="BQ365" s="32"/>
      <c r="BR365" s="32"/>
      <c r="BS365" s="32"/>
      <c r="BT365" s="32"/>
      <c r="BU365" s="32"/>
      <c r="BV365" s="32"/>
      <c r="BW365" s="32"/>
      <c r="BX365" s="32"/>
      <c r="BY365" s="32"/>
      <c r="BZ365" s="32"/>
      <c r="CA365" s="32"/>
      <c r="CB365" s="32"/>
      <c r="CC365" s="32"/>
      <c r="CD365" s="32"/>
      <c r="CE365" s="32"/>
      <c r="CF365" s="32"/>
      <c r="CG365" s="32"/>
      <c r="CH365" s="32"/>
      <c r="CI365" s="32"/>
      <c r="CJ365" s="32"/>
      <c r="CK365" s="32"/>
      <c r="CL365" s="32"/>
      <c r="CM365" s="32"/>
      <c r="CN365" s="32"/>
      <c r="CO365" s="32"/>
      <c r="CP365" s="32"/>
      <c r="CQ365" s="32"/>
      <c r="CR365" s="32"/>
      <c r="CS365" s="32"/>
      <c r="CT365" s="32"/>
      <c r="CU365" s="32"/>
      <c r="CV365" s="32"/>
      <c r="CW365" s="32"/>
      <c r="CX365" s="32"/>
      <c r="CY365" s="32"/>
      <c r="CZ365" s="32"/>
      <c r="DA365" s="32"/>
      <c r="DB365" s="32"/>
      <c r="DC365" s="32"/>
      <c r="DD365" s="32"/>
      <c r="DE365" s="32"/>
      <c r="DF365" s="32"/>
      <c r="DG365" s="32"/>
      <c r="DH365" s="32"/>
      <c r="DI365" s="32"/>
      <c r="DJ365" s="32"/>
      <c r="DK365" s="32"/>
      <c r="DL365" s="32"/>
      <c r="DM365" s="32"/>
      <c r="DN365" s="32"/>
      <c r="DO365" s="32"/>
      <c r="DP365" s="32"/>
      <c r="DQ365" s="32"/>
      <c r="DR365" s="32"/>
      <c r="DS365" s="32"/>
      <c r="DT365" s="32"/>
      <c r="DU365" s="32"/>
      <c r="DV365" s="32"/>
      <c r="DW365" s="32"/>
      <c r="DX365" s="32"/>
      <c r="DY365" s="32"/>
      <c r="DZ365" s="32"/>
      <c r="EA365" s="32"/>
      <c r="EB365" s="32"/>
      <c r="EC365" s="32"/>
      <c r="ED365" s="32"/>
      <c r="EE365" s="32"/>
      <c r="EF365" s="32"/>
      <c r="EG365" s="32"/>
      <c r="EH365" s="32"/>
      <c r="EI365" s="32"/>
      <c r="EJ365" s="32"/>
      <c r="EK365" s="32"/>
    </row>
    <row r="366" spans="42:141">
      <c r="AP366" s="32"/>
      <c r="AQ366" s="32"/>
      <c r="AR366" s="32"/>
      <c r="AS366" s="32"/>
      <c r="AT366" s="32"/>
      <c r="AU366" s="32"/>
      <c r="AV366" s="32"/>
      <c r="AW366" s="32"/>
      <c r="AX366" s="32"/>
      <c r="AY366" s="32"/>
      <c r="AZ366" s="32"/>
      <c r="BA366" s="32"/>
      <c r="BB366" s="32"/>
      <c r="BC366" s="32"/>
      <c r="BD366" s="32"/>
      <c r="BE366" s="32"/>
      <c r="BF366" s="32"/>
      <c r="BG366" s="32"/>
      <c r="BH366" s="32"/>
      <c r="BI366" s="32"/>
      <c r="BJ366" s="32"/>
      <c r="BK366" s="32"/>
      <c r="BL366" s="32"/>
      <c r="BM366" s="32"/>
      <c r="BN366" s="32"/>
      <c r="BO366" s="32"/>
      <c r="BP366" s="32"/>
      <c r="BQ366" s="32"/>
      <c r="BR366" s="32"/>
      <c r="BS366" s="32"/>
      <c r="BT366" s="32"/>
      <c r="BU366" s="32"/>
      <c r="BV366" s="32"/>
      <c r="BW366" s="32"/>
      <c r="BX366" s="32"/>
      <c r="BY366" s="32"/>
      <c r="BZ366" s="32"/>
      <c r="CA366" s="32"/>
      <c r="CB366" s="32"/>
      <c r="CC366" s="32"/>
      <c r="CD366" s="32"/>
      <c r="CE366" s="32"/>
      <c r="CF366" s="32"/>
      <c r="CG366" s="32"/>
      <c r="CH366" s="32"/>
      <c r="CI366" s="32"/>
      <c r="CJ366" s="32"/>
      <c r="CK366" s="32"/>
      <c r="CL366" s="32"/>
      <c r="CM366" s="32"/>
      <c r="CN366" s="32"/>
      <c r="CO366" s="32"/>
      <c r="CP366" s="32"/>
      <c r="CQ366" s="32"/>
      <c r="CR366" s="32"/>
      <c r="CS366" s="32"/>
      <c r="CT366" s="32"/>
      <c r="CU366" s="32"/>
      <c r="CV366" s="32"/>
      <c r="CW366" s="32"/>
      <c r="CX366" s="32"/>
      <c r="CY366" s="32"/>
      <c r="CZ366" s="32"/>
      <c r="DA366" s="32"/>
      <c r="DB366" s="32"/>
      <c r="DC366" s="32"/>
      <c r="DD366" s="32"/>
      <c r="DE366" s="32"/>
      <c r="DF366" s="32"/>
      <c r="DG366" s="32"/>
      <c r="DH366" s="32"/>
      <c r="DI366" s="32"/>
      <c r="DJ366" s="32"/>
      <c r="DK366" s="32"/>
      <c r="DL366" s="32"/>
      <c r="DM366" s="32"/>
      <c r="DN366" s="32"/>
      <c r="DO366" s="32"/>
      <c r="DP366" s="32"/>
      <c r="DQ366" s="32"/>
      <c r="DR366" s="32"/>
      <c r="DS366" s="32"/>
      <c r="DT366" s="32"/>
      <c r="DU366" s="32"/>
      <c r="DV366" s="32"/>
      <c r="DW366" s="32"/>
      <c r="DX366" s="32"/>
      <c r="DY366" s="32"/>
      <c r="DZ366" s="32"/>
      <c r="EA366" s="32"/>
      <c r="EB366" s="32"/>
      <c r="EC366" s="32"/>
      <c r="ED366" s="32"/>
      <c r="EE366" s="32"/>
      <c r="EF366" s="32"/>
      <c r="EG366" s="32"/>
      <c r="EH366" s="32"/>
      <c r="EI366" s="32"/>
      <c r="EJ366" s="32"/>
      <c r="EK366" s="32"/>
    </row>
    <row r="367" spans="42:141">
      <c r="AP367" s="32"/>
      <c r="AQ367" s="32"/>
      <c r="AR367" s="32"/>
      <c r="AS367" s="32"/>
      <c r="AT367" s="32"/>
      <c r="AU367" s="32"/>
      <c r="AV367" s="32"/>
      <c r="AW367" s="32"/>
      <c r="AX367" s="32"/>
      <c r="AY367" s="32"/>
      <c r="AZ367" s="32"/>
      <c r="BA367" s="32"/>
      <c r="BB367" s="32"/>
      <c r="BC367" s="32"/>
      <c r="BD367" s="32"/>
      <c r="BE367" s="32"/>
      <c r="BF367" s="32"/>
      <c r="BG367" s="32"/>
      <c r="BH367" s="32"/>
      <c r="BI367" s="32"/>
      <c r="BJ367" s="32"/>
      <c r="BK367" s="32"/>
      <c r="BL367" s="32"/>
      <c r="BM367" s="32"/>
      <c r="BN367" s="32"/>
      <c r="BO367" s="32"/>
      <c r="BP367" s="32"/>
      <c r="BQ367" s="32"/>
      <c r="BR367" s="32"/>
      <c r="BS367" s="32"/>
      <c r="BT367" s="32"/>
      <c r="BU367" s="32"/>
      <c r="BV367" s="32"/>
      <c r="BW367" s="32"/>
      <c r="BX367" s="32"/>
      <c r="BY367" s="32"/>
      <c r="BZ367" s="32"/>
      <c r="CA367" s="32"/>
      <c r="CB367" s="32"/>
      <c r="CC367" s="32"/>
      <c r="CD367" s="32"/>
      <c r="CE367" s="32"/>
      <c r="CF367" s="32"/>
      <c r="CG367" s="32"/>
      <c r="CH367" s="32"/>
      <c r="CI367" s="32"/>
      <c r="CJ367" s="32"/>
      <c r="CK367" s="32"/>
      <c r="CL367" s="32"/>
      <c r="CM367" s="32"/>
      <c r="CN367" s="32"/>
      <c r="CO367" s="32"/>
      <c r="CP367" s="32"/>
      <c r="CQ367" s="32"/>
      <c r="CR367" s="32"/>
      <c r="CS367" s="32"/>
      <c r="CT367" s="32"/>
      <c r="CU367" s="32"/>
      <c r="CV367" s="32"/>
      <c r="CW367" s="32"/>
      <c r="CX367" s="32"/>
      <c r="CY367" s="32"/>
      <c r="CZ367" s="32"/>
      <c r="DA367" s="32"/>
      <c r="DB367" s="32"/>
      <c r="DC367" s="32"/>
      <c r="DD367" s="32"/>
      <c r="DE367" s="32"/>
      <c r="DF367" s="32"/>
      <c r="DG367" s="32"/>
      <c r="DH367" s="32"/>
      <c r="DI367" s="32"/>
      <c r="DJ367" s="32"/>
      <c r="DK367" s="32"/>
      <c r="DL367" s="32"/>
      <c r="DM367" s="32"/>
      <c r="DN367" s="32"/>
      <c r="DO367" s="32"/>
      <c r="DP367" s="32"/>
      <c r="DQ367" s="32"/>
      <c r="DR367" s="32"/>
      <c r="DS367" s="32"/>
      <c r="DT367" s="32"/>
      <c r="DU367" s="32"/>
      <c r="DV367" s="32"/>
      <c r="DW367" s="32"/>
      <c r="DX367" s="32"/>
      <c r="DY367" s="32"/>
      <c r="DZ367" s="32"/>
      <c r="EA367" s="32"/>
      <c r="EB367" s="32"/>
      <c r="EC367" s="32"/>
      <c r="ED367" s="32"/>
      <c r="EE367" s="32"/>
      <c r="EF367" s="32"/>
      <c r="EG367" s="32"/>
      <c r="EH367" s="32"/>
      <c r="EI367" s="32"/>
      <c r="EJ367" s="32"/>
      <c r="EK367" s="32"/>
    </row>
    <row r="368" spans="42:141">
      <c r="AP368" s="32"/>
      <c r="AQ368" s="32"/>
      <c r="AR368" s="32"/>
      <c r="AS368" s="32"/>
      <c r="AT368" s="32"/>
      <c r="AU368" s="32"/>
      <c r="AV368" s="32"/>
      <c r="AW368" s="32"/>
      <c r="AX368" s="32"/>
      <c r="AY368" s="32"/>
      <c r="AZ368" s="32"/>
      <c r="BA368" s="32"/>
      <c r="BB368" s="32"/>
      <c r="BC368" s="32"/>
      <c r="BD368" s="32"/>
      <c r="BE368" s="32"/>
      <c r="BF368" s="32"/>
      <c r="BG368" s="32"/>
      <c r="BH368" s="32"/>
      <c r="BI368" s="32"/>
      <c r="BJ368" s="32"/>
      <c r="BK368" s="32"/>
      <c r="BL368" s="32"/>
      <c r="BM368" s="32"/>
      <c r="BN368" s="32"/>
      <c r="BO368" s="32"/>
      <c r="BP368" s="32"/>
      <c r="BQ368" s="32"/>
      <c r="BR368" s="32"/>
      <c r="BS368" s="32"/>
      <c r="BT368" s="32"/>
      <c r="BU368" s="32"/>
      <c r="BV368" s="32"/>
      <c r="BW368" s="32"/>
      <c r="BX368" s="32"/>
      <c r="BY368" s="32"/>
      <c r="BZ368" s="32"/>
      <c r="CA368" s="32"/>
      <c r="CB368" s="32"/>
      <c r="CC368" s="32"/>
      <c r="CD368" s="32"/>
      <c r="CE368" s="32"/>
      <c r="CF368" s="32"/>
      <c r="CG368" s="32"/>
      <c r="CH368" s="32"/>
      <c r="CI368" s="32"/>
      <c r="CJ368" s="32"/>
      <c r="CK368" s="32"/>
      <c r="CL368" s="32"/>
      <c r="CM368" s="32"/>
      <c r="CN368" s="32"/>
      <c r="CO368" s="32"/>
      <c r="CP368" s="32"/>
      <c r="CQ368" s="32"/>
      <c r="CR368" s="32"/>
      <c r="CS368" s="32"/>
      <c r="CT368" s="32"/>
      <c r="CU368" s="32"/>
      <c r="CV368" s="32"/>
      <c r="CW368" s="32"/>
      <c r="CX368" s="32"/>
      <c r="CY368" s="32"/>
      <c r="CZ368" s="32"/>
      <c r="DA368" s="32"/>
      <c r="DB368" s="32"/>
      <c r="DC368" s="32"/>
      <c r="DD368" s="32"/>
      <c r="DE368" s="32"/>
      <c r="DF368" s="32"/>
      <c r="DG368" s="32"/>
      <c r="DH368" s="32"/>
      <c r="DI368" s="32"/>
      <c r="DJ368" s="32"/>
      <c r="DK368" s="32"/>
      <c r="DL368" s="32"/>
      <c r="DM368" s="32"/>
      <c r="DN368" s="32"/>
      <c r="DO368" s="32"/>
      <c r="DP368" s="32"/>
      <c r="DQ368" s="32"/>
      <c r="DR368" s="32"/>
      <c r="DS368" s="32"/>
      <c r="DT368" s="32"/>
      <c r="DU368" s="32"/>
      <c r="DV368" s="32"/>
      <c r="DW368" s="32"/>
      <c r="DX368" s="32"/>
      <c r="DY368" s="32"/>
      <c r="DZ368" s="32"/>
      <c r="EA368" s="32"/>
      <c r="EB368" s="32"/>
      <c r="EC368" s="32"/>
      <c r="ED368" s="32"/>
      <c r="EE368" s="32"/>
      <c r="EF368" s="32"/>
      <c r="EG368" s="32"/>
      <c r="EH368" s="32"/>
      <c r="EI368" s="32"/>
      <c r="EJ368" s="32"/>
      <c r="EK368" s="32"/>
    </row>
    <row r="369" spans="42:141">
      <c r="AP369" s="32"/>
      <c r="AQ369" s="32"/>
      <c r="AR369" s="32"/>
      <c r="AS369" s="32"/>
      <c r="AT369" s="32"/>
      <c r="AU369" s="32"/>
      <c r="AV369" s="32"/>
      <c r="AW369" s="32"/>
      <c r="AX369" s="32"/>
      <c r="AY369" s="32"/>
      <c r="AZ369" s="32"/>
      <c r="BA369" s="32"/>
      <c r="BB369" s="32"/>
      <c r="BC369" s="32"/>
      <c r="BD369" s="32"/>
      <c r="BE369" s="32"/>
      <c r="BF369" s="32"/>
      <c r="BG369" s="32"/>
      <c r="BH369" s="32"/>
      <c r="BI369" s="32"/>
      <c r="BJ369" s="32"/>
      <c r="BK369" s="32"/>
      <c r="BL369" s="32"/>
      <c r="BM369" s="32"/>
      <c r="BN369" s="32"/>
      <c r="BO369" s="32"/>
      <c r="BP369" s="32"/>
      <c r="BQ369" s="32"/>
      <c r="BR369" s="32"/>
      <c r="BS369" s="32"/>
      <c r="BT369" s="32"/>
      <c r="BU369" s="32"/>
      <c r="BV369" s="32"/>
      <c r="BW369" s="32"/>
      <c r="BX369" s="32"/>
      <c r="BY369" s="32"/>
      <c r="BZ369" s="32"/>
      <c r="CA369" s="32"/>
      <c r="CB369" s="32"/>
      <c r="CC369" s="32"/>
      <c r="CD369" s="32"/>
      <c r="CE369" s="32"/>
      <c r="CF369" s="32"/>
      <c r="CG369" s="32"/>
      <c r="CH369" s="32"/>
      <c r="CI369" s="32"/>
      <c r="CJ369" s="32"/>
      <c r="CK369" s="32"/>
      <c r="CL369" s="32"/>
      <c r="CM369" s="32"/>
      <c r="CN369" s="32"/>
      <c r="CO369" s="32"/>
      <c r="CP369" s="32"/>
      <c r="CQ369" s="32"/>
      <c r="CR369" s="32"/>
      <c r="CS369" s="32"/>
      <c r="CT369" s="32"/>
      <c r="CU369" s="32"/>
      <c r="CV369" s="32"/>
      <c r="CW369" s="32"/>
      <c r="CX369" s="32"/>
      <c r="CY369" s="32"/>
      <c r="CZ369" s="32"/>
      <c r="DA369" s="32"/>
      <c r="DB369" s="32"/>
      <c r="DC369" s="32"/>
      <c r="DD369" s="32"/>
      <c r="DE369" s="32"/>
      <c r="DF369" s="32"/>
      <c r="DG369" s="32"/>
      <c r="DH369" s="32"/>
      <c r="DI369" s="32"/>
      <c r="DJ369" s="32"/>
      <c r="DK369" s="32"/>
      <c r="DL369" s="32"/>
      <c r="DM369" s="32"/>
      <c r="DN369" s="32"/>
      <c r="DO369" s="32"/>
      <c r="DP369" s="32"/>
      <c r="DQ369" s="32"/>
      <c r="DR369" s="32"/>
      <c r="DS369" s="32"/>
      <c r="DT369" s="32"/>
      <c r="DU369" s="32"/>
      <c r="DV369" s="32"/>
      <c r="DW369" s="32"/>
      <c r="DX369" s="32"/>
      <c r="DY369" s="32"/>
      <c r="DZ369" s="32"/>
      <c r="EA369" s="32"/>
      <c r="EB369" s="32"/>
      <c r="EC369" s="32"/>
      <c r="ED369" s="32"/>
      <c r="EE369" s="32"/>
      <c r="EF369" s="32"/>
      <c r="EG369" s="32"/>
      <c r="EH369" s="32"/>
      <c r="EI369" s="32"/>
      <c r="EJ369" s="32"/>
      <c r="EK369" s="32"/>
    </row>
    <row r="370" spans="42:141">
      <c r="AP370" s="32"/>
      <c r="AQ370" s="32"/>
      <c r="AR370" s="32"/>
      <c r="AS370" s="32"/>
      <c r="AT370" s="32"/>
      <c r="AU370" s="32"/>
      <c r="AV370" s="32"/>
      <c r="AW370" s="32"/>
      <c r="AX370" s="32"/>
      <c r="AY370" s="32"/>
      <c r="AZ370" s="32"/>
      <c r="BA370" s="32"/>
      <c r="BB370" s="32"/>
      <c r="BC370" s="32"/>
      <c r="BD370" s="32"/>
      <c r="BE370" s="32"/>
      <c r="BF370" s="32"/>
      <c r="BG370" s="32"/>
      <c r="BH370" s="32"/>
      <c r="BI370" s="32"/>
      <c r="BJ370" s="32"/>
      <c r="BK370" s="32"/>
      <c r="BL370" s="32"/>
      <c r="BM370" s="32"/>
      <c r="BN370" s="32"/>
      <c r="BO370" s="32"/>
      <c r="BP370" s="32"/>
      <c r="BQ370" s="32"/>
      <c r="BR370" s="32"/>
      <c r="BS370" s="32"/>
      <c r="BT370" s="32"/>
      <c r="BU370" s="32"/>
      <c r="BV370" s="32"/>
      <c r="BW370" s="32"/>
      <c r="BX370" s="32"/>
      <c r="BY370" s="32"/>
      <c r="BZ370" s="32"/>
      <c r="CA370" s="32"/>
      <c r="CB370" s="32"/>
      <c r="CC370" s="32"/>
      <c r="CD370" s="32"/>
      <c r="CE370" s="32"/>
      <c r="CF370" s="32"/>
      <c r="CG370" s="32"/>
      <c r="CH370" s="32"/>
      <c r="CI370" s="32"/>
      <c r="CJ370" s="32"/>
      <c r="CK370" s="32"/>
      <c r="CL370" s="32"/>
      <c r="CM370" s="32"/>
      <c r="CN370" s="32"/>
      <c r="CO370" s="32"/>
      <c r="CP370" s="32"/>
      <c r="CQ370" s="32"/>
      <c r="CR370" s="32"/>
      <c r="CS370" s="32"/>
      <c r="CT370" s="32"/>
      <c r="CU370" s="32"/>
      <c r="CV370" s="32"/>
      <c r="CW370" s="32"/>
      <c r="CX370" s="32"/>
      <c r="CY370" s="32"/>
      <c r="CZ370" s="32"/>
      <c r="DA370" s="32"/>
      <c r="DB370" s="32"/>
      <c r="DC370" s="32"/>
      <c r="DD370" s="32"/>
      <c r="DE370" s="32"/>
      <c r="DF370" s="32"/>
      <c r="DG370" s="32"/>
      <c r="DH370" s="32"/>
      <c r="DI370" s="32"/>
      <c r="DJ370" s="32"/>
      <c r="DK370" s="32"/>
      <c r="DL370" s="32"/>
      <c r="DM370" s="32"/>
      <c r="DN370" s="32"/>
      <c r="DO370" s="32"/>
      <c r="DP370" s="32"/>
      <c r="DQ370" s="32"/>
      <c r="DR370" s="32"/>
      <c r="DS370" s="32"/>
      <c r="DT370" s="32"/>
      <c r="DU370" s="32"/>
      <c r="DV370" s="32"/>
      <c r="DW370" s="32"/>
      <c r="DX370" s="32"/>
      <c r="DY370" s="32"/>
      <c r="DZ370" s="32"/>
      <c r="EA370" s="32"/>
      <c r="EB370" s="32"/>
      <c r="EC370" s="32"/>
      <c r="ED370" s="32"/>
      <c r="EE370" s="32"/>
      <c r="EF370" s="32"/>
      <c r="EG370" s="32"/>
      <c r="EH370" s="32"/>
      <c r="EI370" s="32"/>
      <c r="EJ370" s="32"/>
      <c r="EK370" s="32"/>
    </row>
    <row r="371" spans="42:141">
      <c r="AP371" s="32"/>
      <c r="AQ371" s="32"/>
      <c r="AR371" s="32"/>
      <c r="AS371" s="32"/>
      <c r="AT371" s="32"/>
      <c r="AU371" s="32"/>
      <c r="AV371" s="32"/>
      <c r="AW371" s="32"/>
      <c r="AX371" s="32"/>
      <c r="AY371" s="32"/>
      <c r="AZ371" s="32"/>
      <c r="BA371" s="32"/>
      <c r="BB371" s="32"/>
      <c r="BC371" s="32"/>
      <c r="BD371" s="32"/>
      <c r="BE371" s="32"/>
      <c r="BF371" s="32"/>
      <c r="BG371" s="32"/>
      <c r="BH371" s="32"/>
      <c r="BI371" s="32"/>
      <c r="BJ371" s="32"/>
      <c r="BK371" s="32"/>
      <c r="BL371" s="32"/>
      <c r="BM371" s="32"/>
      <c r="BN371" s="32"/>
      <c r="BO371" s="32"/>
      <c r="BP371" s="32"/>
      <c r="BQ371" s="32"/>
      <c r="BR371" s="32"/>
      <c r="BS371" s="32"/>
      <c r="BT371" s="32"/>
      <c r="BU371" s="32"/>
      <c r="BV371" s="32"/>
      <c r="BW371" s="32"/>
      <c r="BX371" s="32"/>
      <c r="BY371" s="32"/>
      <c r="BZ371" s="32"/>
      <c r="CA371" s="32"/>
      <c r="CB371" s="32"/>
      <c r="CC371" s="32"/>
      <c r="CD371" s="32"/>
      <c r="CE371" s="32"/>
      <c r="CF371" s="32"/>
      <c r="CG371" s="32"/>
      <c r="CH371" s="32"/>
      <c r="CI371" s="32"/>
      <c r="CJ371" s="32"/>
      <c r="CK371" s="32"/>
      <c r="CL371" s="32"/>
      <c r="CM371" s="32"/>
      <c r="CN371" s="32"/>
      <c r="CO371" s="32"/>
      <c r="CP371" s="32"/>
      <c r="CQ371" s="32"/>
      <c r="CR371" s="32"/>
      <c r="CS371" s="32"/>
      <c r="CT371" s="32"/>
      <c r="CU371" s="32"/>
      <c r="CV371" s="32"/>
      <c r="CW371" s="32"/>
      <c r="CX371" s="32"/>
      <c r="CY371" s="32"/>
      <c r="CZ371" s="32"/>
      <c r="DA371" s="32"/>
      <c r="DB371" s="32"/>
      <c r="DC371" s="32"/>
      <c r="DD371" s="32"/>
      <c r="DE371" s="32"/>
      <c r="DF371" s="32"/>
      <c r="DG371" s="32"/>
      <c r="DH371" s="32"/>
      <c r="DI371" s="32"/>
      <c r="DJ371" s="32"/>
      <c r="DK371" s="32"/>
      <c r="DL371" s="32"/>
      <c r="DM371" s="32"/>
      <c r="DN371" s="32"/>
      <c r="DO371" s="32"/>
      <c r="DP371" s="32"/>
      <c r="DQ371" s="32"/>
      <c r="DR371" s="32"/>
      <c r="DS371" s="32"/>
      <c r="DT371" s="32"/>
      <c r="DU371" s="32"/>
      <c r="DV371" s="32"/>
      <c r="DW371" s="32"/>
      <c r="DX371" s="32"/>
      <c r="DY371" s="32"/>
      <c r="DZ371" s="32"/>
      <c r="EA371" s="32"/>
      <c r="EB371" s="32"/>
      <c r="EC371" s="32"/>
      <c r="ED371" s="32"/>
      <c r="EE371" s="32"/>
      <c r="EF371" s="32"/>
      <c r="EG371" s="32"/>
      <c r="EH371" s="32"/>
      <c r="EI371" s="32"/>
      <c r="EJ371" s="32"/>
      <c r="EK371" s="32"/>
    </row>
    <row r="372" spans="42:141">
      <c r="AP372" s="32"/>
      <c r="AQ372" s="32"/>
      <c r="AR372" s="32"/>
      <c r="AS372" s="32"/>
      <c r="AT372" s="32"/>
      <c r="AU372" s="32"/>
      <c r="AV372" s="32"/>
      <c r="AW372" s="32"/>
      <c r="AX372" s="32"/>
      <c r="AY372" s="32"/>
      <c r="AZ372" s="32"/>
      <c r="BA372" s="32"/>
      <c r="BB372" s="32"/>
      <c r="BC372" s="32"/>
      <c r="BD372" s="32"/>
      <c r="BE372" s="32"/>
      <c r="BF372" s="32"/>
      <c r="BG372" s="32"/>
      <c r="BH372" s="32"/>
      <c r="BI372" s="32"/>
      <c r="BJ372" s="32"/>
      <c r="BK372" s="32"/>
      <c r="BL372" s="32"/>
      <c r="BM372" s="32"/>
      <c r="BN372" s="32"/>
      <c r="BO372" s="32"/>
      <c r="BP372" s="32"/>
      <c r="BQ372" s="32"/>
      <c r="BR372" s="32"/>
      <c r="BS372" s="32"/>
      <c r="BT372" s="32"/>
      <c r="BU372" s="32"/>
      <c r="BV372" s="32"/>
      <c r="BW372" s="32"/>
      <c r="BX372" s="32"/>
      <c r="BY372" s="32"/>
      <c r="BZ372" s="32"/>
      <c r="CA372" s="32"/>
      <c r="CB372" s="32"/>
      <c r="CC372" s="32"/>
      <c r="CD372" s="32"/>
      <c r="CE372" s="32"/>
      <c r="CF372" s="32"/>
      <c r="CG372" s="32"/>
      <c r="CH372" s="32"/>
      <c r="CI372" s="32"/>
      <c r="CJ372" s="32"/>
      <c r="CK372" s="32"/>
      <c r="CL372" s="32"/>
      <c r="CM372" s="32"/>
      <c r="CN372" s="32"/>
      <c r="CO372" s="32"/>
      <c r="CP372" s="32"/>
      <c r="CQ372" s="32"/>
      <c r="CR372" s="32"/>
      <c r="CS372" s="32"/>
      <c r="CT372" s="32"/>
      <c r="CU372" s="32"/>
      <c r="CV372" s="32"/>
      <c r="CW372" s="32"/>
      <c r="CX372" s="32"/>
      <c r="CY372" s="32"/>
      <c r="CZ372" s="32"/>
      <c r="DA372" s="32"/>
      <c r="DB372" s="32"/>
      <c r="DC372" s="32"/>
      <c r="DD372" s="32"/>
      <c r="DE372" s="32"/>
      <c r="DF372" s="32"/>
      <c r="DG372" s="32"/>
      <c r="DH372" s="32"/>
      <c r="DI372" s="32"/>
      <c r="DJ372" s="32"/>
      <c r="DK372" s="32"/>
      <c r="DL372" s="32"/>
      <c r="DM372" s="32"/>
      <c r="DN372" s="32"/>
      <c r="DO372" s="32"/>
      <c r="DP372" s="32"/>
      <c r="DQ372" s="32"/>
      <c r="DR372" s="32"/>
      <c r="DS372" s="32"/>
      <c r="DT372" s="32"/>
      <c r="DU372" s="32"/>
      <c r="DV372" s="32"/>
      <c r="DW372" s="32"/>
      <c r="DX372" s="32"/>
      <c r="DY372" s="32"/>
      <c r="DZ372" s="32"/>
      <c r="EA372" s="32"/>
      <c r="EB372" s="32"/>
      <c r="EC372" s="32"/>
      <c r="ED372" s="32"/>
      <c r="EE372" s="32"/>
      <c r="EF372" s="32"/>
      <c r="EG372" s="32"/>
      <c r="EH372" s="32"/>
      <c r="EI372" s="32"/>
      <c r="EJ372" s="32"/>
      <c r="EK372" s="32"/>
    </row>
    <row r="373" spans="42:141">
      <c r="AP373" s="32"/>
      <c r="AQ373" s="32"/>
      <c r="AR373" s="32"/>
      <c r="AS373" s="32"/>
      <c r="AT373" s="32"/>
      <c r="AU373" s="32"/>
      <c r="AV373" s="32"/>
      <c r="AW373" s="32"/>
      <c r="AX373" s="32"/>
      <c r="AY373" s="32"/>
      <c r="AZ373" s="32"/>
      <c r="BA373" s="32"/>
      <c r="BB373" s="32"/>
      <c r="BC373" s="32"/>
      <c r="BD373" s="32"/>
      <c r="BE373" s="32"/>
      <c r="BF373" s="32"/>
      <c r="BG373" s="32"/>
      <c r="BH373" s="32"/>
      <c r="BI373" s="32"/>
      <c r="BJ373" s="32"/>
      <c r="BK373" s="32"/>
      <c r="BL373" s="32"/>
      <c r="BM373" s="32"/>
      <c r="BN373" s="32"/>
      <c r="BO373" s="32"/>
      <c r="BP373" s="32"/>
      <c r="BQ373" s="32"/>
      <c r="BR373" s="32"/>
      <c r="BS373" s="32"/>
      <c r="BT373" s="32"/>
      <c r="BU373" s="32"/>
      <c r="BV373" s="32"/>
      <c r="BW373" s="32"/>
      <c r="BX373" s="32"/>
      <c r="BY373" s="32"/>
      <c r="BZ373" s="32"/>
      <c r="CA373" s="32"/>
      <c r="CB373" s="32"/>
      <c r="CC373" s="32"/>
      <c r="CD373" s="32"/>
      <c r="CE373" s="32"/>
      <c r="CF373" s="32"/>
      <c r="CG373" s="32"/>
      <c r="CH373" s="32"/>
      <c r="CI373" s="32"/>
      <c r="CJ373" s="32"/>
      <c r="CK373" s="32"/>
      <c r="CL373" s="32"/>
      <c r="CM373" s="32"/>
      <c r="CN373" s="32"/>
      <c r="CO373" s="32"/>
      <c r="CP373" s="32"/>
      <c r="CQ373" s="32"/>
      <c r="CR373" s="32"/>
      <c r="CS373" s="32"/>
      <c r="CT373" s="32"/>
      <c r="CU373" s="32"/>
      <c r="CV373" s="32"/>
      <c r="CW373" s="32"/>
      <c r="CX373" s="32"/>
      <c r="CY373" s="32"/>
      <c r="CZ373" s="32"/>
      <c r="DA373" s="32"/>
      <c r="DB373" s="32"/>
      <c r="DC373" s="32"/>
      <c r="DD373" s="32"/>
      <c r="DE373" s="32"/>
      <c r="DF373" s="32"/>
      <c r="DG373" s="32"/>
      <c r="DH373" s="32"/>
      <c r="DI373" s="32"/>
      <c r="DJ373" s="32"/>
      <c r="DK373" s="32"/>
      <c r="DL373" s="32"/>
      <c r="DM373" s="32"/>
      <c r="DN373" s="32"/>
      <c r="DO373" s="32"/>
      <c r="DP373" s="32"/>
      <c r="DQ373" s="32"/>
      <c r="DR373" s="32"/>
      <c r="DS373" s="32"/>
      <c r="DT373" s="32"/>
      <c r="DU373" s="32"/>
      <c r="DV373" s="32"/>
      <c r="DW373" s="32"/>
      <c r="DX373" s="32"/>
      <c r="DY373" s="32"/>
      <c r="DZ373" s="32"/>
      <c r="EA373" s="32"/>
      <c r="EB373" s="32"/>
      <c r="EC373" s="32"/>
      <c r="ED373" s="32"/>
      <c r="EE373" s="32"/>
      <c r="EF373" s="32"/>
      <c r="EG373" s="32"/>
      <c r="EH373" s="32"/>
      <c r="EI373" s="32"/>
      <c r="EJ373" s="32"/>
      <c r="EK373" s="32"/>
    </row>
    <row r="374" spans="42:141">
      <c r="AP374" s="32"/>
      <c r="AQ374" s="32"/>
      <c r="AR374" s="32"/>
      <c r="AS374" s="32"/>
      <c r="AT374" s="32"/>
      <c r="AU374" s="32"/>
      <c r="AV374" s="32"/>
      <c r="AW374" s="32"/>
      <c r="AX374" s="32"/>
      <c r="AY374" s="32"/>
      <c r="AZ374" s="32"/>
      <c r="BA374" s="32"/>
      <c r="BB374" s="32"/>
      <c r="BC374" s="32"/>
      <c r="BD374" s="32"/>
      <c r="BE374" s="32"/>
      <c r="BF374" s="32"/>
      <c r="BG374" s="32"/>
      <c r="BH374" s="32"/>
      <c r="BI374" s="32"/>
      <c r="BJ374" s="32"/>
      <c r="BK374" s="32"/>
      <c r="BL374" s="32"/>
      <c r="BM374" s="32"/>
      <c r="BN374" s="32"/>
      <c r="BO374" s="32"/>
      <c r="BP374" s="32"/>
      <c r="BQ374" s="32"/>
      <c r="BR374" s="32"/>
      <c r="BS374" s="32"/>
      <c r="BT374" s="32"/>
      <c r="BU374" s="32"/>
      <c r="BV374" s="32"/>
      <c r="BW374" s="32"/>
      <c r="BX374" s="32"/>
      <c r="BY374" s="32"/>
      <c r="BZ374" s="32"/>
      <c r="CA374" s="32"/>
      <c r="CB374" s="32"/>
      <c r="CC374" s="32"/>
      <c r="CD374" s="32"/>
      <c r="CE374" s="32"/>
      <c r="CF374" s="32"/>
      <c r="CG374" s="32"/>
      <c r="CH374" s="32"/>
      <c r="CI374" s="32"/>
      <c r="CJ374" s="32"/>
      <c r="CK374" s="32"/>
      <c r="CL374" s="32"/>
      <c r="CM374" s="32"/>
      <c r="CN374" s="32"/>
      <c r="CO374" s="32"/>
      <c r="CP374" s="32"/>
      <c r="CQ374" s="32"/>
      <c r="CR374" s="32"/>
      <c r="CS374" s="32"/>
      <c r="CT374" s="32"/>
      <c r="CU374" s="32"/>
      <c r="CV374" s="32"/>
      <c r="CW374" s="32"/>
      <c r="CX374" s="32"/>
      <c r="CY374" s="32"/>
      <c r="CZ374" s="32"/>
      <c r="DA374" s="32"/>
      <c r="DB374" s="32"/>
      <c r="DC374" s="32"/>
      <c r="DD374" s="32"/>
      <c r="DE374" s="32"/>
      <c r="DF374" s="32"/>
      <c r="DG374" s="32"/>
      <c r="DH374" s="32"/>
      <c r="DI374" s="32"/>
      <c r="DJ374" s="32"/>
      <c r="DK374" s="32"/>
      <c r="DL374" s="32"/>
      <c r="DM374" s="32"/>
      <c r="DN374" s="32"/>
      <c r="DO374" s="32"/>
      <c r="DP374" s="32"/>
      <c r="DQ374" s="32"/>
      <c r="DR374" s="32"/>
      <c r="DS374" s="32"/>
      <c r="DT374" s="32"/>
      <c r="DU374" s="32"/>
      <c r="DV374" s="32"/>
      <c r="DW374" s="32"/>
      <c r="DX374" s="32"/>
      <c r="DY374" s="32"/>
      <c r="DZ374" s="32"/>
      <c r="EA374" s="32"/>
      <c r="EB374" s="32"/>
      <c r="EC374" s="32"/>
      <c r="ED374" s="32"/>
      <c r="EE374" s="32"/>
      <c r="EF374" s="32"/>
      <c r="EG374" s="32"/>
      <c r="EH374" s="32"/>
      <c r="EI374" s="32"/>
      <c r="EJ374" s="32"/>
      <c r="EK374" s="32"/>
    </row>
    <row r="375" spans="42:141">
      <c r="AP375" s="32"/>
      <c r="AQ375" s="32"/>
      <c r="AR375" s="32"/>
      <c r="AS375" s="32"/>
      <c r="AT375" s="32"/>
      <c r="AU375" s="32"/>
      <c r="AV375" s="32"/>
      <c r="AW375" s="32"/>
      <c r="AX375" s="32"/>
      <c r="AY375" s="32"/>
      <c r="AZ375" s="32"/>
      <c r="BA375" s="32"/>
      <c r="BB375" s="32"/>
      <c r="BC375" s="32"/>
      <c r="BD375" s="32"/>
      <c r="BE375" s="32"/>
      <c r="BF375" s="32"/>
      <c r="BG375" s="32"/>
      <c r="BH375" s="32"/>
      <c r="BI375" s="32"/>
      <c r="BJ375" s="32"/>
      <c r="BK375" s="32"/>
      <c r="BL375" s="32"/>
      <c r="BM375" s="32"/>
      <c r="BN375" s="32"/>
      <c r="BO375" s="32"/>
      <c r="BP375" s="32"/>
      <c r="BQ375" s="32"/>
      <c r="BR375" s="32"/>
      <c r="BS375" s="32"/>
      <c r="BT375" s="32"/>
      <c r="BU375" s="32"/>
      <c r="BV375" s="32"/>
      <c r="BW375" s="32"/>
      <c r="BX375" s="32"/>
      <c r="BY375" s="32"/>
      <c r="BZ375" s="32"/>
      <c r="CA375" s="32"/>
      <c r="CB375" s="32"/>
      <c r="CC375" s="32"/>
      <c r="CD375" s="32"/>
      <c r="CE375" s="32"/>
      <c r="CF375" s="32"/>
      <c r="CG375" s="32"/>
      <c r="CH375" s="32"/>
      <c r="CI375" s="32"/>
      <c r="CJ375" s="32"/>
      <c r="CK375" s="32"/>
      <c r="CL375" s="32"/>
      <c r="CM375" s="32"/>
      <c r="CN375" s="32"/>
      <c r="CO375" s="32"/>
      <c r="CP375" s="32"/>
      <c r="CQ375" s="32"/>
      <c r="CR375" s="32"/>
      <c r="CS375" s="32"/>
      <c r="CT375" s="32"/>
      <c r="CU375" s="32"/>
      <c r="CV375" s="32"/>
      <c r="CW375" s="32"/>
      <c r="CX375" s="32"/>
      <c r="CY375" s="32"/>
      <c r="CZ375" s="32"/>
      <c r="DA375" s="32"/>
      <c r="DB375" s="32"/>
      <c r="DC375" s="32"/>
      <c r="DD375" s="32"/>
      <c r="DE375" s="32"/>
      <c r="DF375" s="32"/>
      <c r="DG375" s="32"/>
      <c r="DH375" s="32"/>
      <c r="DI375" s="32"/>
      <c r="DJ375" s="32"/>
      <c r="DK375" s="32"/>
      <c r="DL375" s="32"/>
      <c r="DM375" s="32"/>
      <c r="DN375" s="32"/>
      <c r="DO375" s="32"/>
      <c r="DP375" s="32"/>
      <c r="DQ375" s="32"/>
      <c r="DR375" s="32"/>
      <c r="DS375" s="32"/>
      <c r="DT375" s="32"/>
      <c r="DU375" s="32"/>
      <c r="DV375" s="32"/>
      <c r="DW375" s="32"/>
      <c r="DX375" s="32"/>
      <c r="DY375" s="32"/>
      <c r="DZ375" s="32"/>
      <c r="EA375" s="32"/>
      <c r="EB375" s="32"/>
      <c r="EC375" s="32"/>
      <c r="ED375" s="32"/>
      <c r="EE375" s="32"/>
      <c r="EF375" s="32"/>
      <c r="EG375" s="32"/>
      <c r="EH375" s="32"/>
      <c r="EI375" s="32"/>
      <c r="EJ375" s="32"/>
      <c r="EK375" s="32"/>
    </row>
    <row r="376" spans="42:141">
      <c r="AP376" s="32"/>
      <c r="AQ376" s="32"/>
      <c r="AR376" s="32"/>
      <c r="AS376" s="32"/>
      <c r="AT376" s="32"/>
      <c r="AU376" s="32"/>
      <c r="AV376" s="32"/>
      <c r="AW376" s="32"/>
      <c r="AX376" s="32"/>
      <c r="AY376" s="32"/>
      <c r="AZ376" s="32"/>
      <c r="BA376" s="32"/>
      <c r="BB376" s="32"/>
      <c r="BC376" s="32"/>
      <c r="BD376" s="32"/>
      <c r="BE376" s="32"/>
      <c r="BF376" s="32"/>
      <c r="BG376" s="32"/>
      <c r="BH376" s="32"/>
      <c r="BI376" s="32"/>
      <c r="BJ376" s="32"/>
      <c r="BK376" s="32"/>
      <c r="BL376" s="32"/>
      <c r="BM376" s="32"/>
      <c r="BN376" s="32"/>
      <c r="BO376" s="32"/>
      <c r="BP376" s="32"/>
      <c r="BQ376" s="32"/>
      <c r="BR376" s="32"/>
      <c r="BS376" s="32"/>
      <c r="BT376" s="32"/>
      <c r="BU376" s="32"/>
      <c r="BV376" s="32"/>
      <c r="BW376" s="32"/>
      <c r="BX376" s="32"/>
      <c r="BY376" s="32"/>
      <c r="BZ376" s="32"/>
      <c r="CA376" s="32"/>
      <c r="CB376" s="32"/>
      <c r="CC376" s="32"/>
      <c r="CD376" s="32"/>
      <c r="CE376" s="32"/>
      <c r="CF376" s="32"/>
      <c r="CG376" s="32"/>
      <c r="CH376" s="32"/>
      <c r="CI376" s="32"/>
      <c r="CJ376" s="32"/>
      <c r="CK376" s="32"/>
      <c r="CL376" s="32"/>
      <c r="CM376" s="32"/>
      <c r="CN376" s="32"/>
      <c r="CO376" s="32"/>
      <c r="CP376" s="32"/>
      <c r="CQ376" s="32"/>
      <c r="CR376" s="32"/>
      <c r="CS376" s="32"/>
      <c r="CT376" s="32"/>
      <c r="CU376" s="32"/>
      <c r="CV376" s="32"/>
      <c r="CW376" s="32"/>
      <c r="CX376" s="32"/>
      <c r="CY376" s="32"/>
      <c r="CZ376" s="32"/>
      <c r="DA376" s="32"/>
      <c r="DB376" s="32"/>
      <c r="DC376" s="32"/>
      <c r="DD376" s="32"/>
      <c r="DE376" s="32"/>
      <c r="DF376" s="32"/>
      <c r="DG376" s="32"/>
      <c r="DH376" s="32"/>
      <c r="DI376" s="32"/>
      <c r="DJ376" s="32"/>
      <c r="DK376" s="32"/>
      <c r="DL376" s="32"/>
      <c r="DM376" s="32"/>
      <c r="DN376" s="32"/>
      <c r="DO376" s="32"/>
      <c r="DP376" s="32"/>
      <c r="DQ376" s="32"/>
      <c r="DR376" s="32"/>
      <c r="DS376" s="32"/>
      <c r="DT376" s="32"/>
      <c r="DU376" s="32"/>
      <c r="DV376" s="32"/>
      <c r="DW376" s="32"/>
      <c r="DX376" s="32"/>
      <c r="DY376" s="32"/>
      <c r="DZ376" s="32"/>
      <c r="EA376" s="32"/>
      <c r="EB376" s="32"/>
      <c r="EC376" s="32"/>
      <c r="ED376" s="32"/>
      <c r="EE376" s="32"/>
      <c r="EF376" s="32"/>
      <c r="EG376" s="32"/>
      <c r="EH376" s="32"/>
      <c r="EI376" s="32"/>
      <c r="EJ376" s="32"/>
      <c r="EK376" s="32"/>
    </row>
    <row r="377" spans="42:141">
      <c r="AP377" s="32"/>
      <c r="AQ377" s="32"/>
      <c r="AR377" s="32"/>
      <c r="AS377" s="32"/>
      <c r="AT377" s="32"/>
      <c r="AU377" s="32"/>
      <c r="AV377" s="32"/>
      <c r="AW377" s="32"/>
      <c r="AX377" s="32"/>
      <c r="AY377" s="32"/>
      <c r="AZ377" s="32"/>
      <c r="BA377" s="32"/>
      <c r="BB377" s="32"/>
      <c r="BC377" s="32"/>
      <c r="BD377" s="32"/>
      <c r="BE377" s="32"/>
      <c r="BF377" s="32"/>
      <c r="BG377" s="32"/>
      <c r="BH377" s="32"/>
      <c r="BI377" s="32"/>
      <c r="BJ377" s="32"/>
      <c r="BK377" s="32"/>
      <c r="BL377" s="32"/>
      <c r="BM377" s="32"/>
      <c r="BN377" s="32"/>
      <c r="BO377" s="32"/>
      <c r="BP377" s="32"/>
      <c r="BQ377" s="32"/>
      <c r="BR377" s="32"/>
      <c r="BS377" s="32"/>
      <c r="BT377" s="32"/>
      <c r="BU377" s="32"/>
      <c r="BV377" s="32"/>
      <c r="BW377" s="32"/>
      <c r="BX377" s="32"/>
      <c r="BY377" s="32"/>
      <c r="BZ377" s="32"/>
      <c r="CA377" s="32"/>
      <c r="CB377" s="32"/>
      <c r="CC377" s="32"/>
      <c r="CD377" s="32"/>
      <c r="CE377" s="32"/>
      <c r="CF377" s="32"/>
      <c r="CG377" s="32"/>
      <c r="CH377" s="32"/>
      <c r="CI377" s="32"/>
      <c r="CJ377" s="32"/>
      <c r="CK377" s="32"/>
      <c r="CL377" s="32"/>
      <c r="CM377" s="32"/>
      <c r="CN377" s="32"/>
      <c r="CO377" s="32"/>
      <c r="CP377" s="32"/>
      <c r="CQ377" s="32"/>
      <c r="CR377" s="32"/>
      <c r="CS377" s="32"/>
      <c r="CT377" s="32"/>
      <c r="CU377" s="32"/>
      <c r="CV377" s="32"/>
      <c r="CW377" s="32"/>
      <c r="CX377" s="32"/>
      <c r="CY377" s="32"/>
      <c r="CZ377" s="32"/>
      <c r="DA377" s="32"/>
      <c r="DB377" s="32"/>
      <c r="DC377" s="32"/>
      <c r="DD377" s="32"/>
      <c r="DE377" s="32"/>
      <c r="DF377" s="32"/>
      <c r="DG377" s="32"/>
      <c r="DH377" s="32"/>
      <c r="DI377" s="32"/>
      <c r="DJ377" s="32"/>
      <c r="DK377" s="32"/>
      <c r="DL377" s="32"/>
      <c r="DM377" s="32"/>
      <c r="DN377" s="32"/>
      <c r="DO377" s="32"/>
      <c r="DP377" s="32"/>
      <c r="DQ377" s="32"/>
      <c r="DR377" s="32"/>
      <c r="DS377" s="32"/>
      <c r="DT377" s="32"/>
      <c r="DU377" s="32"/>
      <c r="DV377" s="32"/>
      <c r="DW377" s="32"/>
      <c r="DX377" s="32"/>
      <c r="DY377" s="32"/>
      <c r="DZ377" s="32"/>
      <c r="EA377" s="32"/>
      <c r="EB377" s="32"/>
      <c r="EC377" s="32"/>
      <c r="ED377" s="32"/>
      <c r="EE377" s="32"/>
      <c r="EF377" s="32"/>
      <c r="EG377" s="32"/>
      <c r="EH377" s="32"/>
      <c r="EI377" s="32"/>
      <c r="EJ377" s="32"/>
      <c r="EK377" s="32"/>
    </row>
    <row r="378" spans="42:141">
      <c r="AP378" s="32"/>
      <c r="AQ378" s="32"/>
      <c r="AR378" s="32"/>
      <c r="AS378" s="32"/>
      <c r="AT378" s="32"/>
      <c r="AU378" s="32"/>
      <c r="AV378" s="32"/>
      <c r="AW378" s="32"/>
      <c r="AX378" s="32"/>
      <c r="AY378" s="32"/>
      <c r="AZ378" s="32"/>
      <c r="BA378" s="32"/>
      <c r="BB378" s="32"/>
      <c r="BC378" s="32"/>
      <c r="BD378" s="32"/>
      <c r="BE378" s="32"/>
      <c r="BF378" s="32"/>
      <c r="BG378" s="32"/>
      <c r="BH378" s="32"/>
      <c r="BI378" s="32"/>
      <c r="BJ378" s="32"/>
      <c r="BK378" s="32"/>
      <c r="BL378" s="32"/>
      <c r="BM378" s="32"/>
      <c r="BN378" s="32"/>
      <c r="BO378" s="32"/>
      <c r="BP378" s="32"/>
      <c r="BQ378" s="32"/>
      <c r="BR378" s="32"/>
      <c r="BS378" s="32"/>
      <c r="BT378" s="32"/>
      <c r="BU378" s="32"/>
      <c r="BV378" s="32"/>
      <c r="BW378" s="32"/>
      <c r="BX378" s="32"/>
      <c r="BY378" s="32"/>
      <c r="BZ378" s="32"/>
      <c r="CA378" s="32"/>
      <c r="CB378" s="32"/>
      <c r="CC378" s="32"/>
      <c r="CD378" s="32"/>
      <c r="CE378" s="32"/>
      <c r="CF378" s="32"/>
      <c r="CG378" s="32"/>
      <c r="CH378" s="32"/>
      <c r="CI378" s="32"/>
      <c r="CJ378" s="32"/>
      <c r="CK378" s="32"/>
      <c r="CL378" s="32"/>
      <c r="CM378" s="32"/>
      <c r="CN378" s="32"/>
      <c r="CO378" s="32"/>
      <c r="CP378" s="32"/>
      <c r="CQ378" s="32"/>
      <c r="CR378" s="32"/>
      <c r="CS378" s="32"/>
      <c r="CT378" s="32"/>
      <c r="CU378" s="32"/>
      <c r="CV378" s="32"/>
      <c r="CW378" s="32"/>
      <c r="CX378" s="32"/>
      <c r="CY378" s="32"/>
      <c r="CZ378" s="32"/>
      <c r="DA378" s="32"/>
      <c r="DB378" s="32"/>
      <c r="DC378" s="32"/>
      <c r="DD378" s="32"/>
      <c r="DE378" s="32"/>
      <c r="DF378" s="32"/>
      <c r="DG378" s="32"/>
      <c r="DH378" s="32"/>
      <c r="DI378" s="32"/>
      <c r="DJ378" s="32"/>
      <c r="DK378" s="32"/>
      <c r="DL378" s="32"/>
      <c r="DM378" s="32"/>
      <c r="DN378" s="32"/>
      <c r="DO378" s="32"/>
      <c r="DP378" s="32"/>
      <c r="DQ378" s="32"/>
      <c r="DR378" s="32"/>
      <c r="DS378" s="32"/>
      <c r="DT378" s="32"/>
      <c r="DU378" s="32"/>
      <c r="DV378" s="32"/>
      <c r="DW378" s="32"/>
      <c r="DX378" s="32"/>
      <c r="DY378" s="32"/>
      <c r="DZ378" s="32"/>
      <c r="EA378" s="32"/>
      <c r="EB378" s="32"/>
      <c r="EC378" s="32"/>
      <c r="ED378" s="32"/>
      <c r="EE378" s="32"/>
      <c r="EF378" s="32"/>
      <c r="EG378" s="32"/>
      <c r="EH378" s="32"/>
      <c r="EI378" s="32"/>
      <c r="EJ378" s="32"/>
      <c r="EK378" s="32"/>
    </row>
    <row r="379" spans="42:141">
      <c r="AP379" s="32"/>
      <c r="AQ379" s="32"/>
      <c r="AR379" s="32"/>
      <c r="AS379" s="32"/>
      <c r="AT379" s="32"/>
      <c r="AU379" s="32"/>
      <c r="AV379" s="32"/>
      <c r="AW379" s="32"/>
      <c r="AX379" s="32"/>
      <c r="AY379" s="32"/>
      <c r="AZ379" s="32"/>
      <c r="BA379" s="32"/>
      <c r="BB379" s="32"/>
      <c r="BC379" s="32"/>
      <c r="BD379" s="32"/>
      <c r="BE379" s="32"/>
      <c r="BF379" s="32"/>
      <c r="BG379" s="32"/>
      <c r="BH379" s="32"/>
      <c r="BI379" s="32"/>
      <c r="BJ379" s="32"/>
      <c r="BK379" s="32"/>
      <c r="BL379" s="32"/>
      <c r="BM379" s="32"/>
      <c r="BN379" s="32"/>
      <c r="BO379" s="32"/>
      <c r="BP379" s="32"/>
      <c r="BQ379" s="32"/>
      <c r="BR379" s="32"/>
      <c r="BS379" s="32"/>
      <c r="BT379" s="32"/>
      <c r="BU379" s="32"/>
      <c r="BV379" s="32"/>
      <c r="BW379" s="32"/>
      <c r="BX379" s="32"/>
      <c r="BY379" s="32"/>
      <c r="BZ379" s="32"/>
      <c r="CA379" s="32"/>
      <c r="CB379" s="32"/>
      <c r="CC379" s="32"/>
      <c r="CD379" s="32"/>
      <c r="CE379" s="32"/>
      <c r="CF379" s="32"/>
      <c r="CG379" s="32"/>
      <c r="CH379" s="32"/>
      <c r="CI379" s="32"/>
      <c r="CJ379" s="32"/>
      <c r="CK379" s="32"/>
      <c r="CL379" s="32"/>
      <c r="CM379" s="32"/>
      <c r="CN379" s="32"/>
      <c r="CO379" s="32"/>
      <c r="CP379" s="32"/>
      <c r="CQ379" s="32"/>
      <c r="CR379" s="32"/>
      <c r="CS379" s="32"/>
      <c r="CT379" s="32"/>
      <c r="CU379" s="32"/>
      <c r="CV379" s="32"/>
      <c r="CW379" s="32"/>
      <c r="CX379" s="32"/>
      <c r="CY379" s="32"/>
      <c r="CZ379" s="32"/>
      <c r="DA379" s="32"/>
      <c r="DB379" s="32"/>
      <c r="DC379" s="32"/>
      <c r="DD379" s="32"/>
      <c r="DE379" s="32"/>
      <c r="DF379" s="32"/>
      <c r="DG379" s="32"/>
      <c r="DH379" s="32"/>
      <c r="DI379" s="32"/>
      <c r="DJ379" s="32"/>
      <c r="DK379" s="32"/>
      <c r="DL379" s="32"/>
      <c r="DM379" s="32"/>
      <c r="DN379" s="32"/>
      <c r="DO379" s="32"/>
      <c r="DP379" s="32"/>
      <c r="DQ379" s="32"/>
      <c r="DR379" s="32"/>
      <c r="DS379" s="32"/>
      <c r="DT379" s="32"/>
      <c r="DU379" s="32"/>
      <c r="DV379" s="32"/>
      <c r="DW379" s="32"/>
      <c r="DX379" s="32"/>
      <c r="DY379" s="32"/>
      <c r="DZ379" s="32"/>
      <c r="EA379" s="32"/>
      <c r="EB379" s="32"/>
      <c r="EC379" s="32"/>
      <c r="ED379" s="32"/>
      <c r="EE379" s="32"/>
      <c r="EF379" s="32"/>
      <c r="EG379" s="32"/>
      <c r="EH379" s="32"/>
      <c r="EI379" s="32"/>
      <c r="EJ379" s="32"/>
      <c r="EK379" s="32"/>
    </row>
    <row r="380" spans="42:141">
      <c r="AP380" s="32"/>
      <c r="AQ380" s="32"/>
      <c r="AR380" s="32"/>
      <c r="AS380" s="32"/>
      <c r="AT380" s="32"/>
      <c r="AU380" s="32"/>
      <c r="AV380" s="32"/>
      <c r="AW380" s="32"/>
      <c r="AX380" s="32"/>
      <c r="AY380" s="32"/>
      <c r="AZ380" s="32"/>
      <c r="BA380" s="32"/>
      <c r="BB380" s="32"/>
      <c r="BC380" s="32"/>
      <c r="BD380" s="32"/>
      <c r="BE380" s="32"/>
      <c r="BF380" s="32"/>
      <c r="BG380" s="32"/>
      <c r="BH380" s="32"/>
      <c r="BI380" s="32"/>
      <c r="BJ380" s="32"/>
      <c r="BK380" s="32"/>
      <c r="BL380" s="32"/>
      <c r="BM380" s="32"/>
      <c r="BN380" s="32"/>
      <c r="BO380" s="32"/>
      <c r="BP380" s="32"/>
      <c r="BQ380" s="32"/>
      <c r="BR380" s="32"/>
      <c r="BS380" s="32"/>
      <c r="BT380" s="32"/>
      <c r="BU380" s="32"/>
      <c r="BV380" s="32"/>
      <c r="BW380" s="32"/>
      <c r="BX380" s="32"/>
      <c r="BY380" s="32"/>
      <c r="BZ380" s="32"/>
      <c r="CA380" s="32"/>
      <c r="CB380" s="32"/>
      <c r="CC380" s="32"/>
      <c r="CD380" s="32"/>
      <c r="CE380" s="32"/>
      <c r="CF380" s="32"/>
      <c r="CG380" s="32"/>
      <c r="CH380" s="32"/>
      <c r="CI380" s="32"/>
      <c r="CJ380" s="32"/>
      <c r="CK380" s="32"/>
      <c r="CL380" s="32"/>
      <c r="CM380" s="32"/>
      <c r="CN380" s="32"/>
      <c r="CO380" s="32"/>
      <c r="CP380" s="32"/>
      <c r="CQ380" s="32"/>
      <c r="CR380" s="32"/>
      <c r="CS380" s="32"/>
      <c r="CT380" s="32"/>
      <c r="CU380" s="32"/>
      <c r="CV380" s="32"/>
      <c r="CW380" s="32"/>
      <c r="CX380" s="32"/>
      <c r="CY380" s="32"/>
      <c r="CZ380" s="32"/>
      <c r="DA380" s="32"/>
      <c r="DB380" s="32"/>
      <c r="DC380" s="32"/>
      <c r="DD380" s="32"/>
      <c r="DE380" s="32"/>
      <c r="DF380" s="32"/>
      <c r="DG380" s="32"/>
      <c r="DH380" s="32"/>
      <c r="DI380" s="32"/>
      <c r="DJ380" s="32"/>
      <c r="DK380" s="32"/>
      <c r="DL380" s="32"/>
      <c r="DM380" s="32"/>
      <c r="DN380" s="32"/>
      <c r="DO380" s="32"/>
      <c r="DP380" s="32"/>
      <c r="DQ380" s="32"/>
      <c r="DR380" s="32"/>
      <c r="DS380" s="32"/>
      <c r="DT380" s="32"/>
      <c r="DU380" s="32"/>
      <c r="DV380" s="32"/>
      <c r="DW380" s="32"/>
      <c r="DX380" s="32"/>
      <c r="DY380" s="32"/>
      <c r="DZ380" s="32"/>
      <c r="EA380" s="32"/>
      <c r="EB380" s="32"/>
      <c r="EC380" s="32"/>
      <c r="ED380" s="32"/>
      <c r="EE380" s="32"/>
      <c r="EF380" s="32"/>
      <c r="EG380" s="32"/>
      <c r="EH380" s="32"/>
      <c r="EI380" s="32"/>
      <c r="EJ380" s="32"/>
      <c r="EK380" s="32"/>
    </row>
    <row r="381" spans="42:141">
      <c r="AP381" s="32"/>
      <c r="AQ381" s="32"/>
      <c r="AR381" s="32"/>
      <c r="AS381" s="32"/>
      <c r="AT381" s="32"/>
      <c r="AU381" s="32"/>
      <c r="AV381" s="32"/>
      <c r="AW381" s="32"/>
      <c r="AX381" s="32"/>
      <c r="AY381" s="32"/>
      <c r="AZ381" s="32"/>
      <c r="BA381" s="32"/>
      <c r="BB381" s="32"/>
      <c r="BC381" s="32"/>
      <c r="BD381" s="32"/>
      <c r="BE381" s="32"/>
      <c r="BF381" s="32"/>
      <c r="BG381" s="32"/>
      <c r="BH381" s="32"/>
      <c r="BI381" s="32"/>
      <c r="BJ381" s="32"/>
      <c r="BK381" s="32"/>
      <c r="BL381" s="32"/>
      <c r="BM381" s="32"/>
      <c r="BN381" s="32"/>
      <c r="BO381" s="32"/>
      <c r="BP381" s="32"/>
      <c r="BQ381" s="32"/>
      <c r="BR381" s="32"/>
      <c r="BS381" s="32"/>
      <c r="BT381" s="32"/>
      <c r="BU381" s="32"/>
      <c r="BV381" s="32"/>
      <c r="BW381" s="32"/>
      <c r="BX381" s="32"/>
      <c r="BY381" s="32"/>
      <c r="BZ381" s="32"/>
      <c r="CA381" s="32"/>
      <c r="CB381" s="32"/>
      <c r="CC381" s="32"/>
      <c r="CD381" s="32"/>
      <c r="CE381" s="32"/>
      <c r="CF381" s="32"/>
      <c r="CG381" s="32"/>
      <c r="CH381" s="32"/>
      <c r="CI381" s="32"/>
      <c r="CJ381" s="32"/>
      <c r="CK381" s="32"/>
      <c r="CL381" s="32"/>
      <c r="CM381" s="32"/>
      <c r="CN381" s="32"/>
      <c r="CO381" s="32"/>
      <c r="CP381" s="32"/>
      <c r="CQ381" s="32"/>
      <c r="CR381" s="32"/>
      <c r="CS381" s="32"/>
      <c r="CT381" s="32"/>
      <c r="CU381" s="32"/>
      <c r="CV381" s="32"/>
      <c r="CW381" s="32"/>
      <c r="CX381" s="32"/>
      <c r="CY381" s="32"/>
      <c r="CZ381" s="32"/>
      <c r="DA381" s="32"/>
      <c r="DB381" s="32"/>
      <c r="DC381" s="32"/>
      <c r="DD381" s="32"/>
      <c r="DE381" s="32"/>
      <c r="DF381" s="32"/>
      <c r="DG381" s="32"/>
      <c r="DH381" s="32"/>
      <c r="DI381" s="32"/>
      <c r="DJ381" s="32"/>
      <c r="DK381" s="32"/>
      <c r="DL381" s="32"/>
      <c r="DM381" s="32"/>
      <c r="DN381" s="32"/>
      <c r="DO381" s="32"/>
      <c r="DP381" s="32"/>
      <c r="DQ381" s="32"/>
      <c r="DR381" s="32"/>
      <c r="DS381" s="32"/>
      <c r="DT381" s="32"/>
      <c r="DU381" s="32"/>
      <c r="DV381" s="32"/>
      <c r="DW381" s="32"/>
      <c r="DX381" s="32"/>
      <c r="DY381" s="32"/>
      <c r="DZ381" s="32"/>
      <c r="EA381" s="32"/>
      <c r="EB381" s="32"/>
      <c r="EC381" s="32"/>
      <c r="ED381" s="32"/>
      <c r="EE381" s="32"/>
      <c r="EF381" s="32"/>
      <c r="EG381" s="32"/>
      <c r="EH381" s="32"/>
      <c r="EI381" s="32"/>
      <c r="EJ381" s="32"/>
      <c r="EK381" s="32"/>
    </row>
    <row r="382" spans="42:141">
      <c r="AP382" s="32"/>
      <c r="AQ382" s="32"/>
      <c r="AR382" s="32"/>
      <c r="AS382" s="32"/>
      <c r="AT382" s="32"/>
      <c r="AU382" s="32"/>
      <c r="AV382" s="32"/>
      <c r="AW382" s="32"/>
      <c r="AX382" s="32"/>
      <c r="AY382" s="32"/>
      <c r="AZ382" s="32"/>
      <c r="BA382" s="32"/>
      <c r="BB382" s="32"/>
      <c r="BC382" s="32"/>
      <c r="BD382" s="32"/>
      <c r="BE382" s="32"/>
      <c r="BF382" s="32"/>
      <c r="BG382" s="32"/>
      <c r="BH382" s="32"/>
      <c r="BI382" s="32"/>
      <c r="BJ382" s="32"/>
      <c r="BK382" s="32"/>
      <c r="BL382" s="32"/>
      <c r="BM382" s="32"/>
      <c r="BN382" s="32"/>
      <c r="BO382" s="32"/>
      <c r="BP382" s="32"/>
      <c r="BQ382" s="32"/>
      <c r="BR382" s="32"/>
      <c r="BS382" s="32"/>
      <c r="BT382" s="32"/>
      <c r="BU382" s="32"/>
      <c r="BV382" s="32"/>
      <c r="BW382" s="32"/>
      <c r="BX382" s="32"/>
      <c r="BY382" s="32"/>
      <c r="BZ382" s="32"/>
      <c r="CA382" s="32"/>
      <c r="CB382" s="32"/>
      <c r="CC382" s="32"/>
      <c r="CD382" s="32"/>
      <c r="CE382" s="32"/>
      <c r="CF382" s="32"/>
      <c r="CG382" s="32"/>
      <c r="CH382" s="32"/>
      <c r="CI382" s="32"/>
      <c r="CJ382" s="32"/>
      <c r="CK382" s="32"/>
      <c r="CL382" s="32"/>
      <c r="CM382" s="32"/>
      <c r="CN382" s="32"/>
      <c r="CO382" s="32"/>
      <c r="CP382" s="32"/>
      <c r="CQ382" s="32"/>
      <c r="CR382" s="32"/>
      <c r="CS382" s="32"/>
      <c r="CT382" s="32"/>
      <c r="CU382" s="32"/>
      <c r="CV382" s="32"/>
      <c r="CW382" s="32"/>
      <c r="CX382" s="32"/>
      <c r="CY382" s="32"/>
      <c r="CZ382" s="32"/>
      <c r="DA382" s="32"/>
      <c r="DB382" s="32"/>
      <c r="DC382" s="32"/>
      <c r="DD382" s="32"/>
      <c r="DE382" s="32"/>
      <c r="DF382" s="32"/>
      <c r="DG382" s="32"/>
      <c r="DH382" s="32"/>
      <c r="DI382" s="32"/>
      <c r="DJ382" s="32"/>
      <c r="DK382" s="32"/>
      <c r="DL382" s="32"/>
      <c r="DM382" s="32"/>
      <c r="DN382" s="32"/>
      <c r="DO382" s="32"/>
      <c r="DP382" s="32"/>
      <c r="DQ382" s="32"/>
      <c r="DR382" s="32"/>
      <c r="DS382" s="32"/>
      <c r="DT382" s="32"/>
      <c r="DU382" s="32"/>
      <c r="DV382" s="32"/>
      <c r="DW382" s="32"/>
      <c r="DX382" s="32"/>
      <c r="DY382" s="32"/>
      <c r="DZ382" s="32"/>
      <c r="EA382" s="32"/>
      <c r="EB382" s="32"/>
      <c r="EC382" s="32"/>
      <c r="ED382" s="32"/>
      <c r="EE382" s="32"/>
      <c r="EF382" s="32"/>
      <c r="EG382" s="32"/>
      <c r="EH382" s="32"/>
      <c r="EI382" s="32"/>
      <c r="EJ382" s="32"/>
      <c r="EK382" s="32"/>
    </row>
    <row r="383" spans="42:141">
      <c r="AP383" s="32"/>
      <c r="AQ383" s="32"/>
      <c r="AR383" s="32"/>
      <c r="AS383" s="32"/>
      <c r="AT383" s="32"/>
      <c r="AU383" s="32"/>
      <c r="AV383" s="32"/>
      <c r="AW383" s="32"/>
      <c r="AX383" s="32"/>
      <c r="AY383" s="32"/>
      <c r="AZ383" s="32"/>
      <c r="BA383" s="32"/>
      <c r="BB383" s="32"/>
      <c r="BC383" s="32"/>
      <c r="BD383" s="32"/>
      <c r="BE383" s="32"/>
      <c r="BF383" s="32"/>
      <c r="BG383" s="32"/>
      <c r="BH383" s="32"/>
      <c r="BI383" s="32"/>
      <c r="BJ383" s="32"/>
      <c r="BK383" s="32"/>
      <c r="BL383" s="32"/>
      <c r="BM383" s="32"/>
      <c r="BN383" s="32"/>
      <c r="BO383" s="32"/>
      <c r="BP383" s="32"/>
      <c r="BQ383" s="32"/>
      <c r="BR383" s="32"/>
      <c r="BS383" s="32"/>
      <c r="BT383" s="32"/>
      <c r="BU383" s="32"/>
      <c r="BV383" s="32"/>
      <c r="BW383" s="32"/>
      <c r="BX383" s="32"/>
      <c r="BY383" s="32"/>
      <c r="BZ383" s="32"/>
      <c r="CA383" s="32"/>
      <c r="CB383" s="32"/>
      <c r="CC383" s="32"/>
      <c r="CD383" s="32"/>
      <c r="CE383" s="32"/>
      <c r="CF383" s="32"/>
      <c r="CG383" s="32"/>
      <c r="CH383" s="32"/>
      <c r="CI383" s="32"/>
      <c r="CJ383" s="32"/>
      <c r="CK383" s="32"/>
      <c r="CL383" s="32"/>
      <c r="CM383" s="32"/>
      <c r="CN383" s="32"/>
      <c r="CO383" s="32"/>
      <c r="CP383" s="32"/>
      <c r="CQ383" s="32"/>
      <c r="CR383" s="32"/>
      <c r="CS383" s="32"/>
      <c r="CT383" s="32"/>
      <c r="CU383" s="32"/>
      <c r="CV383" s="32"/>
      <c r="CW383" s="32"/>
      <c r="CX383" s="32"/>
      <c r="CY383" s="32"/>
      <c r="CZ383" s="32"/>
      <c r="DA383" s="32"/>
      <c r="DB383" s="32"/>
      <c r="DC383" s="32"/>
      <c r="DD383" s="32"/>
      <c r="DE383" s="32"/>
      <c r="DF383" s="32"/>
      <c r="DG383" s="32"/>
      <c r="DH383" s="32"/>
      <c r="DI383" s="32"/>
      <c r="DJ383" s="32"/>
      <c r="DK383" s="32"/>
      <c r="DL383" s="32"/>
      <c r="DM383" s="32"/>
      <c r="DN383" s="32"/>
      <c r="DO383" s="32"/>
      <c r="DP383" s="32"/>
      <c r="DQ383" s="32"/>
      <c r="DR383" s="32"/>
      <c r="DS383" s="32"/>
      <c r="DT383" s="32"/>
      <c r="DU383" s="32"/>
      <c r="DV383" s="32"/>
      <c r="DW383" s="32"/>
      <c r="DX383" s="32"/>
      <c r="DY383" s="32"/>
      <c r="DZ383" s="32"/>
      <c r="EA383" s="32"/>
      <c r="EB383" s="32"/>
      <c r="EC383" s="32"/>
      <c r="ED383" s="32"/>
      <c r="EE383" s="32"/>
      <c r="EF383" s="32"/>
      <c r="EG383" s="32"/>
      <c r="EH383" s="32"/>
      <c r="EI383" s="32"/>
      <c r="EJ383" s="32"/>
      <c r="EK383" s="32"/>
    </row>
    <row r="384" spans="42:141">
      <c r="AP384" s="32"/>
      <c r="AQ384" s="32"/>
      <c r="AR384" s="32"/>
      <c r="AS384" s="32"/>
      <c r="AT384" s="32"/>
      <c r="AU384" s="32"/>
      <c r="AV384" s="32"/>
      <c r="AW384" s="32"/>
      <c r="AX384" s="32"/>
      <c r="AY384" s="32"/>
      <c r="AZ384" s="32"/>
      <c r="BA384" s="32"/>
      <c r="BB384" s="32"/>
      <c r="BC384" s="32"/>
      <c r="BD384" s="32"/>
      <c r="BE384" s="32"/>
      <c r="BF384" s="32"/>
      <c r="BG384" s="32"/>
      <c r="BH384" s="32"/>
      <c r="BI384" s="32"/>
      <c r="BJ384" s="32"/>
      <c r="BK384" s="32"/>
      <c r="BL384" s="32"/>
      <c r="BM384" s="32"/>
      <c r="BN384" s="32"/>
      <c r="BO384" s="32"/>
      <c r="BP384" s="32"/>
      <c r="BQ384" s="32"/>
      <c r="BR384" s="32"/>
      <c r="BS384" s="32"/>
      <c r="BT384" s="32"/>
      <c r="BU384" s="32"/>
      <c r="BV384" s="32"/>
      <c r="BW384" s="32"/>
      <c r="BX384" s="32"/>
      <c r="BY384" s="32"/>
      <c r="BZ384" s="32"/>
      <c r="CA384" s="32"/>
      <c r="CB384" s="32"/>
      <c r="CC384" s="32"/>
      <c r="CD384" s="32"/>
      <c r="CE384" s="32"/>
      <c r="CF384" s="32"/>
      <c r="CG384" s="32"/>
      <c r="CH384" s="32"/>
      <c r="CI384" s="32"/>
      <c r="CJ384" s="32"/>
      <c r="CK384" s="32"/>
      <c r="CL384" s="32"/>
      <c r="CM384" s="32"/>
      <c r="CN384" s="32"/>
      <c r="CO384" s="32"/>
      <c r="CP384" s="32"/>
      <c r="CQ384" s="32"/>
      <c r="CR384" s="32"/>
      <c r="CS384" s="32"/>
      <c r="CT384" s="32"/>
      <c r="CU384" s="32"/>
      <c r="CV384" s="32"/>
      <c r="CW384" s="32"/>
      <c r="CX384" s="32"/>
      <c r="CY384" s="32"/>
      <c r="CZ384" s="32"/>
      <c r="DA384" s="32"/>
      <c r="DB384" s="32"/>
      <c r="DC384" s="32"/>
      <c r="DD384" s="32"/>
      <c r="DE384" s="32"/>
      <c r="DF384" s="32"/>
      <c r="DG384" s="32"/>
      <c r="DH384" s="32"/>
      <c r="DI384" s="32"/>
      <c r="DJ384" s="32"/>
      <c r="DK384" s="32"/>
      <c r="DL384" s="32"/>
      <c r="DM384" s="32"/>
      <c r="DN384" s="32"/>
      <c r="DO384" s="32"/>
      <c r="DP384" s="32"/>
      <c r="DQ384" s="32"/>
      <c r="DR384" s="32"/>
      <c r="DS384" s="32"/>
      <c r="DT384" s="32"/>
      <c r="DU384" s="32"/>
      <c r="DV384" s="32"/>
      <c r="DW384" s="32"/>
      <c r="DX384" s="32"/>
      <c r="DY384" s="32"/>
      <c r="DZ384" s="32"/>
      <c r="EA384" s="32"/>
      <c r="EB384" s="32"/>
      <c r="EC384" s="32"/>
      <c r="ED384" s="32"/>
      <c r="EE384" s="32"/>
      <c r="EF384" s="32"/>
      <c r="EG384" s="32"/>
      <c r="EH384" s="32"/>
      <c r="EI384" s="32"/>
      <c r="EJ384" s="32"/>
      <c r="EK384" s="32"/>
    </row>
    <row r="385" spans="42:141">
      <c r="AP385" s="32"/>
      <c r="AQ385" s="32"/>
      <c r="AR385" s="32"/>
      <c r="AS385" s="32"/>
      <c r="AT385" s="32"/>
      <c r="AU385" s="32"/>
      <c r="AV385" s="32"/>
      <c r="AW385" s="32"/>
      <c r="AX385" s="32"/>
      <c r="AY385" s="32"/>
      <c r="AZ385" s="32"/>
      <c r="BA385" s="32"/>
      <c r="BB385" s="32"/>
      <c r="BC385" s="32"/>
      <c r="BD385" s="32"/>
      <c r="BE385" s="32"/>
      <c r="BF385" s="32"/>
      <c r="BG385" s="32"/>
      <c r="BH385" s="32"/>
      <c r="BI385" s="32"/>
      <c r="BJ385" s="32"/>
      <c r="BK385" s="32"/>
      <c r="BL385" s="32"/>
      <c r="BM385" s="32"/>
      <c r="BN385" s="32"/>
      <c r="BO385" s="32"/>
      <c r="BP385" s="32"/>
      <c r="BQ385" s="32"/>
      <c r="BR385" s="32"/>
      <c r="BS385" s="32"/>
      <c r="BT385" s="32"/>
      <c r="BU385" s="32"/>
      <c r="BV385" s="32"/>
      <c r="BW385" s="32"/>
      <c r="BX385" s="32"/>
      <c r="BY385" s="32"/>
      <c r="BZ385" s="32"/>
      <c r="CA385" s="32"/>
      <c r="CB385" s="32"/>
      <c r="CC385" s="32"/>
      <c r="CD385" s="32"/>
      <c r="CE385" s="32"/>
      <c r="CF385" s="32"/>
      <c r="CG385" s="32"/>
      <c r="CH385" s="32"/>
      <c r="CI385" s="32"/>
      <c r="CJ385" s="32"/>
      <c r="CK385" s="32"/>
      <c r="CL385" s="32"/>
      <c r="CM385" s="32"/>
      <c r="CN385" s="32"/>
      <c r="CO385" s="32"/>
      <c r="CP385" s="32"/>
      <c r="CQ385" s="32"/>
      <c r="CR385" s="32"/>
      <c r="CS385" s="32"/>
      <c r="CT385" s="32"/>
      <c r="CU385" s="32"/>
      <c r="CV385" s="32"/>
      <c r="CW385" s="32"/>
      <c r="CX385" s="32"/>
      <c r="CY385" s="32"/>
      <c r="CZ385" s="32"/>
      <c r="DA385" s="32"/>
      <c r="DB385" s="32"/>
      <c r="DC385" s="32"/>
      <c r="DD385" s="32"/>
      <c r="DE385" s="32"/>
      <c r="DF385" s="32"/>
      <c r="DG385" s="32"/>
      <c r="DH385" s="32"/>
      <c r="DI385" s="32"/>
      <c r="DJ385" s="32"/>
      <c r="DK385" s="32"/>
      <c r="DL385" s="32"/>
      <c r="DM385" s="32"/>
      <c r="DN385" s="32"/>
      <c r="DO385" s="32"/>
      <c r="DP385" s="32"/>
      <c r="DQ385" s="32"/>
      <c r="DR385" s="32"/>
      <c r="DS385" s="32"/>
      <c r="DT385" s="32"/>
      <c r="DU385" s="32"/>
      <c r="DV385" s="32"/>
      <c r="DW385" s="32"/>
      <c r="DX385" s="32"/>
      <c r="DY385" s="32"/>
      <c r="DZ385" s="32"/>
      <c r="EA385" s="32"/>
      <c r="EB385" s="32"/>
      <c r="EC385" s="32"/>
      <c r="ED385" s="32"/>
      <c r="EE385" s="32"/>
      <c r="EF385" s="32"/>
      <c r="EG385" s="32"/>
      <c r="EH385" s="32"/>
      <c r="EI385" s="32"/>
      <c r="EJ385" s="32"/>
      <c r="EK385" s="32"/>
    </row>
    <row r="386" spans="42:141">
      <c r="AP386" s="32"/>
      <c r="AQ386" s="32"/>
      <c r="AR386" s="32"/>
      <c r="AS386" s="32"/>
      <c r="AT386" s="32"/>
      <c r="AU386" s="32"/>
      <c r="AV386" s="32"/>
      <c r="AW386" s="32"/>
      <c r="AX386" s="32"/>
      <c r="AY386" s="32"/>
      <c r="AZ386" s="32"/>
      <c r="BA386" s="32"/>
      <c r="BB386" s="32"/>
      <c r="BC386" s="32"/>
      <c r="BD386" s="32"/>
      <c r="BE386" s="32"/>
      <c r="BF386" s="32"/>
      <c r="BG386" s="32"/>
      <c r="BH386" s="32"/>
      <c r="BI386" s="32"/>
      <c r="BJ386" s="32"/>
      <c r="BK386" s="32"/>
      <c r="BL386" s="32"/>
      <c r="BM386" s="32"/>
      <c r="BN386" s="32"/>
      <c r="BO386" s="32"/>
      <c r="BP386" s="32"/>
      <c r="BQ386" s="32"/>
      <c r="BR386" s="32"/>
      <c r="BS386" s="32"/>
      <c r="BT386" s="32"/>
      <c r="BU386" s="32"/>
      <c r="BV386" s="32"/>
      <c r="BW386" s="32"/>
      <c r="BX386" s="32"/>
      <c r="BY386" s="32"/>
      <c r="BZ386" s="32"/>
      <c r="CA386" s="32"/>
      <c r="CB386" s="32"/>
      <c r="CC386" s="32"/>
      <c r="CD386" s="32"/>
      <c r="CE386" s="32"/>
      <c r="CF386" s="32"/>
      <c r="CG386" s="32"/>
      <c r="CH386" s="32"/>
      <c r="CI386" s="32"/>
      <c r="CJ386" s="32"/>
      <c r="CK386" s="32"/>
      <c r="CL386" s="32"/>
      <c r="CM386" s="32"/>
      <c r="CN386" s="32"/>
      <c r="CO386" s="32"/>
      <c r="CP386" s="32"/>
      <c r="CQ386" s="32"/>
      <c r="CR386" s="32"/>
      <c r="CS386" s="32"/>
      <c r="CT386" s="32"/>
      <c r="CU386" s="32"/>
      <c r="CV386" s="32"/>
      <c r="CW386" s="32"/>
      <c r="CX386" s="32"/>
      <c r="CY386" s="32"/>
      <c r="CZ386" s="32"/>
      <c r="DA386" s="32"/>
      <c r="DB386" s="32"/>
      <c r="DC386" s="32"/>
      <c r="DD386" s="32"/>
      <c r="DE386" s="32"/>
      <c r="DF386" s="32"/>
      <c r="DG386" s="32"/>
      <c r="DH386" s="32"/>
      <c r="DI386" s="32"/>
      <c r="DJ386" s="32"/>
      <c r="DK386" s="32"/>
      <c r="DL386" s="32"/>
      <c r="DM386" s="32"/>
      <c r="DN386" s="32"/>
      <c r="DO386" s="32"/>
      <c r="DP386" s="32"/>
      <c r="DQ386" s="32"/>
      <c r="DR386" s="32"/>
      <c r="DS386" s="32"/>
      <c r="DT386" s="32"/>
      <c r="DU386" s="32"/>
      <c r="DV386" s="32"/>
      <c r="DW386" s="32"/>
      <c r="DX386" s="32"/>
      <c r="DY386" s="32"/>
      <c r="DZ386" s="32"/>
      <c r="EA386" s="32"/>
      <c r="EB386" s="32"/>
      <c r="EC386" s="32"/>
      <c r="ED386" s="32"/>
      <c r="EE386" s="32"/>
      <c r="EF386" s="32"/>
      <c r="EG386" s="32"/>
      <c r="EH386" s="32"/>
      <c r="EI386" s="32"/>
      <c r="EJ386" s="32"/>
      <c r="EK386" s="32"/>
    </row>
    <row r="387" spans="42:141">
      <c r="AP387" s="32"/>
      <c r="AQ387" s="32"/>
      <c r="AR387" s="32"/>
      <c r="AS387" s="32"/>
      <c r="AT387" s="32"/>
      <c r="AU387" s="32"/>
      <c r="AV387" s="32"/>
      <c r="AW387" s="32"/>
      <c r="AX387" s="32"/>
      <c r="AY387" s="32"/>
      <c r="AZ387" s="32"/>
      <c r="BA387" s="32"/>
      <c r="BB387" s="32"/>
      <c r="BC387" s="32"/>
      <c r="BD387" s="32"/>
      <c r="BE387" s="32"/>
      <c r="BF387" s="32"/>
      <c r="BG387" s="32"/>
      <c r="BH387" s="32"/>
      <c r="BI387" s="32"/>
      <c r="BJ387" s="32"/>
      <c r="BK387" s="32"/>
      <c r="BL387" s="32"/>
      <c r="BM387" s="32"/>
      <c r="BN387" s="32"/>
      <c r="BO387" s="32"/>
      <c r="BP387" s="32"/>
      <c r="BQ387" s="32"/>
      <c r="BR387" s="32"/>
      <c r="BS387" s="32"/>
      <c r="BT387" s="32"/>
      <c r="BU387" s="32"/>
      <c r="BV387" s="32"/>
      <c r="BW387" s="32"/>
      <c r="BX387" s="32"/>
      <c r="BY387" s="32"/>
      <c r="BZ387" s="32"/>
      <c r="CA387" s="32"/>
      <c r="CB387" s="32"/>
      <c r="CC387" s="32"/>
      <c r="CD387" s="32"/>
      <c r="CE387" s="32"/>
      <c r="CF387" s="32"/>
      <c r="CG387" s="32"/>
      <c r="CH387" s="32"/>
      <c r="CI387" s="32"/>
      <c r="CJ387" s="32"/>
      <c r="CK387" s="32"/>
      <c r="CL387" s="32"/>
      <c r="CM387" s="32"/>
      <c r="CN387" s="32"/>
      <c r="CO387" s="32"/>
      <c r="CP387" s="32"/>
      <c r="CQ387" s="32"/>
      <c r="CR387" s="32"/>
      <c r="CS387" s="32"/>
      <c r="CT387" s="32"/>
      <c r="CU387" s="32"/>
      <c r="CV387" s="32"/>
      <c r="CW387" s="32"/>
      <c r="CX387" s="32"/>
      <c r="CY387" s="32"/>
      <c r="CZ387" s="32"/>
      <c r="DA387" s="32"/>
      <c r="DB387" s="32"/>
      <c r="DC387" s="32"/>
      <c r="DD387" s="32"/>
      <c r="DE387" s="32"/>
      <c r="DF387" s="32"/>
      <c r="DG387" s="32"/>
      <c r="DH387" s="32"/>
      <c r="DI387" s="32"/>
      <c r="DJ387" s="32"/>
      <c r="DK387" s="32"/>
      <c r="DL387" s="32"/>
      <c r="DM387" s="32"/>
      <c r="DN387" s="32"/>
      <c r="DO387" s="32"/>
      <c r="DP387" s="32"/>
      <c r="DQ387" s="32"/>
      <c r="DR387" s="32"/>
      <c r="DS387" s="32"/>
      <c r="DT387" s="32"/>
      <c r="DU387" s="32"/>
      <c r="DV387" s="32"/>
      <c r="DW387" s="32"/>
      <c r="DX387" s="32"/>
      <c r="DY387" s="32"/>
      <c r="DZ387" s="32"/>
      <c r="EA387" s="32"/>
      <c r="EB387" s="32"/>
      <c r="EC387" s="32"/>
      <c r="ED387" s="32"/>
      <c r="EE387" s="32"/>
      <c r="EF387" s="32"/>
      <c r="EG387" s="32"/>
      <c r="EH387" s="32"/>
      <c r="EI387" s="32"/>
      <c r="EJ387" s="32"/>
      <c r="EK387" s="32"/>
    </row>
    <row r="388" spans="42:141">
      <c r="AP388" s="32"/>
      <c r="AQ388" s="32"/>
      <c r="AR388" s="32"/>
      <c r="AS388" s="32"/>
      <c r="AT388" s="32"/>
      <c r="AU388" s="32"/>
      <c r="AV388" s="32"/>
      <c r="AW388" s="32"/>
      <c r="AX388" s="32"/>
      <c r="AY388" s="32"/>
      <c r="AZ388" s="32"/>
      <c r="BA388" s="32"/>
      <c r="BB388" s="32"/>
      <c r="BC388" s="32"/>
      <c r="BD388" s="32"/>
      <c r="BE388" s="32"/>
      <c r="BF388" s="32"/>
      <c r="BG388" s="32"/>
      <c r="BH388" s="32"/>
      <c r="BI388" s="32"/>
      <c r="BJ388" s="32"/>
      <c r="BK388" s="32"/>
      <c r="BL388" s="32"/>
      <c r="BM388" s="32"/>
      <c r="BN388" s="32"/>
      <c r="BO388" s="32"/>
      <c r="BP388" s="32"/>
      <c r="BQ388" s="32"/>
      <c r="BR388" s="32"/>
      <c r="BS388" s="32"/>
      <c r="BT388" s="32"/>
      <c r="BU388" s="32"/>
      <c r="BV388" s="32"/>
      <c r="BW388" s="32"/>
      <c r="BX388" s="32"/>
      <c r="BY388" s="32"/>
      <c r="BZ388" s="32"/>
      <c r="CA388" s="32"/>
      <c r="CB388" s="32"/>
      <c r="CC388" s="32"/>
      <c r="CD388" s="32"/>
      <c r="CE388" s="32"/>
      <c r="CF388" s="32"/>
      <c r="CG388" s="32"/>
      <c r="CH388" s="32"/>
      <c r="CI388" s="32"/>
      <c r="CJ388" s="32"/>
      <c r="CK388" s="32"/>
      <c r="CL388" s="32"/>
      <c r="CM388" s="32"/>
      <c r="CN388" s="32"/>
      <c r="CO388" s="32"/>
      <c r="CP388" s="32"/>
      <c r="CQ388" s="32"/>
      <c r="CR388" s="32"/>
      <c r="CS388" s="32"/>
      <c r="CT388" s="32"/>
      <c r="CU388" s="32"/>
      <c r="CV388" s="32"/>
      <c r="CW388" s="32"/>
      <c r="CX388" s="32"/>
      <c r="CY388" s="32"/>
      <c r="CZ388" s="32"/>
      <c r="DA388" s="32"/>
      <c r="DB388" s="32"/>
      <c r="DC388" s="32"/>
      <c r="DD388" s="32"/>
      <c r="DE388" s="32"/>
      <c r="DF388" s="32"/>
      <c r="DG388" s="32"/>
      <c r="DH388" s="32"/>
      <c r="DI388" s="32"/>
      <c r="DJ388" s="32"/>
      <c r="DK388" s="32"/>
      <c r="DL388" s="32"/>
      <c r="DM388" s="32"/>
      <c r="DN388" s="32"/>
      <c r="DO388" s="32"/>
      <c r="DP388" s="32"/>
      <c r="DQ388" s="32"/>
      <c r="DR388" s="32"/>
      <c r="DS388" s="32"/>
      <c r="DT388" s="32"/>
      <c r="DU388" s="32"/>
      <c r="DV388" s="32"/>
      <c r="DW388" s="32"/>
      <c r="DX388" s="32"/>
      <c r="DY388" s="32"/>
      <c r="DZ388" s="32"/>
      <c r="EA388" s="32"/>
      <c r="EB388" s="32"/>
      <c r="EC388" s="32"/>
      <c r="ED388" s="32"/>
      <c r="EE388" s="32"/>
      <c r="EF388" s="32"/>
      <c r="EG388" s="32"/>
      <c r="EH388" s="32"/>
      <c r="EI388" s="32"/>
      <c r="EJ388" s="32"/>
      <c r="EK388" s="32"/>
    </row>
    <row r="389" spans="42:141">
      <c r="AP389" s="32"/>
      <c r="AQ389" s="32"/>
      <c r="AR389" s="32"/>
      <c r="AS389" s="32"/>
      <c r="AT389" s="32"/>
      <c r="AU389" s="32"/>
      <c r="AV389" s="32"/>
      <c r="AW389" s="32"/>
      <c r="AX389" s="32"/>
      <c r="AY389" s="32"/>
      <c r="AZ389" s="32"/>
      <c r="BA389" s="32"/>
      <c r="BB389" s="32"/>
      <c r="BC389" s="32"/>
      <c r="BD389" s="32"/>
      <c r="BE389" s="32"/>
      <c r="BF389" s="32"/>
      <c r="BG389" s="32"/>
      <c r="BH389" s="32"/>
      <c r="BI389" s="32"/>
      <c r="BJ389" s="32"/>
      <c r="BK389" s="32"/>
      <c r="BL389" s="32"/>
      <c r="BM389" s="32"/>
      <c r="BN389" s="32"/>
      <c r="BO389" s="32"/>
      <c r="BP389" s="32"/>
      <c r="BQ389" s="32"/>
      <c r="BR389" s="32"/>
      <c r="BS389" s="32"/>
      <c r="BT389" s="32"/>
      <c r="BU389" s="32"/>
      <c r="BV389" s="32"/>
      <c r="BW389" s="32"/>
      <c r="BX389" s="32"/>
      <c r="BY389" s="32"/>
      <c r="BZ389" s="32"/>
      <c r="CA389" s="32"/>
      <c r="CB389" s="32"/>
      <c r="CC389" s="32"/>
      <c r="CD389" s="32"/>
      <c r="CE389" s="32"/>
      <c r="CF389" s="32"/>
      <c r="CG389" s="32"/>
      <c r="CH389" s="32"/>
      <c r="CI389" s="32"/>
      <c r="CJ389" s="32"/>
      <c r="CK389" s="32"/>
      <c r="CL389" s="32"/>
      <c r="CM389" s="32"/>
      <c r="CN389" s="32"/>
      <c r="CO389" s="32"/>
      <c r="CP389" s="32"/>
      <c r="CQ389" s="32"/>
      <c r="CR389" s="32"/>
      <c r="CS389" s="32"/>
      <c r="CT389" s="32"/>
      <c r="CU389" s="32"/>
      <c r="CV389" s="32"/>
      <c r="CW389" s="32"/>
      <c r="CX389" s="32"/>
      <c r="CY389" s="32"/>
      <c r="CZ389" s="32"/>
      <c r="DA389" s="32"/>
      <c r="DB389" s="32"/>
      <c r="DC389" s="32"/>
      <c r="DD389" s="32"/>
      <c r="DE389" s="32"/>
      <c r="DF389" s="32"/>
      <c r="DG389" s="32"/>
      <c r="DH389" s="32"/>
      <c r="DI389" s="32"/>
      <c r="DJ389" s="32"/>
      <c r="DK389" s="32"/>
      <c r="DL389" s="32"/>
      <c r="DM389" s="32"/>
      <c r="DN389" s="32"/>
      <c r="DO389" s="32"/>
      <c r="DP389" s="32"/>
      <c r="DQ389" s="32"/>
      <c r="DR389" s="32"/>
      <c r="DS389" s="32"/>
      <c r="DT389" s="32"/>
      <c r="DU389" s="32"/>
      <c r="DV389" s="32"/>
      <c r="DW389" s="32"/>
      <c r="DX389" s="32"/>
      <c r="DY389" s="32"/>
      <c r="DZ389" s="32"/>
      <c r="EA389" s="32"/>
      <c r="EB389" s="32"/>
      <c r="EC389" s="32"/>
      <c r="ED389" s="32"/>
      <c r="EE389" s="32"/>
      <c r="EF389" s="32"/>
      <c r="EG389" s="32"/>
      <c r="EH389" s="32"/>
      <c r="EI389" s="32"/>
      <c r="EJ389" s="32"/>
      <c r="EK389" s="32"/>
    </row>
    <row r="390" spans="42:141">
      <c r="AP390" s="32"/>
      <c r="AQ390" s="32"/>
      <c r="AR390" s="32"/>
      <c r="AS390" s="32"/>
      <c r="AT390" s="32"/>
      <c r="AU390" s="32"/>
      <c r="AV390" s="32"/>
      <c r="AW390" s="32"/>
      <c r="AX390" s="32"/>
      <c r="AY390" s="32"/>
      <c r="AZ390" s="32"/>
      <c r="BA390" s="32"/>
      <c r="BB390" s="32"/>
      <c r="BC390" s="32"/>
      <c r="BD390" s="32"/>
      <c r="BE390" s="32"/>
      <c r="BF390" s="32"/>
      <c r="BG390" s="32"/>
      <c r="BH390" s="32"/>
      <c r="BI390" s="32"/>
      <c r="BJ390" s="32"/>
      <c r="BK390" s="32"/>
      <c r="BL390" s="32"/>
      <c r="BM390" s="32"/>
      <c r="BN390" s="32"/>
      <c r="BO390" s="32"/>
      <c r="BP390" s="32"/>
      <c r="BQ390" s="32"/>
      <c r="BR390" s="32"/>
      <c r="BS390" s="32"/>
      <c r="BT390" s="32"/>
      <c r="BU390" s="32"/>
      <c r="BV390" s="32"/>
      <c r="BW390" s="32"/>
      <c r="BX390" s="32"/>
      <c r="BY390" s="32"/>
      <c r="BZ390" s="32"/>
      <c r="CA390" s="32"/>
      <c r="CB390" s="32"/>
      <c r="CC390" s="32"/>
      <c r="CD390" s="32"/>
      <c r="CE390" s="32"/>
      <c r="CF390" s="32"/>
      <c r="CG390" s="32"/>
      <c r="CH390" s="32"/>
      <c r="CI390" s="32"/>
      <c r="CJ390" s="32"/>
      <c r="CK390" s="32"/>
      <c r="CL390" s="32"/>
      <c r="CM390" s="32"/>
      <c r="CN390" s="32"/>
      <c r="CO390" s="32"/>
      <c r="CP390" s="32"/>
      <c r="CQ390" s="32"/>
      <c r="CR390" s="32"/>
      <c r="CS390" s="32"/>
      <c r="CT390" s="32"/>
      <c r="CU390" s="32"/>
      <c r="CV390" s="32"/>
      <c r="CW390" s="32"/>
      <c r="CX390" s="32"/>
      <c r="CY390" s="32"/>
      <c r="CZ390" s="32"/>
      <c r="DA390" s="32"/>
      <c r="DB390" s="32"/>
      <c r="DC390" s="32"/>
      <c r="DD390" s="32"/>
      <c r="DE390" s="32"/>
      <c r="DF390" s="32"/>
      <c r="DG390" s="32"/>
      <c r="DH390" s="32"/>
      <c r="DI390" s="32"/>
      <c r="DJ390" s="32"/>
      <c r="DK390" s="32"/>
      <c r="DL390" s="32"/>
      <c r="DM390" s="32"/>
      <c r="DN390" s="32"/>
      <c r="DO390" s="32"/>
      <c r="DP390" s="32"/>
      <c r="DQ390" s="32"/>
      <c r="DR390" s="32"/>
      <c r="DS390" s="32"/>
      <c r="DT390" s="32"/>
      <c r="DU390" s="32"/>
      <c r="DV390" s="32"/>
      <c r="DW390" s="32"/>
      <c r="DX390" s="32"/>
      <c r="DY390" s="32"/>
      <c r="DZ390" s="32"/>
      <c r="EA390" s="32"/>
      <c r="EB390" s="32"/>
      <c r="EC390" s="32"/>
      <c r="ED390" s="32"/>
      <c r="EE390" s="32"/>
      <c r="EF390" s="32"/>
      <c r="EG390" s="32"/>
      <c r="EH390" s="32"/>
      <c r="EI390" s="32"/>
      <c r="EJ390" s="32"/>
      <c r="EK390" s="32"/>
    </row>
    <row r="391" spans="42:141">
      <c r="AP391" s="32"/>
      <c r="AQ391" s="32"/>
      <c r="AR391" s="32"/>
      <c r="AS391" s="32"/>
      <c r="AT391" s="32"/>
      <c r="AU391" s="32"/>
      <c r="AV391" s="32"/>
      <c r="AW391" s="32"/>
      <c r="AX391" s="32"/>
      <c r="AY391" s="32"/>
      <c r="AZ391" s="32"/>
      <c r="BA391" s="32"/>
      <c r="BB391" s="32"/>
      <c r="BC391" s="32"/>
      <c r="BD391" s="32"/>
      <c r="BE391" s="32"/>
      <c r="BF391" s="32"/>
      <c r="BG391" s="32"/>
      <c r="BH391" s="32"/>
      <c r="BI391" s="32"/>
      <c r="BJ391" s="32"/>
      <c r="BK391" s="32"/>
      <c r="BL391" s="32"/>
      <c r="BM391" s="32"/>
      <c r="BN391" s="32"/>
      <c r="BO391" s="32"/>
      <c r="BP391" s="32"/>
      <c r="BQ391" s="32"/>
      <c r="BR391" s="32"/>
      <c r="BS391" s="32"/>
      <c r="BT391" s="32"/>
      <c r="BU391" s="32"/>
      <c r="BV391" s="32"/>
      <c r="BW391" s="32"/>
      <c r="BX391" s="32"/>
      <c r="BY391" s="32"/>
      <c r="BZ391" s="32"/>
      <c r="CA391" s="32"/>
      <c r="CB391" s="32"/>
      <c r="CC391" s="32"/>
      <c r="CD391" s="32"/>
      <c r="CE391" s="32"/>
      <c r="CF391" s="32"/>
      <c r="CG391" s="32"/>
      <c r="CH391" s="32"/>
      <c r="CI391" s="32"/>
      <c r="CJ391" s="32"/>
      <c r="CK391" s="32"/>
      <c r="CL391" s="32"/>
      <c r="CM391" s="32"/>
      <c r="CN391" s="32"/>
      <c r="CO391" s="32"/>
      <c r="CP391" s="32"/>
      <c r="CQ391" s="32"/>
      <c r="CR391" s="32"/>
      <c r="CS391" s="32"/>
      <c r="CT391" s="32"/>
      <c r="CU391" s="32"/>
      <c r="CV391" s="32"/>
      <c r="CW391" s="32"/>
      <c r="CX391" s="32"/>
      <c r="CY391" s="32"/>
      <c r="CZ391" s="32"/>
      <c r="DA391" s="32"/>
      <c r="DB391" s="32"/>
      <c r="DC391" s="32"/>
      <c r="DD391" s="32"/>
      <c r="DE391" s="32"/>
      <c r="DF391" s="32"/>
      <c r="DG391" s="32"/>
      <c r="DH391" s="32"/>
      <c r="DI391" s="32"/>
      <c r="DJ391" s="32"/>
      <c r="DK391" s="32"/>
      <c r="DL391" s="32"/>
      <c r="DM391" s="32"/>
      <c r="DN391" s="32"/>
      <c r="DO391" s="32"/>
      <c r="DP391" s="32"/>
      <c r="DQ391" s="32"/>
      <c r="DR391" s="32"/>
      <c r="DS391" s="32"/>
      <c r="DT391" s="32"/>
      <c r="DU391" s="32"/>
      <c r="DV391" s="32"/>
      <c r="DW391" s="32"/>
      <c r="DX391" s="32"/>
      <c r="DY391" s="32"/>
      <c r="DZ391" s="32"/>
      <c r="EA391" s="32"/>
      <c r="EB391" s="32"/>
      <c r="EC391" s="32"/>
      <c r="ED391" s="32"/>
      <c r="EE391" s="32"/>
      <c r="EF391" s="32"/>
      <c r="EG391" s="32"/>
      <c r="EH391" s="32"/>
      <c r="EI391" s="32"/>
      <c r="EJ391" s="32"/>
      <c r="EK391" s="32"/>
    </row>
    <row r="392" spans="42:141">
      <c r="AP392" s="32"/>
      <c r="AQ392" s="32"/>
      <c r="AR392" s="32"/>
      <c r="AS392" s="32"/>
      <c r="AT392" s="32"/>
      <c r="AU392" s="32"/>
      <c r="AV392" s="32"/>
      <c r="AW392" s="32"/>
      <c r="AX392" s="32"/>
      <c r="AY392" s="32"/>
      <c r="AZ392" s="32"/>
      <c r="BA392" s="32"/>
      <c r="BB392" s="32"/>
      <c r="BC392" s="32"/>
      <c r="BD392" s="32"/>
      <c r="BE392" s="32"/>
      <c r="BF392" s="32"/>
      <c r="BG392" s="32"/>
      <c r="BH392" s="32"/>
      <c r="BI392" s="32"/>
      <c r="BJ392" s="32"/>
      <c r="BK392" s="32"/>
      <c r="BL392" s="32"/>
      <c r="BM392" s="32"/>
      <c r="BN392" s="32"/>
      <c r="BO392" s="32"/>
      <c r="BP392" s="32"/>
      <c r="BQ392" s="32"/>
      <c r="BR392" s="32"/>
      <c r="BS392" s="32"/>
      <c r="BT392" s="32"/>
      <c r="BU392" s="32"/>
      <c r="BV392" s="32"/>
      <c r="BW392" s="32"/>
      <c r="BX392" s="32"/>
      <c r="BY392" s="32"/>
      <c r="BZ392" s="32"/>
      <c r="CA392" s="32"/>
      <c r="CB392" s="32"/>
      <c r="CC392" s="32"/>
      <c r="CD392" s="32"/>
      <c r="CE392" s="32"/>
      <c r="CF392" s="32"/>
      <c r="CG392" s="32"/>
      <c r="CH392" s="32"/>
      <c r="CI392" s="32"/>
      <c r="CJ392" s="32"/>
      <c r="CK392" s="32"/>
      <c r="CL392" s="32"/>
      <c r="CM392" s="32"/>
      <c r="CN392" s="32"/>
      <c r="CO392" s="32"/>
      <c r="CP392" s="32"/>
      <c r="CQ392" s="32"/>
      <c r="CR392" s="32"/>
      <c r="CS392" s="32"/>
      <c r="CT392" s="32"/>
      <c r="CU392" s="32"/>
      <c r="CV392" s="32"/>
      <c r="CW392" s="32"/>
      <c r="CX392" s="32"/>
      <c r="CY392" s="32"/>
      <c r="CZ392" s="32"/>
      <c r="DA392" s="32"/>
      <c r="DB392" s="32"/>
      <c r="DC392" s="32"/>
      <c r="DD392" s="32"/>
      <c r="DE392" s="32"/>
      <c r="DF392" s="32"/>
      <c r="DG392" s="32"/>
      <c r="DH392" s="32"/>
      <c r="DI392" s="32"/>
      <c r="DJ392" s="32"/>
      <c r="DK392" s="32"/>
      <c r="DL392" s="32"/>
      <c r="DM392" s="32"/>
      <c r="DN392" s="32"/>
      <c r="DO392" s="32"/>
      <c r="DP392" s="32"/>
      <c r="DQ392" s="32"/>
      <c r="DR392" s="32"/>
      <c r="DS392" s="32"/>
      <c r="DT392" s="32"/>
      <c r="DU392" s="32"/>
      <c r="DV392" s="32"/>
      <c r="DW392" s="32"/>
      <c r="DX392" s="32"/>
      <c r="DY392" s="32"/>
      <c r="DZ392" s="32"/>
      <c r="EA392" s="32"/>
      <c r="EB392" s="32"/>
      <c r="EC392" s="32"/>
      <c r="ED392" s="32"/>
      <c r="EE392" s="32"/>
      <c r="EF392" s="32"/>
      <c r="EG392" s="32"/>
      <c r="EH392" s="32"/>
      <c r="EI392" s="32"/>
      <c r="EJ392" s="32"/>
      <c r="EK392" s="32"/>
    </row>
    <row r="393" spans="42:141">
      <c r="AP393" s="32"/>
      <c r="AQ393" s="32"/>
      <c r="AR393" s="32"/>
      <c r="AS393" s="32"/>
      <c r="AT393" s="32"/>
      <c r="AU393" s="32"/>
      <c r="AV393" s="32"/>
      <c r="AW393" s="32"/>
      <c r="AX393" s="32"/>
      <c r="AY393" s="32"/>
      <c r="AZ393" s="32"/>
      <c r="BA393" s="32"/>
      <c r="BB393" s="32"/>
      <c r="BC393" s="32"/>
      <c r="BD393" s="32"/>
      <c r="BE393" s="32"/>
      <c r="BF393" s="32"/>
      <c r="BG393" s="32"/>
      <c r="BH393" s="32"/>
      <c r="BI393" s="32"/>
      <c r="BJ393" s="32"/>
      <c r="BK393" s="32"/>
      <c r="BL393" s="32"/>
      <c r="BM393" s="32"/>
      <c r="BN393" s="32"/>
      <c r="BO393" s="32"/>
      <c r="BP393" s="32"/>
      <c r="BQ393" s="32"/>
      <c r="BR393" s="32"/>
      <c r="BS393" s="32"/>
      <c r="BT393" s="32"/>
      <c r="BU393" s="32"/>
      <c r="BV393" s="32"/>
      <c r="BW393" s="32"/>
      <c r="BX393" s="32"/>
      <c r="BY393" s="32"/>
      <c r="BZ393" s="32"/>
      <c r="CA393" s="32"/>
      <c r="CB393" s="32"/>
      <c r="CC393" s="32"/>
      <c r="CD393" s="32"/>
      <c r="CE393" s="32"/>
      <c r="CF393" s="32"/>
      <c r="CG393" s="32"/>
      <c r="CH393" s="32"/>
      <c r="CI393" s="32"/>
      <c r="CJ393" s="32"/>
      <c r="CK393" s="32"/>
      <c r="CL393" s="32"/>
      <c r="CM393" s="32"/>
      <c r="CN393" s="32"/>
      <c r="CO393" s="32"/>
      <c r="CP393" s="32"/>
      <c r="CQ393" s="32"/>
      <c r="CR393" s="32"/>
      <c r="CS393" s="32"/>
      <c r="CT393" s="32"/>
      <c r="CU393" s="32"/>
      <c r="CV393" s="32"/>
      <c r="CW393" s="32"/>
      <c r="CX393" s="32"/>
      <c r="CY393" s="32"/>
      <c r="CZ393" s="32"/>
      <c r="DA393" s="32"/>
      <c r="DB393" s="32"/>
      <c r="DC393" s="32"/>
      <c r="DD393" s="32"/>
      <c r="DE393" s="32"/>
      <c r="DF393" s="32"/>
      <c r="DG393" s="32"/>
      <c r="DH393" s="32"/>
      <c r="DI393" s="32"/>
      <c r="DJ393" s="32"/>
      <c r="DK393" s="32"/>
      <c r="DL393" s="32"/>
      <c r="DM393" s="32"/>
      <c r="DN393" s="32"/>
      <c r="DO393" s="32"/>
      <c r="DP393" s="32"/>
      <c r="DQ393" s="32"/>
      <c r="DR393" s="32"/>
      <c r="DS393" s="32"/>
      <c r="DT393" s="32"/>
      <c r="DU393" s="32"/>
      <c r="DV393" s="32"/>
      <c r="DW393" s="32"/>
      <c r="DX393" s="32"/>
      <c r="DY393" s="32"/>
      <c r="DZ393" s="32"/>
      <c r="EA393" s="32"/>
      <c r="EB393" s="32"/>
      <c r="EC393" s="32"/>
      <c r="ED393" s="32"/>
      <c r="EE393" s="32"/>
      <c r="EF393" s="32"/>
      <c r="EG393" s="32"/>
      <c r="EH393" s="32"/>
      <c r="EI393" s="32"/>
      <c r="EJ393" s="32"/>
      <c r="EK393" s="32"/>
    </row>
    <row r="394" spans="42:141">
      <c r="AP394" s="32"/>
      <c r="AQ394" s="32"/>
      <c r="AR394" s="32"/>
      <c r="AS394" s="32"/>
      <c r="AT394" s="32"/>
      <c r="AU394" s="32"/>
      <c r="AV394" s="32"/>
      <c r="AW394" s="32"/>
      <c r="AX394" s="32"/>
      <c r="AY394" s="32"/>
      <c r="AZ394" s="32"/>
      <c r="BA394" s="32"/>
      <c r="BB394" s="32"/>
      <c r="BC394" s="32"/>
      <c r="BD394" s="32"/>
      <c r="BE394" s="32"/>
      <c r="BF394" s="32"/>
      <c r="BG394" s="32"/>
      <c r="BH394" s="32"/>
      <c r="BI394" s="32"/>
      <c r="BJ394" s="32"/>
      <c r="BK394" s="32"/>
      <c r="BL394" s="32"/>
      <c r="BM394" s="32"/>
      <c r="BN394" s="32"/>
      <c r="BO394" s="32"/>
      <c r="BP394" s="32"/>
      <c r="BQ394" s="32"/>
      <c r="BR394" s="32"/>
      <c r="BS394" s="32"/>
      <c r="BT394" s="32"/>
      <c r="BU394" s="32"/>
      <c r="BV394" s="32"/>
      <c r="BW394" s="32"/>
      <c r="BX394" s="32"/>
      <c r="BY394" s="32"/>
      <c r="BZ394" s="32"/>
      <c r="CA394" s="32"/>
      <c r="CB394" s="32"/>
      <c r="CC394" s="32"/>
      <c r="CD394" s="32"/>
      <c r="CE394" s="32"/>
      <c r="CF394" s="32"/>
      <c r="CG394" s="32"/>
      <c r="CH394" s="32"/>
      <c r="CI394" s="32"/>
      <c r="CJ394" s="32"/>
      <c r="CK394" s="32"/>
      <c r="CL394" s="32"/>
      <c r="CM394" s="32"/>
      <c r="CN394" s="32"/>
      <c r="CO394" s="32"/>
      <c r="CP394" s="32"/>
      <c r="CQ394" s="32"/>
      <c r="CR394" s="32"/>
      <c r="CS394" s="32"/>
      <c r="CT394" s="32"/>
      <c r="CU394" s="32"/>
      <c r="CV394" s="32"/>
      <c r="CW394" s="32"/>
      <c r="CX394" s="32"/>
      <c r="CY394" s="32"/>
      <c r="CZ394" s="32"/>
      <c r="DA394" s="32"/>
      <c r="DB394" s="32"/>
      <c r="DC394" s="32"/>
      <c r="DD394" s="32"/>
      <c r="DE394" s="32"/>
      <c r="DF394" s="32"/>
      <c r="DG394" s="32"/>
      <c r="DH394" s="32"/>
      <c r="DI394" s="32"/>
      <c r="DJ394" s="32"/>
      <c r="DK394" s="32"/>
      <c r="DL394" s="32"/>
      <c r="DM394" s="32"/>
      <c r="DN394" s="32"/>
      <c r="DO394" s="32"/>
      <c r="DP394" s="32"/>
      <c r="DQ394" s="32"/>
      <c r="DR394" s="32"/>
      <c r="DS394" s="32"/>
      <c r="DT394" s="32"/>
      <c r="DU394" s="32"/>
      <c r="DV394" s="32"/>
      <c r="DW394" s="32"/>
      <c r="DX394" s="32"/>
      <c r="DY394" s="32"/>
      <c r="DZ394" s="32"/>
      <c r="EA394" s="32"/>
      <c r="EB394" s="32"/>
      <c r="EC394" s="32"/>
      <c r="ED394" s="32"/>
      <c r="EE394" s="32"/>
      <c r="EF394" s="32"/>
      <c r="EG394" s="32"/>
      <c r="EH394" s="32"/>
      <c r="EI394" s="32"/>
      <c r="EJ394" s="32"/>
      <c r="EK394" s="32"/>
    </row>
    <row r="395" spans="42:141">
      <c r="AP395" s="32"/>
      <c r="AQ395" s="32"/>
      <c r="AR395" s="32"/>
      <c r="AS395" s="32"/>
      <c r="AT395" s="32"/>
      <c r="AU395" s="32"/>
      <c r="AV395" s="32"/>
      <c r="AW395" s="32"/>
      <c r="AX395" s="32"/>
      <c r="AY395" s="32"/>
      <c r="AZ395" s="32"/>
      <c r="BA395" s="32"/>
      <c r="BB395" s="32"/>
      <c r="BC395" s="32"/>
      <c r="BD395" s="32"/>
      <c r="BE395" s="32"/>
      <c r="BF395" s="32"/>
      <c r="BG395" s="32"/>
      <c r="BH395" s="32"/>
      <c r="BI395" s="32"/>
      <c r="BJ395" s="32"/>
      <c r="BK395" s="32"/>
      <c r="BL395" s="32"/>
      <c r="BM395" s="32"/>
      <c r="BN395" s="32"/>
      <c r="BO395" s="32"/>
      <c r="BP395" s="32"/>
      <c r="BQ395" s="32"/>
      <c r="BR395" s="32"/>
      <c r="BS395" s="32"/>
      <c r="BT395" s="32"/>
      <c r="BU395" s="32"/>
      <c r="BV395" s="32"/>
      <c r="BW395" s="32"/>
      <c r="BX395" s="32"/>
      <c r="BY395" s="32"/>
      <c r="BZ395" s="32"/>
      <c r="CA395" s="32"/>
      <c r="CB395" s="32"/>
      <c r="CC395" s="32"/>
      <c r="CD395" s="32"/>
      <c r="CE395" s="32"/>
      <c r="CF395" s="32"/>
      <c r="CG395" s="32"/>
      <c r="CH395" s="32"/>
      <c r="CI395" s="32"/>
      <c r="CJ395" s="32"/>
      <c r="CK395" s="32"/>
      <c r="CL395" s="32"/>
      <c r="CM395" s="32"/>
      <c r="CN395" s="32"/>
      <c r="CO395" s="32"/>
      <c r="CP395" s="32"/>
      <c r="CQ395" s="32"/>
      <c r="CR395" s="32"/>
      <c r="CS395" s="32"/>
      <c r="CT395" s="32"/>
      <c r="CU395" s="32"/>
      <c r="CV395" s="32"/>
      <c r="CW395" s="32"/>
      <c r="CX395" s="32"/>
      <c r="CY395" s="32"/>
      <c r="CZ395" s="32"/>
      <c r="DA395" s="32"/>
      <c r="DB395" s="32"/>
      <c r="DC395" s="32"/>
      <c r="DD395" s="32"/>
      <c r="DE395" s="32"/>
      <c r="DF395" s="32"/>
      <c r="DG395" s="32"/>
      <c r="DH395" s="32"/>
      <c r="DI395" s="32"/>
      <c r="DJ395" s="32"/>
      <c r="DK395" s="32"/>
      <c r="DL395" s="32"/>
      <c r="DM395" s="32"/>
      <c r="DN395" s="32"/>
      <c r="DO395" s="32"/>
      <c r="DP395" s="32"/>
      <c r="DQ395" s="32"/>
      <c r="DR395" s="32"/>
      <c r="DS395" s="32"/>
      <c r="DT395" s="32"/>
      <c r="DU395" s="32"/>
      <c r="DV395" s="32"/>
      <c r="DW395" s="32"/>
      <c r="DX395" s="32"/>
      <c r="DY395" s="32"/>
      <c r="DZ395" s="32"/>
      <c r="EA395" s="32"/>
      <c r="EB395" s="32"/>
      <c r="EC395" s="32"/>
      <c r="ED395" s="32"/>
      <c r="EE395" s="32"/>
      <c r="EF395" s="32"/>
      <c r="EG395" s="32"/>
      <c r="EH395" s="32"/>
      <c r="EI395" s="32"/>
      <c r="EJ395" s="32"/>
      <c r="EK395" s="32"/>
    </row>
    <row r="396" spans="42:141">
      <c r="AP396" s="32"/>
      <c r="AQ396" s="32"/>
      <c r="AR396" s="32"/>
      <c r="AS396" s="32"/>
      <c r="AT396" s="32"/>
      <c r="AU396" s="32"/>
      <c r="AV396" s="32"/>
      <c r="AW396" s="32"/>
      <c r="AX396" s="32"/>
      <c r="AY396" s="32"/>
      <c r="AZ396" s="32"/>
      <c r="BA396" s="32"/>
      <c r="BB396" s="32"/>
      <c r="BC396" s="32"/>
      <c r="BD396" s="32"/>
      <c r="BE396" s="32"/>
      <c r="BF396" s="32"/>
      <c r="BG396" s="32"/>
      <c r="BH396" s="32"/>
      <c r="BI396" s="32"/>
      <c r="BJ396" s="32"/>
      <c r="BK396" s="32"/>
      <c r="BL396" s="32"/>
      <c r="BM396" s="32"/>
      <c r="BN396" s="32"/>
      <c r="BO396" s="32"/>
      <c r="BP396" s="32"/>
      <c r="BQ396" s="32"/>
      <c r="BR396" s="32"/>
      <c r="BS396" s="32"/>
      <c r="BT396" s="32"/>
      <c r="BU396" s="32"/>
      <c r="BV396" s="32"/>
      <c r="BW396" s="32"/>
      <c r="BX396" s="32"/>
      <c r="BY396" s="32"/>
      <c r="BZ396" s="32"/>
      <c r="CA396" s="32"/>
      <c r="CB396" s="32"/>
      <c r="CC396" s="32"/>
      <c r="CD396" s="32"/>
      <c r="CE396" s="32"/>
      <c r="CF396" s="32"/>
      <c r="CG396" s="32"/>
      <c r="CH396" s="32"/>
      <c r="CI396" s="32"/>
      <c r="CJ396" s="32"/>
      <c r="CK396" s="32"/>
      <c r="CL396" s="32"/>
      <c r="CM396" s="32"/>
      <c r="CN396" s="32"/>
      <c r="CO396" s="32"/>
      <c r="CP396" s="32"/>
      <c r="CQ396" s="32"/>
      <c r="CR396" s="32"/>
      <c r="CS396" s="32"/>
      <c r="CT396" s="32"/>
      <c r="CU396" s="32"/>
      <c r="CV396" s="32"/>
      <c r="CW396" s="32"/>
      <c r="CX396" s="32"/>
      <c r="CY396" s="32"/>
      <c r="CZ396" s="32"/>
      <c r="DA396" s="32"/>
      <c r="DB396" s="32"/>
      <c r="DC396" s="32"/>
      <c r="DD396" s="32"/>
      <c r="DE396" s="32"/>
      <c r="DF396" s="32"/>
      <c r="DG396" s="32"/>
      <c r="DH396" s="32"/>
      <c r="DI396" s="32"/>
      <c r="DJ396" s="32"/>
      <c r="DK396" s="32"/>
      <c r="DL396" s="32"/>
      <c r="DM396" s="32"/>
      <c r="DN396" s="32"/>
      <c r="DO396" s="32"/>
      <c r="DP396" s="32"/>
      <c r="DQ396" s="32"/>
      <c r="DR396" s="32"/>
      <c r="DS396" s="32"/>
      <c r="DT396" s="32"/>
      <c r="DU396" s="32"/>
      <c r="DV396" s="32"/>
      <c r="DW396" s="32"/>
      <c r="DX396" s="32"/>
      <c r="DY396" s="32"/>
      <c r="DZ396" s="32"/>
      <c r="EA396" s="32"/>
      <c r="EB396" s="32"/>
      <c r="EC396" s="32"/>
      <c r="ED396" s="32"/>
      <c r="EE396" s="32"/>
      <c r="EF396" s="32"/>
      <c r="EG396" s="32"/>
      <c r="EH396" s="32"/>
      <c r="EI396" s="32"/>
      <c r="EJ396" s="32"/>
      <c r="EK396" s="32"/>
    </row>
    <row r="397" spans="42:141">
      <c r="AP397" s="32"/>
      <c r="AQ397" s="32"/>
      <c r="AR397" s="32"/>
      <c r="AS397" s="32"/>
      <c r="AT397" s="32"/>
      <c r="AU397" s="32"/>
      <c r="AV397" s="32"/>
      <c r="AW397" s="32"/>
      <c r="AX397" s="32"/>
      <c r="AY397" s="32"/>
      <c r="AZ397" s="32"/>
      <c r="BA397" s="32"/>
      <c r="BB397" s="32"/>
      <c r="BC397" s="32"/>
      <c r="BD397" s="32"/>
      <c r="BE397" s="32"/>
      <c r="BF397" s="32"/>
      <c r="BG397" s="32"/>
      <c r="BH397" s="32"/>
      <c r="BI397" s="32"/>
      <c r="BJ397" s="32"/>
      <c r="BK397" s="32"/>
      <c r="BL397" s="32"/>
      <c r="BM397" s="32"/>
      <c r="BN397" s="32"/>
      <c r="BO397" s="32"/>
      <c r="BP397" s="32"/>
      <c r="BQ397" s="32"/>
      <c r="BR397" s="32"/>
      <c r="BS397" s="32"/>
      <c r="BT397" s="32"/>
      <c r="BU397" s="32"/>
      <c r="BV397" s="32"/>
      <c r="BW397" s="32"/>
      <c r="BX397" s="32"/>
      <c r="BY397" s="32"/>
      <c r="BZ397" s="32"/>
      <c r="CA397" s="32"/>
      <c r="CB397" s="32"/>
      <c r="CC397" s="32"/>
      <c r="CD397" s="32"/>
      <c r="CE397" s="32"/>
      <c r="CF397" s="32"/>
      <c r="CG397" s="32"/>
      <c r="CH397" s="32"/>
      <c r="CI397" s="32"/>
      <c r="CJ397" s="32"/>
      <c r="CK397" s="32"/>
      <c r="CL397" s="32"/>
      <c r="CM397" s="32"/>
      <c r="CN397" s="32"/>
      <c r="CO397" s="32"/>
      <c r="CP397" s="32"/>
      <c r="CQ397" s="32"/>
      <c r="CR397" s="32"/>
      <c r="CS397" s="32"/>
      <c r="CT397" s="32"/>
      <c r="CU397" s="32"/>
      <c r="CV397" s="32"/>
      <c r="CW397" s="32"/>
      <c r="CX397" s="32"/>
      <c r="CY397" s="32"/>
      <c r="CZ397" s="32"/>
      <c r="DA397" s="32"/>
      <c r="DB397" s="32"/>
      <c r="DC397" s="32"/>
      <c r="DD397" s="32"/>
      <c r="DE397" s="32"/>
      <c r="DF397" s="32"/>
      <c r="DG397" s="32"/>
      <c r="DH397" s="32"/>
      <c r="DI397" s="32"/>
      <c r="DJ397" s="32"/>
      <c r="DK397" s="32"/>
      <c r="DL397" s="32"/>
      <c r="DM397" s="32"/>
      <c r="DN397" s="32"/>
      <c r="DO397" s="32"/>
      <c r="DP397" s="32"/>
      <c r="DQ397" s="32"/>
      <c r="DR397" s="32"/>
      <c r="DS397" s="32"/>
      <c r="DT397" s="32"/>
      <c r="DU397" s="32"/>
      <c r="DV397" s="32"/>
      <c r="DW397" s="32"/>
      <c r="DX397" s="32"/>
      <c r="DY397" s="32"/>
      <c r="DZ397" s="32"/>
      <c r="EA397" s="32"/>
      <c r="EB397" s="32"/>
      <c r="EC397" s="32"/>
      <c r="ED397" s="32"/>
      <c r="EE397" s="32"/>
      <c r="EF397" s="32"/>
      <c r="EG397" s="32"/>
      <c r="EH397" s="32"/>
      <c r="EI397" s="32"/>
      <c r="EJ397" s="32"/>
      <c r="EK397" s="32"/>
    </row>
    <row r="398" spans="42:141">
      <c r="AP398" s="32"/>
      <c r="AQ398" s="32"/>
      <c r="AR398" s="32"/>
      <c r="AS398" s="32"/>
      <c r="AT398" s="32"/>
      <c r="AU398" s="32"/>
      <c r="AV398" s="32"/>
      <c r="AW398" s="32"/>
      <c r="AX398" s="32"/>
      <c r="AY398" s="32"/>
      <c r="AZ398" s="32"/>
      <c r="BA398" s="32"/>
      <c r="BB398" s="32"/>
      <c r="BC398" s="32"/>
      <c r="BD398" s="32"/>
      <c r="BE398" s="32"/>
      <c r="BF398" s="32"/>
      <c r="BG398" s="32"/>
      <c r="BH398" s="32"/>
      <c r="BI398" s="32"/>
      <c r="BJ398" s="32"/>
      <c r="BK398" s="32"/>
      <c r="BL398" s="32"/>
      <c r="BM398" s="32"/>
      <c r="BN398" s="32"/>
      <c r="BO398" s="32"/>
      <c r="BP398" s="32"/>
      <c r="BQ398" s="32"/>
      <c r="BR398" s="32"/>
      <c r="BS398" s="32"/>
      <c r="BT398" s="32"/>
      <c r="BU398" s="32"/>
      <c r="BV398" s="32"/>
      <c r="BW398" s="32"/>
      <c r="BX398" s="32"/>
      <c r="BY398" s="32"/>
      <c r="BZ398" s="32"/>
      <c r="CA398" s="32"/>
      <c r="CB398" s="32"/>
      <c r="CC398" s="32"/>
      <c r="CD398" s="32"/>
      <c r="CE398" s="32"/>
      <c r="CF398" s="32"/>
      <c r="CG398" s="32"/>
      <c r="CH398" s="32"/>
      <c r="CI398" s="32"/>
      <c r="CJ398" s="32"/>
      <c r="CK398" s="32"/>
      <c r="CL398" s="32"/>
      <c r="CM398" s="32"/>
      <c r="CN398" s="32"/>
      <c r="CO398" s="32"/>
      <c r="CP398" s="32"/>
      <c r="CQ398" s="32"/>
      <c r="CR398" s="32"/>
      <c r="CS398" s="32"/>
      <c r="CT398" s="32"/>
      <c r="CU398" s="32"/>
      <c r="CV398" s="32"/>
      <c r="CW398" s="32"/>
      <c r="CX398" s="32"/>
      <c r="CY398" s="32"/>
      <c r="CZ398" s="32"/>
      <c r="DA398" s="32"/>
      <c r="DB398" s="32"/>
      <c r="DC398" s="32"/>
      <c r="DD398" s="32"/>
      <c r="DE398" s="32"/>
      <c r="DF398" s="32"/>
      <c r="DG398" s="32"/>
      <c r="DH398" s="32"/>
      <c r="DI398" s="32"/>
      <c r="DJ398" s="32"/>
      <c r="DK398" s="32"/>
      <c r="DL398" s="32"/>
      <c r="DM398" s="32"/>
      <c r="DN398" s="32"/>
      <c r="DO398" s="32"/>
      <c r="DP398" s="32"/>
      <c r="DQ398" s="32"/>
      <c r="DR398" s="32"/>
      <c r="DS398" s="32"/>
      <c r="DT398" s="32"/>
      <c r="DU398" s="32"/>
      <c r="DV398" s="32"/>
      <c r="DW398" s="32"/>
      <c r="DX398" s="32"/>
      <c r="DY398" s="32"/>
      <c r="DZ398" s="32"/>
      <c r="EA398" s="32"/>
      <c r="EB398" s="32"/>
      <c r="EC398" s="32"/>
      <c r="ED398" s="32"/>
      <c r="EE398" s="32"/>
      <c r="EF398" s="32"/>
      <c r="EG398" s="32"/>
      <c r="EH398" s="32"/>
      <c r="EI398" s="32"/>
      <c r="EJ398" s="32"/>
      <c r="EK398" s="32"/>
    </row>
    <row r="399" spans="42:141">
      <c r="AP399" s="32"/>
      <c r="AQ399" s="32"/>
      <c r="AR399" s="32"/>
      <c r="AS399" s="32"/>
      <c r="AT399" s="32"/>
      <c r="AU399" s="32"/>
      <c r="AV399" s="32"/>
      <c r="AW399" s="32"/>
      <c r="AX399" s="32"/>
      <c r="AY399" s="32"/>
      <c r="AZ399" s="32"/>
      <c r="BA399" s="32"/>
      <c r="BB399" s="32"/>
      <c r="BC399" s="32"/>
      <c r="BD399" s="32"/>
      <c r="BE399" s="32"/>
      <c r="BF399" s="32"/>
      <c r="BG399" s="32"/>
      <c r="BH399" s="32"/>
      <c r="BI399" s="32"/>
      <c r="BJ399" s="32"/>
      <c r="BK399" s="32"/>
      <c r="BL399" s="32"/>
      <c r="BM399" s="32"/>
      <c r="BN399" s="32"/>
      <c r="BO399" s="32"/>
      <c r="BP399" s="32"/>
      <c r="BQ399" s="32"/>
      <c r="BR399" s="32"/>
      <c r="BS399" s="32"/>
      <c r="BT399" s="32"/>
      <c r="BU399" s="32"/>
      <c r="BV399" s="32"/>
      <c r="BW399" s="32"/>
      <c r="BX399" s="32"/>
      <c r="BY399" s="32"/>
      <c r="BZ399" s="32"/>
      <c r="CA399" s="32"/>
      <c r="CB399" s="32"/>
      <c r="CC399" s="32"/>
      <c r="CD399" s="32"/>
      <c r="CE399" s="32"/>
      <c r="CF399" s="32"/>
      <c r="CG399" s="32"/>
      <c r="CH399" s="32"/>
      <c r="CI399" s="32"/>
      <c r="CJ399" s="32"/>
      <c r="CK399" s="32"/>
      <c r="CL399" s="32"/>
      <c r="CM399" s="32"/>
      <c r="CN399" s="32"/>
      <c r="CO399" s="32"/>
      <c r="CP399" s="32"/>
      <c r="CQ399" s="32"/>
      <c r="CR399" s="32"/>
      <c r="CS399" s="32"/>
      <c r="CT399" s="32"/>
      <c r="CU399" s="32"/>
      <c r="CV399" s="32"/>
      <c r="CW399" s="32"/>
      <c r="CX399" s="32"/>
      <c r="CY399" s="32"/>
      <c r="CZ399" s="32"/>
      <c r="DA399" s="32"/>
      <c r="DB399" s="32"/>
      <c r="DC399" s="32"/>
      <c r="DD399" s="32"/>
      <c r="DE399" s="32"/>
      <c r="DF399" s="32"/>
      <c r="DG399" s="32"/>
      <c r="DH399" s="32"/>
      <c r="DI399" s="32"/>
      <c r="DJ399" s="32"/>
      <c r="DK399" s="32"/>
      <c r="DL399" s="32"/>
      <c r="DM399" s="32"/>
      <c r="DN399" s="32"/>
      <c r="DO399" s="32"/>
      <c r="DP399" s="32"/>
      <c r="DQ399" s="32"/>
      <c r="DR399" s="32"/>
      <c r="DS399" s="32"/>
      <c r="DT399" s="32"/>
      <c r="DU399" s="32"/>
      <c r="DV399" s="32"/>
      <c r="DW399" s="32"/>
      <c r="DX399" s="32"/>
      <c r="DY399" s="32"/>
      <c r="DZ399" s="32"/>
      <c r="EA399" s="32"/>
      <c r="EB399" s="32"/>
      <c r="EC399" s="32"/>
      <c r="ED399" s="32"/>
      <c r="EE399" s="32"/>
      <c r="EF399" s="32"/>
      <c r="EG399" s="32"/>
      <c r="EH399" s="32"/>
      <c r="EI399" s="32"/>
      <c r="EJ399" s="32"/>
      <c r="EK399" s="32"/>
    </row>
    <row r="400" spans="42:141">
      <c r="AP400" s="32"/>
      <c r="AQ400" s="32"/>
      <c r="AR400" s="32"/>
      <c r="AS400" s="32"/>
      <c r="AT400" s="32"/>
      <c r="AU400" s="32"/>
      <c r="AV400" s="32"/>
      <c r="AW400" s="32"/>
      <c r="AX400" s="32"/>
      <c r="AY400" s="32"/>
      <c r="AZ400" s="32"/>
      <c r="BA400" s="32"/>
      <c r="BB400" s="32"/>
      <c r="BC400" s="32"/>
      <c r="BD400" s="32"/>
      <c r="BE400" s="32"/>
      <c r="BF400" s="32"/>
      <c r="BG400" s="32"/>
      <c r="BH400" s="32"/>
      <c r="BI400" s="32"/>
      <c r="BJ400" s="32"/>
      <c r="BK400" s="32"/>
      <c r="BL400" s="32"/>
      <c r="BM400" s="32"/>
      <c r="BN400" s="32"/>
      <c r="BO400" s="32"/>
      <c r="BP400" s="32"/>
      <c r="BQ400" s="32"/>
      <c r="BR400" s="32"/>
      <c r="BS400" s="32"/>
      <c r="BT400" s="32"/>
      <c r="BU400" s="32"/>
      <c r="BV400" s="32"/>
      <c r="BW400" s="32"/>
      <c r="BX400" s="32"/>
      <c r="BY400" s="32"/>
      <c r="BZ400" s="32"/>
      <c r="CA400" s="32"/>
      <c r="CB400" s="32"/>
      <c r="CC400" s="32"/>
      <c r="CD400" s="32"/>
      <c r="CE400" s="32"/>
      <c r="CF400" s="32"/>
      <c r="CG400" s="32"/>
      <c r="CH400" s="32"/>
      <c r="CI400" s="32"/>
      <c r="CJ400" s="32"/>
      <c r="CK400" s="32"/>
      <c r="CL400" s="32"/>
      <c r="CM400" s="32"/>
      <c r="CN400" s="32"/>
      <c r="CO400" s="32"/>
      <c r="CP400" s="32"/>
      <c r="CQ400" s="32"/>
      <c r="CR400" s="32"/>
      <c r="CS400" s="32"/>
      <c r="CT400" s="32"/>
      <c r="CU400" s="32"/>
      <c r="CV400" s="32"/>
      <c r="CW400" s="32"/>
      <c r="CX400" s="32"/>
      <c r="CY400" s="32"/>
      <c r="CZ400" s="32"/>
      <c r="DA400" s="32"/>
      <c r="DB400" s="32"/>
      <c r="DC400" s="32"/>
      <c r="DD400" s="32"/>
      <c r="DE400" s="32"/>
      <c r="DF400" s="32"/>
      <c r="DG400" s="32"/>
      <c r="DH400" s="32"/>
      <c r="DI400" s="32"/>
      <c r="DJ400" s="32"/>
      <c r="DK400" s="32"/>
      <c r="DL400" s="32"/>
      <c r="DM400" s="32"/>
      <c r="DN400" s="32"/>
      <c r="DO400" s="32"/>
      <c r="DP400" s="32"/>
      <c r="DQ400" s="32"/>
      <c r="DR400" s="32"/>
      <c r="DS400" s="32"/>
      <c r="DT400" s="32"/>
      <c r="DU400" s="32"/>
      <c r="DV400" s="32"/>
      <c r="DW400" s="32"/>
      <c r="DX400" s="32"/>
      <c r="DY400" s="32"/>
      <c r="DZ400" s="32"/>
      <c r="EA400" s="32"/>
      <c r="EB400" s="32"/>
      <c r="EC400" s="32"/>
      <c r="ED400" s="32"/>
      <c r="EE400" s="32"/>
      <c r="EF400" s="32"/>
      <c r="EG400" s="32"/>
      <c r="EH400" s="32"/>
      <c r="EI400" s="32"/>
      <c r="EJ400" s="32"/>
      <c r="EK400" s="32"/>
    </row>
    <row r="401" spans="42:141">
      <c r="AP401" s="32"/>
      <c r="AQ401" s="32"/>
      <c r="AR401" s="32"/>
      <c r="AS401" s="32"/>
      <c r="AT401" s="32"/>
      <c r="AU401" s="32"/>
      <c r="AV401" s="32"/>
      <c r="AW401" s="32"/>
      <c r="AX401" s="32"/>
      <c r="AY401" s="32"/>
      <c r="AZ401" s="32"/>
      <c r="BA401" s="32"/>
      <c r="BB401" s="32"/>
      <c r="BC401" s="32"/>
      <c r="BD401" s="32"/>
      <c r="BE401" s="32"/>
      <c r="BF401" s="32"/>
      <c r="BG401" s="32"/>
      <c r="BH401" s="32"/>
      <c r="BI401" s="32"/>
      <c r="BJ401" s="32"/>
      <c r="BK401" s="32"/>
      <c r="BL401" s="32"/>
      <c r="BM401" s="32"/>
      <c r="BN401" s="32"/>
      <c r="BO401" s="32"/>
      <c r="BP401" s="32"/>
      <c r="BQ401" s="32"/>
      <c r="BR401" s="32"/>
      <c r="BS401" s="32"/>
      <c r="BT401" s="32"/>
      <c r="BU401" s="32"/>
      <c r="BV401" s="32"/>
      <c r="BW401" s="32"/>
      <c r="BX401" s="32"/>
      <c r="BY401" s="32"/>
      <c r="BZ401" s="32"/>
      <c r="CA401" s="32"/>
      <c r="CB401" s="32"/>
      <c r="CC401" s="32"/>
      <c r="CD401" s="32"/>
      <c r="CE401" s="32"/>
      <c r="CF401" s="32"/>
      <c r="CG401" s="32"/>
      <c r="CH401" s="32"/>
      <c r="CI401" s="32"/>
      <c r="CJ401" s="32"/>
      <c r="CK401" s="32"/>
      <c r="CL401" s="32"/>
      <c r="CM401" s="32"/>
      <c r="CN401" s="32"/>
      <c r="CO401" s="32"/>
      <c r="CP401" s="32"/>
      <c r="CQ401" s="32"/>
      <c r="CR401" s="32"/>
      <c r="CS401" s="32"/>
      <c r="CT401" s="32"/>
      <c r="CU401" s="32"/>
      <c r="CV401" s="32"/>
      <c r="CW401" s="32"/>
      <c r="CX401" s="32"/>
      <c r="CY401" s="32"/>
      <c r="CZ401" s="32"/>
      <c r="DA401" s="32"/>
      <c r="DB401" s="32"/>
      <c r="DC401" s="32"/>
      <c r="DD401" s="32"/>
      <c r="DE401" s="32"/>
      <c r="DF401" s="32"/>
      <c r="DG401" s="32"/>
      <c r="DH401" s="32"/>
      <c r="DI401" s="32"/>
      <c r="DJ401" s="32"/>
      <c r="DK401" s="32"/>
      <c r="DL401" s="32"/>
      <c r="DM401" s="32"/>
      <c r="DN401" s="32"/>
      <c r="DO401" s="32"/>
      <c r="DP401" s="32"/>
      <c r="DQ401" s="32"/>
      <c r="DR401" s="32"/>
      <c r="DS401" s="32"/>
      <c r="DT401" s="32"/>
      <c r="DU401" s="32"/>
      <c r="DV401" s="32"/>
      <c r="DW401" s="32"/>
      <c r="DX401" s="32"/>
      <c r="DY401" s="32"/>
      <c r="DZ401" s="32"/>
      <c r="EA401" s="32"/>
      <c r="EB401" s="32"/>
      <c r="EC401" s="32"/>
      <c r="ED401" s="32"/>
      <c r="EE401" s="32"/>
      <c r="EF401" s="32"/>
      <c r="EG401" s="32"/>
      <c r="EH401" s="32"/>
      <c r="EI401" s="32"/>
      <c r="EJ401" s="32"/>
      <c r="EK401" s="32"/>
    </row>
    <row r="402" spans="42:141">
      <c r="AP402" s="32"/>
      <c r="AQ402" s="32"/>
      <c r="AR402" s="32"/>
      <c r="AS402" s="32"/>
      <c r="AT402" s="32"/>
      <c r="AU402" s="32"/>
      <c r="AV402" s="32"/>
      <c r="AW402" s="32"/>
      <c r="AX402" s="32"/>
      <c r="AY402" s="32"/>
      <c r="AZ402" s="32"/>
      <c r="BA402" s="32"/>
      <c r="BB402" s="32"/>
      <c r="BC402" s="32"/>
      <c r="BD402" s="32"/>
      <c r="BE402" s="32"/>
      <c r="BF402" s="32"/>
      <c r="BG402" s="32"/>
      <c r="BH402" s="32"/>
      <c r="BI402" s="32"/>
      <c r="BJ402" s="32"/>
      <c r="BK402" s="32"/>
      <c r="BL402" s="32"/>
      <c r="BM402" s="32"/>
      <c r="BN402" s="32"/>
      <c r="BO402" s="32"/>
      <c r="BP402" s="32"/>
      <c r="BQ402" s="32"/>
      <c r="BR402" s="32"/>
      <c r="BS402" s="32"/>
      <c r="BT402" s="32"/>
      <c r="BU402" s="32"/>
      <c r="BV402" s="32"/>
      <c r="BW402" s="32"/>
      <c r="BX402" s="32"/>
      <c r="BY402" s="32"/>
      <c r="BZ402" s="32"/>
      <c r="CA402" s="32"/>
      <c r="CB402" s="32"/>
      <c r="CC402" s="32"/>
      <c r="CD402" s="32"/>
      <c r="CE402" s="32"/>
      <c r="CF402" s="32"/>
      <c r="CG402" s="32"/>
      <c r="CH402" s="32"/>
      <c r="CI402" s="32"/>
      <c r="CJ402" s="32"/>
      <c r="CK402" s="32"/>
      <c r="CL402" s="32"/>
      <c r="CM402" s="32"/>
      <c r="CN402" s="32"/>
      <c r="CO402" s="32"/>
      <c r="CP402" s="32"/>
      <c r="CQ402" s="32"/>
      <c r="CR402" s="32"/>
      <c r="CS402" s="32"/>
      <c r="CT402" s="32"/>
      <c r="CU402" s="32"/>
      <c r="CV402" s="32"/>
      <c r="CW402" s="32"/>
      <c r="CX402" s="32"/>
      <c r="CY402" s="32"/>
      <c r="CZ402" s="32"/>
      <c r="DA402" s="32"/>
      <c r="DB402" s="32"/>
      <c r="DC402" s="32"/>
      <c r="DD402" s="32"/>
      <c r="DE402" s="32"/>
      <c r="DF402" s="32"/>
      <c r="DG402" s="32"/>
      <c r="DH402" s="32"/>
      <c r="DI402" s="32"/>
      <c r="DJ402" s="32"/>
      <c r="DK402" s="32"/>
      <c r="DL402" s="32"/>
      <c r="DM402" s="32"/>
      <c r="DN402" s="32"/>
      <c r="DO402" s="32"/>
      <c r="DP402" s="32"/>
      <c r="DQ402" s="32"/>
      <c r="DR402" s="32"/>
      <c r="DS402" s="32"/>
      <c r="DT402" s="32"/>
      <c r="DU402" s="32"/>
      <c r="DV402" s="32"/>
      <c r="DW402" s="32"/>
      <c r="DX402" s="32"/>
      <c r="DY402" s="32"/>
      <c r="DZ402" s="32"/>
      <c r="EA402" s="32"/>
      <c r="EB402" s="32"/>
      <c r="EC402" s="32"/>
      <c r="ED402" s="32"/>
      <c r="EE402" s="32"/>
      <c r="EF402" s="32"/>
      <c r="EG402" s="32"/>
      <c r="EH402" s="32"/>
      <c r="EI402" s="32"/>
      <c r="EJ402" s="32"/>
      <c r="EK402" s="32"/>
    </row>
    <row r="403" spans="42:141">
      <c r="AP403" s="32"/>
      <c r="AQ403" s="32"/>
      <c r="AR403" s="32"/>
      <c r="AS403" s="32"/>
      <c r="AT403" s="32"/>
      <c r="AU403" s="32"/>
      <c r="AV403" s="32"/>
      <c r="AW403" s="32"/>
      <c r="AX403" s="32"/>
      <c r="AY403" s="32"/>
      <c r="AZ403" s="32"/>
      <c r="BA403" s="32"/>
      <c r="BB403" s="32"/>
      <c r="BC403" s="32"/>
      <c r="BD403" s="32"/>
      <c r="BE403" s="32"/>
      <c r="BF403" s="32"/>
      <c r="BG403" s="32"/>
      <c r="BH403" s="32"/>
      <c r="BI403" s="32"/>
      <c r="BJ403" s="32"/>
      <c r="BK403" s="32"/>
      <c r="BL403" s="32"/>
      <c r="BM403" s="32"/>
      <c r="BN403" s="32"/>
      <c r="BO403" s="32"/>
      <c r="BP403" s="32"/>
      <c r="BQ403" s="32"/>
      <c r="BR403" s="32"/>
      <c r="BS403" s="32"/>
      <c r="BT403" s="32"/>
      <c r="BU403" s="32"/>
      <c r="BV403" s="32"/>
      <c r="BW403" s="32"/>
      <c r="BX403" s="32"/>
      <c r="BY403" s="32"/>
      <c r="BZ403" s="32"/>
      <c r="CA403" s="32"/>
      <c r="CB403" s="32"/>
      <c r="CC403" s="32"/>
      <c r="CD403" s="32"/>
      <c r="CE403" s="32"/>
      <c r="CF403" s="32"/>
      <c r="CG403" s="32"/>
      <c r="CH403" s="32"/>
      <c r="CI403" s="32"/>
      <c r="CJ403" s="32"/>
      <c r="CK403" s="32"/>
      <c r="CL403" s="32"/>
      <c r="CM403" s="32"/>
      <c r="CN403" s="32"/>
      <c r="CO403" s="32"/>
      <c r="CP403" s="32"/>
      <c r="CQ403" s="32"/>
      <c r="CR403" s="32"/>
      <c r="CS403" s="32"/>
      <c r="CT403" s="32"/>
      <c r="CU403" s="32"/>
      <c r="CV403" s="32"/>
      <c r="CW403" s="32"/>
      <c r="CX403" s="32"/>
      <c r="CY403" s="32"/>
      <c r="CZ403" s="32"/>
      <c r="DA403" s="32"/>
      <c r="DB403" s="32"/>
      <c r="DC403" s="32"/>
      <c r="DD403" s="32"/>
      <c r="DE403" s="32"/>
      <c r="DF403" s="32"/>
      <c r="DG403" s="32"/>
      <c r="DH403" s="32"/>
      <c r="DI403" s="32"/>
      <c r="DJ403" s="32"/>
      <c r="DK403" s="32"/>
      <c r="DL403" s="32"/>
      <c r="DM403" s="32"/>
      <c r="DN403" s="32"/>
      <c r="DO403" s="32"/>
      <c r="DP403" s="32"/>
      <c r="DQ403" s="32"/>
      <c r="DR403" s="32"/>
      <c r="DS403" s="32"/>
      <c r="DT403" s="32"/>
      <c r="DU403" s="32"/>
      <c r="DV403" s="32"/>
      <c r="DW403" s="32"/>
      <c r="DX403" s="32"/>
      <c r="DY403" s="32"/>
      <c r="DZ403" s="32"/>
      <c r="EA403" s="32"/>
      <c r="EB403" s="32"/>
      <c r="EC403" s="32"/>
      <c r="ED403" s="32"/>
      <c r="EE403" s="32"/>
      <c r="EF403" s="32"/>
      <c r="EG403" s="32"/>
      <c r="EH403" s="32"/>
      <c r="EI403" s="32"/>
      <c r="EJ403" s="32"/>
      <c r="EK403" s="32"/>
    </row>
    <row r="404" spans="42:141">
      <c r="AP404" s="32"/>
      <c r="AQ404" s="32"/>
      <c r="AR404" s="32"/>
      <c r="AS404" s="32"/>
      <c r="AT404" s="32"/>
      <c r="AU404" s="32"/>
      <c r="AV404" s="32"/>
      <c r="AW404" s="32"/>
      <c r="AX404" s="32"/>
      <c r="AY404" s="32"/>
      <c r="AZ404" s="32"/>
      <c r="BA404" s="32"/>
      <c r="BB404" s="32"/>
      <c r="BC404" s="32"/>
      <c r="BD404" s="32"/>
      <c r="BE404" s="32"/>
      <c r="BF404" s="32"/>
      <c r="BG404" s="32"/>
      <c r="BH404" s="32"/>
      <c r="BI404" s="32"/>
      <c r="BJ404" s="32"/>
      <c r="BK404" s="32"/>
      <c r="BL404" s="32"/>
      <c r="BM404" s="32"/>
      <c r="BN404" s="32"/>
      <c r="BO404" s="32"/>
      <c r="BP404" s="32"/>
      <c r="BQ404" s="32"/>
      <c r="BR404" s="32"/>
      <c r="BS404" s="32"/>
      <c r="BT404" s="32"/>
      <c r="BU404" s="32"/>
      <c r="BV404" s="32"/>
      <c r="BW404" s="32"/>
      <c r="BX404" s="32"/>
      <c r="BY404" s="32"/>
      <c r="BZ404" s="32"/>
      <c r="CA404" s="32"/>
      <c r="CB404" s="32"/>
      <c r="CC404" s="32"/>
      <c r="CD404" s="32"/>
      <c r="CE404" s="32"/>
      <c r="CF404" s="32"/>
      <c r="CG404" s="32"/>
      <c r="CH404" s="32"/>
      <c r="CI404" s="32"/>
      <c r="CJ404" s="32"/>
      <c r="CK404" s="32"/>
      <c r="CL404" s="32"/>
      <c r="CM404" s="32"/>
      <c r="CN404" s="32"/>
      <c r="CO404" s="32"/>
      <c r="CP404" s="32"/>
      <c r="CQ404" s="32"/>
      <c r="CR404" s="32"/>
      <c r="CS404" s="32"/>
      <c r="CT404" s="32"/>
      <c r="CU404" s="32"/>
      <c r="CV404" s="32"/>
      <c r="CW404" s="32"/>
      <c r="CX404" s="32"/>
      <c r="CY404" s="32"/>
      <c r="CZ404" s="32"/>
      <c r="DA404" s="32"/>
      <c r="DB404" s="32"/>
      <c r="DC404" s="32"/>
      <c r="DD404" s="32"/>
      <c r="DE404" s="32"/>
      <c r="DF404" s="32"/>
      <c r="DG404" s="32"/>
      <c r="DH404" s="32"/>
      <c r="DI404" s="32"/>
      <c r="DJ404" s="32"/>
      <c r="DK404" s="32"/>
      <c r="DL404" s="32"/>
      <c r="DM404" s="32"/>
      <c r="DN404" s="32"/>
      <c r="DO404" s="32"/>
      <c r="DP404" s="32"/>
      <c r="DQ404" s="32"/>
      <c r="DR404" s="32"/>
      <c r="DS404" s="32"/>
      <c r="DT404" s="32"/>
      <c r="DU404" s="32"/>
      <c r="DV404" s="32"/>
      <c r="DW404" s="32"/>
      <c r="DX404" s="32"/>
      <c r="DY404" s="32"/>
      <c r="DZ404" s="32"/>
      <c r="EA404" s="32"/>
      <c r="EB404" s="32"/>
      <c r="EC404" s="32"/>
      <c r="ED404" s="32"/>
      <c r="EE404" s="32"/>
      <c r="EF404" s="32"/>
      <c r="EG404" s="32"/>
      <c r="EH404" s="32"/>
      <c r="EI404" s="32"/>
      <c r="EJ404" s="32"/>
      <c r="EK404" s="32"/>
    </row>
    <row r="405" spans="42:141">
      <c r="AP405" s="32"/>
      <c r="AQ405" s="32"/>
      <c r="AR405" s="32"/>
      <c r="AS405" s="32"/>
      <c r="AT405" s="32"/>
      <c r="AU405" s="32"/>
      <c r="AV405" s="32"/>
      <c r="AW405" s="32"/>
      <c r="AX405" s="32"/>
      <c r="AY405" s="32"/>
      <c r="AZ405" s="32"/>
      <c r="BA405" s="32"/>
      <c r="BB405" s="32"/>
      <c r="BC405" s="32"/>
      <c r="BD405" s="32"/>
      <c r="BE405" s="32"/>
      <c r="BF405" s="32"/>
      <c r="BG405" s="32"/>
      <c r="BH405" s="32"/>
      <c r="BI405" s="32"/>
      <c r="BJ405" s="32"/>
      <c r="BK405" s="32"/>
      <c r="BL405" s="32"/>
      <c r="BM405" s="32"/>
      <c r="BN405" s="32"/>
      <c r="BO405" s="32"/>
      <c r="BP405" s="32"/>
      <c r="BQ405" s="32"/>
      <c r="BR405" s="32"/>
      <c r="BS405" s="32"/>
      <c r="BT405" s="32"/>
      <c r="BU405" s="32"/>
      <c r="BV405" s="32"/>
      <c r="BW405" s="32"/>
      <c r="BX405" s="32"/>
      <c r="BY405" s="32"/>
      <c r="BZ405" s="32"/>
      <c r="CA405" s="32"/>
      <c r="CB405" s="32"/>
      <c r="CC405" s="32"/>
      <c r="CD405" s="32"/>
      <c r="CE405" s="32"/>
      <c r="CF405" s="32"/>
      <c r="CG405" s="32"/>
      <c r="CH405" s="32"/>
      <c r="CI405" s="32"/>
      <c r="CJ405" s="32"/>
      <c r="CK405" s="32"/>
      <c r="CL405" s="32"/>
      <c r="CM405" s="32"/>
      <c r="CN405" s="32"/>
      <c r="CO405" s="32"/>
      <c r="CP405" s="32"/>
      <c r="CQ405" s="32"/>
      <c r="CR405" s="32"/>
      <c r="CS405" s="32"/>
      <c r="CT405" s="32"/>
      <c r="CU405" s="32"/>
      <c r="CV405" s="32"/>
      <c r="CW405" s="32"/>
      <c r="CX405" s="32"/>
      <c r="CY405" s="32"/>
      <c r="CZ405" s="32"/>
      <c r="DA405" s="32"/>
      <c r="DB405" s="32"/>
      <c r="DC405" s="32"/>
      <c r="DD405" s="32"/>
      <c r="DE405" s="32"/>
      <c r="DF405" s="32"/>
      <c r="DG405" s="32"/>
      <c r="DH405" s="32"/>
      <c r="DI405" s="32"/>
      <c r="DJ405" s="32"/>
      <c r="DK405" s="32"/>
      <c r="DL405" s="32"/>
      <c r="DM405" s="32"/>
      <c r="DN405" s="32"/>
      <c r="DO405" s="32"/>
      <c r="DP405" s="32"/>
      <c r="DQ405" s="32"/>
      <c r="DR405" s="32"/>
      <c r="DS405" s="32"/>
      <c r="DT405" s="32"/>
      <c r="DU405" s="32"/>
      <c r="DV405" s="32"/>
      <c r="DW405" s="32"/>
      <c r="DX405" s="32"/>
      <c r="DY405" s="32"/>
      <c r="DZ405" s="32"/>
      <c r="EA405" s="32"/>
      <c r="EB405" s="32"/>
      <c r="EC405" s="32"/>
      <c r="ED405" s="32"/>
      <c r="EE405" s="32"/>
      <c r="EF405" s="32"/>
      <c r="EG405" s="32"/>
      <c r="EH405" s="32"/>
      <c r="EI405" s="32"/>
      <c r="EJ405" s="32"/>
      <c r="EK405" s="32"/>
    </row>
    <row r="406" spans="42:141">
      <c r="AP406" s="32"/>
      <c r="AQ406" s="32"/>
      <c r="AR406" s="32"/>
      <c r="AS406" s="32"/>
      <c r="AT406" s="32"/>
      <c r="AU406" s="32"/>
      <c r="AV406" s="32"/>
      <c r="AW406" s="32"/>
      <c r="AX406" s="32"/>
      <c r="AY406" s="32"/>
      <c r="AZ406" s="32"/>
      <c r="BA406" s="32"/>
      <c r="BB406" s="32"/>
      <c r="BC406" s="32"/>
      <c r="BD406" s="32"/>
      <c r="BE406" s="32"/>
      <c r="BF406" s="32"/>
      <c r="BG406" s="32"/>
      <c r="BH406" s="32"/>
      <c r="BI406" s="32"/>
      <c r="BJ406" s="32"/>
      <c r="BK406" s="32"/>
      <c r="BL406" s="32"/>
      <c r="BM406" s="32"/>
      <c r="BN406" s="32"/>
      <c r="BO406" s="32"/>
      <c r="BP406" s="32"/>
      <c r="BQ406" s="32"/>
      <c r="BR406" s="32"/>
      <c r="BS406" s="32"/>
      <c r="BT406" s="32"/>
      <c r="BU406" s="32"/>
      <c r="BV406" s="32"/>
      <c r="BW406" s="32"/>
      <c r="BX406" s="32"/>
      <c r="BY406" s="32"/>
      <c r="BZ406" s="32"/>
      <c r="CA406" s="32"/>
      <c r="CB406" s="32"/>
      <c r="CC406" s="32"/>
      <c r="CD406" s="32"/>
      <c r="CE406" s="32"/>
      <c r="CF406" s="32"/>
      <c r="CG406" s="32"/>
      <c r="CH406" s="32"/>
      <c r="CI406" s="32"/>
      <c r="CJ406" s="32"/>
      <c r="CK406" s="32"/>
      <c r="CL406" s="32"/>
      <c r="CM406" s="32"/>
      <c r="CN406" s="32"/>
      <c r="CO406" s="32"/>
      <c r="CP406" s="32"/>
      <c r="CQ406" s="32"/>
      <c r="CR406" s="32"/>
      <c r="CS406" s="32"/>
      <c r="CT406" s="32"/>
      <c r="CU406" s="32"/>
      <c r="CV406" s="32"/>
      <c r="CW406" s="32"/>
      <c r="CX406" s="32"/>
      <c r="CY406" s="32"/>
      <c r="CZ406" s="32"/>
      <c r="DA406" s="32"/>
      <c r="DB406" s="32"/>
      <c r="DC406" s="32"/>
      <c r="DD406" s="32"/>
      <c r="DE406" s="32"/>
      <c r="DF406" s="32"/>
      <c r="DG406" s="32"/>
      <c r="DH406" s="32"/>
      <c r="DI406" s="32"/>
      <c r="DJ406" s="32"/>
      <c r="DK406" s="32"/>
      <c r="DL406" s="32"/>
      <c r="DM406" s="32"/>
      <c r="DN406" s="32"/>
      <c r="DO406" s="32"/>
      <c r="DP406" s="32"/>
      <c r="DQ406" s="32"/>
      <c r="DR406" s="32"/>
      <c r="DS406" s="32"/>
      <c r="DT406" s="32"/>
      <c r="DU406" s="32"/>
      <c r="DV406" s="32"/>
      <c r="DW406" s="32"/>
      <c r="DX406" s="32"/>
      <c r="DY406" s="32"/>
      <c r="DZ406" s="32"/>
      <c r="EA406" s="32"/>
      <c r="EB406" s="32"/>
      <c r="EC406" s="32"/>
      <c r="ED406" s="32"/>
      <c r="EE406" s="32"/>
      <c r="EF406" s="32"/>
      <c r="EG406" s="32"/>
      <c r="EH406" s="32"/>
      <c r="EI406" s="32"/>
      <c r="EJ406" s="32"/>
      <c r="EK406" s="32"/>
    </row>
    <row r="407" spans="42:141">
      <c r="AP407" s="32"/>
      <c r="AQ407" s="32"/>
      <c r="AR407" s="32"/>
      <c r="AS407" s="32"/>
      <c r="AT407" s="32"/>
      <c r="AU407" s="32"/>
      <c r="AV407" s="32"/>
      <c r="AW407" s="32"/>
      <c r="AX407" s="32"/>
      <c r="AY407" s="32"/>
      <c r="AZ407" s="32"/>
      <c r="BA407" s="32"/>
      <c r="BB407" s="32"/>
      <c r="BC407" s="32"/>
      <c r="BD407" s="32"/>
      <c r="BE407" s="32"/>
      <c r="BF407" s="32"/>
      <c r="BG407" s="32"/>
      <c r="BH407" s="32"/>
      <c r="BI407" s="32"/>
      <c r="BJ407" s="32"/>
      <c r="BK407" s="32"/>
      <c r="BL407" s="32"/>
      <c r="BM407" s="32"/>
      <c r="BN407" s="32"/>
      <c r="BO407" s="32"/>
      <c r="BP407" s="32"/>
      <c r="BQ407" s="32"/>
      <c r="BR407" s="32"/>
      <c r="BS407" s="32"/>
      <c r="BT407" s="32"/>
      <c r="BU407" s="32"/>
      <c r="BV407" s="32"/>
      <c r="BW407" s="32"/>
      <c r="BX407" s="32"/>
      <c r="BY407" s="32"/>
      <c r="BZ407" s="32"/>
      <c r="CA407" s="32"/>
      <c r="CB407" s="32"/>
      <c r="CC407" s="32"/>
      <c r="CD407" s="32"/>
      <c r="CE407" s="32"/>
      <c r="CF407" s="32"/>
      <c r="CG407" s="32"/>
      <c r="CH407" s="32"/>
      <c r="CI407" s="32"/>
      <c r="CJ407" s="32"/>
      <c r="CK407" s="32"/>
      <c r="CL407" s="32"/>
      <c r="CM407" s="32"/>
      <c r="CN407" s="32"/>
      <c r="CO407" s="32"/>
      <c r="CP407" s="32"/>
      <c r="CQ407" s="32"/>
      <c r="CR407" s="32"/>
      <c r="CS407" s="32"/>
      <c r="CT407" s="32"/>
      <c r="CU407" s="32"/>
      <c r="CV407" s="32"/>
      <c r="CW407" s="32"/>
      <c r="CX407" s="32"/>
      <c r="CY407" s="32"/>
      <c r="CZ407" s="32"/>
      <c r="DA407" s="32"/>
      <c r="DB407" s="32"/>
      <c r="DC407" s="32"/>
      <c r="DD407" s="32"/>
      <c r="DE407" s="32"/>
      <c r="DF407" s="32"/>
      <c r="DG407" s="32"/>
      <c r="DH407" s="32"/>
      <c r="DI407" s="32"/>
      <c r="DJ407" s="32"/>
      <c r="DK407" s="32"/>
      <c r="DL407" s="32"/>
      <c r="DM407" s="32"/>
      <c r="DN407" s="32"/>
      <c r="DO407" s="32"/>
      <c r="DP407" s="32"/>
      <c r="DQ407" s="32"/>
      <c r="DR407" s="32"/>
      <c r="DS407" s="32"/>
      <c r="DT407" s="32"/>
      <c r="DU407" s="32"/>
      <c r="DV407" s="32"/>
      <c r="DW407" s="32"/>
      <c r="DX407" s="32"/>
      <c r="DY407" s="32"/>
      <c r="DZ407" s="32"/>
      <c r="EA407" s="32"/>
      <c r="EB407" s="32"/>
      <c r="EC407" s="32"/>
      <c r="ED407" s="32"/>
      <c r="EE407" s="32"/>
      <c r="EF407" s="32"/>
      <c r="EG407" s="32"/>
      <c r="EH407" s="32"/>
      <c r="EI407" s="32"/>
      <c r="EJ407" s="32"/>
      <c r="EK407" s="32"/>
    </row>
    <row r="408" spans="42:141">
      <c r="AP408" s="32"/>
      <c r="AQ408" s="32"/>
      <c r="AR408" s="32"/>
      <c r="AS408" s="32"/>
      <c r="AT408" s="32"/>
      <c r="AU408" s="32"/>
      <c r="AV408" s="32"/>
      <c r="AW408" s="32"/>
      <c r="AX408" s="32"/>
      <c r="AY408" s="32"/>
      <c r="AZ408" s="32"/>
      <c r="BA408" s="32"/>
      <c r="BB408" s="32"/>
      <c r="BC408" s="32"/>
      <c r="BD408" s="32"/>
      <c r="BE408" s="32"/>
      <c r="BF408" s="32"/>
      <c r="BG408" s="32"/>
      <c r="BH408" s="32"/>
      <c r="BI408" s="32"/>
      <c r="BJ408" s="32"/>
      <c r="BK408" s="32"/>
      <c r="BL408" s="32"/>
      <c r="BM408" s="32"/>
      <c r="BN408" s="32"/>
      <c r="BO408" s="32"/>
      <c r="BP408" s="32"/>
      <c r="BQ408" s="32"/>
      <c r="BR408" s="32"/>
      <c r="BS408" s="32"/>
      <c r="BT408" s="32"/>
      <c r="BU408" s="32"/>
      <c r="BV408" s="32"/>
      <c r="BW408" s="32"/>
      <c r="BX408" s="32"/>
      <c r="BY408" s="32"/>
      <c r="BZ408" s="32"/>
      <c r="CA408" s="32"/>
      <c r="CB408" s="32"/>
      <c r="CC408" s="32"/>
      <c r="CD408" s="32"/>
      <c r="CE408" s="32"/>
      <c r="CF408" s="32"/>
      <c r="CG408" s="32"/>
      <c r="CH408" s="32"/>
      <c r="CI408" s="32"/>
      <c r="CJ408" s="32"/>
      <c r="CK408" s="32"/>
      <c r="CL408" s="32"/>
      <c r="CM408" s="32"/>
      <c r="CN408" s="32"/>
      <c r="CO408" s="32"/>
      <c r="CP408" s="32"/>
      <c r="CQ408" s="32"/>
      <c r="CR408" s="32"/>
      <c r="CS408" s="32"/>
      <c r="CT408" s="32"/>
      <c r="CU408" s="32"/>
      <c r="CV408" s="32"/>
      <c r="CW408" s="32"/>
      <c r="CX408" s="32"/>
      <c r="CY408" s="32"/>
      <c r="CZ408" s="32"/>
      <c r="DA408" s="32"/>
      <c r="DB408" s="32"/>
      <c r="DC408" s="32"/>
      <c r="DD408" s="32"/>
      <c r="DE408" s="32"/>
      <c r="DF408" s="32"/>
      <c r="DG408" s="32"/>
      <c r="DH408" s="32"/>
      <c r="DI408" s="32"/>
      <c r="DJ408" s="32"/>
      <c r="DK408" s="32"/>
      <c r="DL408" s="32"/>
      <c r="DM408" s="32"/>
      <c r="DN408" s="32"/>
      <c r="DO408" s="32"/>
      <c r="DP408" s="32"/>
      <c r="DQ408" s="32"/>
      <c r="DR408" s="32"/>
      <c r="DS408" s="32"/>
      <c r="DT408" s="32"/>
      <c r="DU408" s="32"/>
      <c r="DV408" s="32"/>
      <c r="DW408" s="32"/>
      <c r="DX408" s="32"/>
      <c r="DY408" s="32"/>
      <c r="DZ408" s="32"/>
      <c r="EA408" s="32"/>
      <c r="EB408" s="32"/>
      <c r="EC408" s="32"/>
      <c r="ED408" s="32"/>
      <c r="EE408" s="32"/>
      <c r="EF408" s="32"/>
      <c r="EG408" s="32"/>
      <c r="EH408" s="32"/>
      <c r="EI408" s="32"/>
      <c r="EJ408" s="32"/>
      <c r="EK408" s="32"/>
    </row>
    <row r="1000" spans="648:648" ht="15.75">
      <c r="XX1000" s="151">
        <v>125713</v>
      </c>
    </row>
  </sheetData>
  <mergeCells count="5">
    <mergeCell ref="G53:R53"/>
    <mergeCell ref="G54:R54"/>
    <mergeCell ref="G55:R55"/>
    <mergeCell ref="G56:R56"/>
    <mergeCell ref="G57:R57"/>
  </mergeCell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17" id="{0D6FD747-C5D9-470F-8B3D-E27778167629}">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F53:F57</xm:sqref>
        </x14:conditionalFormatting>
        <x14:conditionalFormatting xmlns:xm="http://schemas.microsoft.com/office/excel/2006/main">
          <x14:cfRule type="iconSet" priority="24" id="{78F35F11-A1DB-4A94-A521-3481CDF2052A}">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F63:F65</xm:sqref>
        </x14:conditionalFormatting>
        <x14:conditionalFormatting xmlns:xm="http://schemas.microsoft.com/office/excel/2006/main">
          <x14:cfRule type="iconSet" priority="21" id="{6EA5A6EE-7190-494D-B8BA-7E66AD8E0988}">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F68:F70</xm:sqref>
        </x14:conditionalFormatting>
        <x14:conditionalFormatting xmlns:xm="http://schemas.microsoft.com/office/excel/2006/main">
          <x14:cfRule type="iconSet" priority="16" id="{AD15F696-7130-4FC6-AFD5-33B9937E8CD8}">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F74</xm:sqref>
        </x14:conditionalFormatting>
        <x14:conditionalFormatting xmlns:xm="http://schemas.microsoft.com/office/excel/2006/main">
          <x14:cfRule type="iconSet" priority="9" id="{A8198740-3EFA-467E-BCB3-259F5A5872F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F76:F95</xm:sqref>
        </x14:conditionalFormatting>
        <x14:conditionalFormatting xmlns:xm="http://schemas.microsoft.com/office/excel/2006/main">
          <x14:cfRule type="iconSet" priority="20" id="{3DDB738F-6D30-415E-8718-B692804160AA}">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F103:F106</xm:sqref>
        </x14:conditionalFormatting>
        <x14:conditionalFormatting xmlns:xm="http://schemas.microsoft.com/office/excel/2006/main">
          <x14:cfRule type="iconSet" priority="15" id="{6C3CDB6E-07E3-477C-8B59-3D118D9E4208}">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F110</xm:sqref>
        </x14:conditionalFormatting>
        <x14:conditionalFormatting xmlns:xm="http://schemas.microsoft.com/office/excel/2006/main">
          <x14:cfRule type="iconSet" priority="8" id="{A67498C7-1625-41C7-B82A-D4CD8E307AA0}">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F112:F131</xm:sqref>
        </x14:conditionalFormatting>
        <x14:conditionalFormatting xmlns:xm="http://schemas.microsoft.com/office/excel/2006/main">
          <x14:cfRule type="iconSet" priority="14" id="{CD24C41E-43C2-4412-B6F7-8770AF876615}">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F138:F142</xm:sqref>
        </x14:conditionalFormatting>
        <x14:conditionalFormatting xmlns:xm="http://schemas.microsoft.com/office/excel/2006/main">
          <x14:cfRule type="iconSet" priority="13" id="{6DEA35E1-8F36-4B00-98A5-D091A1F0B184}">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F146</xm:sqref>
        </x14:conditionalFormatting>
        <x14:conditionalFormatting xmlns:xm="http://schemas.microsoft.com/office/excel/2006/main">
          <x14:cfRule type="iconSet" priority="7" id="{F218F394-3B6B-478F-BEEE-B85641033951}">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F148:F167</xm:sqref>
        </x14:conditionalFormatting>
        <x14:conditionalFormatting xmlns:xm="http://schemas.microsoft.com/office/excel/2006/main">
          <x14:cfRule type="iconSet" priority="10" id="{517AE05B-6E19-4801-89B2-EC07A965A7F9}">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F183</xm:sqref>
        </x14:conditionalFormatting>
        <x14:conditionalFormatting xmlns:xm="http://schemas.microsoft.com/office/excel/2006/main">
          <x14:cfRule type="iconSet" priority="6" id="{EFF2145F-EC78-4B8C-B556-BD7E31C19100}">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F185:F204</xm:sqref>
        </x14:conditionalFormatting>
        <x14:conditionalFormatting xmlns:xm="http://schemas.microsoft.com/office/excel/2006/main">
          <x14:cfRule type="iconSet" priority="3" id="{B5D5B16F-420C-4AC7-AB91-D393D5C58405}">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F213:F216</xm:sqref>
        </x14:conditionalFormatting>
        <x14:conditionalFormatting xmlns:xm="http://schemas.microsoft.com/office/excel/2006/main">
          <x14:cfRule type="iconSet" priority="2" id="{D2DCE3A1-C380-4239-8C03-B9AD4EC7FDE7}">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F220</xm:sqref>
        </x14:conditionalFormatting>
        <x14:conditionalFormatting xmlns:xm="http://schemas.microsoft.com/office/excel/2006/main">
          <x14:cfRule type="iconSet" priority="1" id="{E2FE426A-DCE9-4DD0-8FC2-82E577EFAC4F}">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F222:F241</xm:sqref>
        </x14:conditionalFormatting>
        <x14:conditionalFormatting xmlns:xm="http://schemas.microsoft.com/office/excel/2006/main">
          <x14:cfRule type="iconSet" priority="19" id="{0B9B5B20-A3A9-4F38-AAC5-E96FDCB551EA}">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F251:F254</xm:sqref>
        </x14:conditionalFormatting>
        <x14:conditionalFormatting xmlns:xm="http://schemas.microsoft.com/office/excel/2006/main">
          <x14:cfRule type="iconSet" priority="12" id="{829C3D13-967A-442B-8EB0-62722F8B712C}">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F258</xm:sqref>
        </x14:conditionalFormatting>
        <x14:conditionalFormatting xmlns:xm="http://schemas.microsoft.com/office/excel/2006/main">
          <x14:cfRule type="iconSet" priority="5" id="{C895CACD-D64E-4E3E-ABDA-15E7EBBEE293}">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F260:F279</xm:sqref>
        </x14:conditionalFormatting>
        <x14:conditionalFormatting xmlns:xm="http://schemas.microsoft.com/office/excel/2006/main">
          <x14:cfRule type="iconSet" priority="18" id="{B891D2F7-401E-4831-BD48-C271E4BC3697}">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F294:F296</xm:sqref>
        </x14:conditionalFormatting>
        <x14:conditionalFormatting xmlns:xm="http://schemas.microsoft.com/office/excel/2006/main">
          <x14:cfRule type="iconSet" priority="23" id="{72E472CC-0F8B-4DDA-84E0-8D465FFF6B7A}">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F298:F322 F256:F293 F66:F67 F108:F137 F144:F179 F184:F212 F218:F250 F71:F102 B71:E71 F54:F62 B107:F107 B143:F143 F181:F182 B180:F180 B217:F217 B255:F255 B297:F297</xm:sqref>
        </x14:conditionalFormatting>
        <x14:conditionalFormatting xmlns:xm="http://schemas.microsoft.com/office/excel/2006/main">
          <x14:cfRule type="iconSet" priority="11" id="{4252A3F3-B76B-4EAB-B30A-F46F85C0B86F}">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F300</xm:sqref>
        </x14:conditionalFormatting>
        <x14:conditionalFormatting xmlns:xm="http://schemas.microsoft.com/office/excel/2006/main">
          <x14:cfRule type="iconSet" priority="4" id="{D9DB7D35-5A6F-4959-B9E2-8C55BBFA0548}">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F302:F321</xm:sqref>
        </x14:conditionalFormatting>
        <x14:conditionalFormatting xmlns:xm="http://schemas.microsoft.com/office/excel/2006/main">
          <x14:cfRule type="iconSet" priority="22" id="{9D896DB8-9D45-4C56-9CC8-33A49D7102D9}">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F364:F365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4</vt:i4>
      </vt:variant>
    </vt:vector>
  </HeadingPairs>
  <TitlesOfParts>
    <vt:vector size="4" baseType="lpstr">
      <vt:lpstr>Cover</vt:lpstr>
      <vt:lpstr>Case</vt:lpstr>
      <vt:lpstr>Graded Answers</vt:lpstr>
      <vt:lpstr>Answers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Financial Modeling World Cup</dc:creator>
  <cp:keywords/>
  <dc:description/>
  <cp:lastModifiedBy>Maciej Kopczyński</cp:lastModifiedBy>
  <cp:revision/>
  <dcterms:created xsi:type="dcterms:W3CDTF">2021-08-11T13:47:05Z</dcterms:created>
  <dcterms:modified xsi:type="dcterms:W3CDTF">2026-03-01T19:59:56Z</dcterms:modified>
  <cp:category/>
  <cp:contentStatus/>
</cp:coreProperties>
</file>