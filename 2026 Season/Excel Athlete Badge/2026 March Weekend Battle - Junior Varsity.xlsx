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6"/>
  <workbookPr codeName="ThisWorkbook" defaultThemeVersion="166925"/>
  <mc:AlternateContent xmlns:mc="http://schemas.openxmlformats.org/markup-compatibility/2006">
    <mc:Choice Requires="x15">
      <x15ac:absPath xmlns:x15ac="http://schemas.microsoft.com/office/spreadsheetml/2010/11/ac" url="https://d.docs.live.net/29f448ec057303af/Pulpit/"/>
    </mc:Choice>
  </mc:AlternateContent>
  <xr:revisionPtr revIDLastSave="179" documentId="8_{339B5101-A7A4-4973-9F56-556CAA4A6E5C}" xr6:coauthVersionLast="47" xr6:coauthVersionMax="47" xr10:uidLastSave="{53AF0862-C1FE-4576-980D-470B81EA1CA8}"/>
  <bookViews>
    <workbookView xWindow="-105" yWindow="0" windowWidth="26010" windowHeight="20985" xr2:uid="{114A3ACC-2F61-4F50-A5CF-63A86B2334B2}"/>
  </bookViews>
  <sheets>
    <sheet name="Case" sheetId="125" r:id="rId1"/>
    <sheet name="Graded Answers" sheetId="126" r:id="rId2"/>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7" i="125" l="1"/>
  <c r="E218" i="125"/>
  <c r="E219" i="125"/>
  <c r="E220" i="125"/>
  <c r="E221" i="125"/>
  <c r="E222" i="125"/>
  <c r="E223" i="125"/>
  <c r="E224" i="125"/>
  <c r="E225" i="125"/>
  <c r="E226" i="125"/>
  <c r="E227" i="125"/>
  <c r="E228" i="125"/>
  <c r="E229" i="125"/>
  <c r="E230" i="125"/>
  <c r="E231" i="125"/>
  <c r="E232" i="125"/>
  <c r="E233" i="125"/>
  <c r="E234" i="125"/>
  <c r="E235" i="125"/>
  <c r="E216" i="125"/>
  <c r="J261" i="125" a="1"/>
  <c r="J261" i="125" s="1"/>
  <c r="E306" i="125" a="1"/>
  <c r="L149" i="126"/>
  <c r="J148" i="126"/>
  <c r="D148" i="126"/>
  <c r="E109" i="125"/>
  <c r="N129" i="125"/>
  <c r="E26" i="125"/>
  <c r="E25" i="125"/>
  <c r="E261" i="125" a="1"/>
  <c r="E261" i="125" s="1"/>
  <c r="E174" i="125"/>
  <c r="E169" i="125"/>
  <c r="Z171" i="125"/>
  <c r="X171" i="125"/>
  <c r="V171" i="125"/>
  <c r="T171" i="125"/>
  <c r="R171" i="125"/>
  <c r="E131" i="125"/>
  <c r="E130" i="125"/>
  <c r="E129" i="125"/>
  <c r="E51" i="125"/>
  <c r="C3" i="126"/>
  <c r="C89" i="126"/>
  <c r="C90" i="126"/>
  <c r="C91" i="126"/>
  <c r="C92" i="126"/>
  <c r="C93" i="126"/>
  <c r="C94" i="126"/>
  <c r="C95" i="126"/>
  <c r="C96" i="126"/>
  <c r="C97" i="126"/>
  <c r="C98" i="126"/>
  <c r="C99" i="126"/>
  <c r="C100" i="126"/>
  <c r="C101" i="126"/>
  <c r="C102" i="126"/>
  <c r="C103" i="126"/>
  <c r="C104" i="126"/>
  <c r="C105" i="126"/>
  <c r="C106" i="126"/>
  <c r="C107" i="126"/>
  <c r="R170" i="125"/>
  <c r="E170" i="125" s="1"/>
  <c r="C69" i="126" s="1"/>
  <c r="T170" i="125"/>
  <c r="V170" i="125"/>
  <c r="X170" i="125"/>
  <c r="Z170" i="125"/>
  <c r="E171" i="125"/>
  <c r="C70" i="126" s="1"/>
  <c r="R172" i="125"/>
  <c r="E172" i="125" s="1"/>
  <c r="C71" i="126" s="1"/>
  <c r="T172" i="125"/>
  <c r="V172" i="125"/>
  <c r="X172" i="125"/>
  <c r="Z172" i="125"/>
  <c r="R173" i="125"/>
  <c r="E173" i="125" s="1"/>
  <c r="C72" i="126" s="1"/>
  <c r="T173" i="125"/>
  <c r="V173" i="125"/>
  <c r="X173" i="125"/>
  <c r="Z173" i="125"/>
  <c r="R174" i="125"/>
  <c r="C73" i="126" s="1"/>
  <c r="T174" i="125"/>
  <c r="V174" i="125"/>
  <c r="X174" i="125"/>
  <c r="Z174" i="125"/>
  <c r="R175" i="125"/>
  <c r="E175" i="125" s="1"/>
  <c r="C74" i="126" s="1"/>
  <c r="T175" i="125"/>
  <c r="V175" i="125"/>
  <c r="X175" i="125"/>
  <c r="Z175" i="125"/>
  <c r="R176" i="125"/>
  <c r="E176" i="125" s="1"/>
  <c r="C75" i="126" s="1"/>
  <c r="T176" i="125"/>
  <c r="V176" i="125"/>
  <c r="X176" i="125"/>
  <c r="Z176" i="125"/>
  <c r="R177" i="125"/>
  <c r="E177" i="125" s="1"/>
  <c r="C76" i="126" s="1"/>
  <c r="T177" i="125"/>
  <c r="V177" i="125"/>
  <c r="X177" i="125"/>
  <c r="Z177" i="125"/>
  <c r="R178" i="125"/>
  <c r="E178" i="125" s="1"/>
  <c r="C77" i="126" s="1"/>
  <c r="T178" i="125"/>
  <c r="V178" i="125"/>
  <c r="X178" i="125"/>
  <c r="Z178" i="125"/>
  <c r="R179" i="125"/>
  <c r="E179" i="125" s="1"/>
  <c r="C78" i="126" s="1"/>
  <c r="T179" i="125"/>
  <c r="V179" i="125"/>
  <c r="X179" i="125"/>
  <c r="Z179" i="125"/>
  <c r="R180" i="125"/>
  <c r="E180" i="125" s="1"/>
  <c r="C79" i="126" s="1"/>
  <c r="T180" i="125"/>
  <c r="V180" i="125"/>
  <c r="X180" i="125"/>
  <c r="Z180" i="125"/>
  <c r="R181" i="125"/>
  <c r="E181" i="125" s="1"/>
  <c r="C80" i="126" s="1"/>
  <c r="T181" i="125"/>
  <c r="V181" i="125"/>
  <c r="X181" i="125"/>
  <c r="Z181" i="125"/>
  <c r="R182" i="125"/>
  <c r="T182" i="125"/>
  <c r="V182" i="125"/>
  <c r="X182" i="125"/>
  <c r="Z182" i="125"/>
  <c r="R183" i="125"/>
  <c r="T183" i="125"/>
  <c r="V183" i="125"/>
  <c r="X183" i="125"/>
  <c r="Z183" i="125"/>
  <c r="R184" i="125"/>
  <c r="T184" i="125"/>
  <c r="V184" i="125"/>
  <c r="X184" i="125"/>
  <c r="Z184" i="125"/>
  <c r="R185" i="125"/>
  <c r="T185" i="125"/>
  <c r="V185" i="125"/>
  <c r="X185" i="125"/>
  <c r="Z185" i="125"/>
  <c r="R186" i="125"/>
  <c r="T186" i="125"/>
  <c r="V186" i="125"/>
  <c r="X186" i="125"/>
  <c r="Z186" i="125"/>
  <c r="R187" i="125"/>
  <c r="T187" i="125"/>
  <c r="V187" i="125"/>
  <c r="X187" i="125"/>
  <c r="Z187" i="125"/>
  <c r="R188" i="125"/>
  <c r="T188" i="125"/>
  <c r="V188" i="125"/>
  <c r="X188" i="125"/>
  <c r="Z188" i="125"/>
  <c r="Z169" i="125"/>
  <c r="X169" i="125"/>
  <c r="V169" i="125"/>
  <c r="T169" i="125"/>
  <c r="R169" i="125"/>
  <c r="N130" i="125"/>
  <c r="P130" i="125"/>
  <c r="R130" i="125"/>
  <c r="N131" i="125"/>
  <c r="P131" i="125"/>
  <c r="R131" i="125"/>
  <c r="N132" i="125"/>
  <c r="P132" i="125"/>
  <c r="R132" i="125"/>
  <c r="N133" i="125"/>
  <c r="P133" i="125"/>
  <c r="R133" i="125"/>
  <c r="N134" i="125"/>
  <c r="P134" i="125"/>
  <c r="R134" i="125"/>
  <c r="N135" i="125"/>
  <c r="P135" i="125"/>
  <c r="R135" i="125"/>
  <c r="N136" i="125"/>
  <c r="P136" i="125"/>
  <c r="R136" i="125"/>
  <c r="N137" i="125"/>
  <c r="P137" i="125"/>
  <c r="R137" i="125"/>
  <c r="N138" i="125"/>
  <c r="P138" i="125"/>
  <c r="R138" i="125"/>
  <c r="N139" i="125"/>
  <c r="P139" i="125"/>
  <c r="R139" i="125"/>
  <c r="N140" i="125"/>
  <c r="P140" i="125"/>
  <c r="R140" i="125"/>
  <c r="N141" i="125"/>
  <c r="P141" i="125"/>
  <c r="R141" i="125"/>
  <c r="N142" i="125"/>
  <c r="P142" i="125"/>
  <c r="R142" i="125"/>
  <c r="N143" i="125"/>
  <c r="P143" i="125"/>
  <c r="R143" i="125"/>
  <c r="N144" i="125"/>
  <c r="P144" i="125"/>
  <c r="R144" i="125"/>
  <c r="N145" i="125"/>
  <c r="P145" i="125"/>
  <c r="R145" i="125"/>
  <c r="N146" i="125"/>
  <c r="P146" i="125"/>
  <c r="R146" i="125"/>
  <c r="N147" i="125"/>
  <c r="P147" i="125"/>
  <c r="R147" i="125"/>
  <c r="N148" i="125"/>
  <c r="P148" i="125"/>
  <c r="R148" i="125"/>
  <c r="R129" i="125"/>
  <c r="P129" i="125"/>
  <c r="E91" i="125"/>
  <c r="C29" i="126" s="1"/>
  <c r="E92" i="125"/>
  <c r="C30" i="126" s="1"/>
  <c r="E93" i="125"/>
  <c r="C31" i="126" s="1"/>
  <c r="E94" i="125"/>
  <c r="C32" i="126" s="1"/>
  <c r="E95" i="125"/>
  <c r="C33" i="126" s="1"/>
  <c r="E96" i="125"/>
  <c r="C34" i="126" s="1"/>
  <c r="E97" i="125"/>
  <c r="C35" i="126" s="1"/>
  <c r="E98" i="125"/>
  <c r="C36" i="126" s="1"/>
  <c r="E99" i="125"/>
  <c r="C37" i="126" s="1"/>
  <c r="E100" i="125"/>
  <c r="C38" i="126" s="1"/>
  <c r="E101" i="125"/>
  <c r="C39" i="126" s="1"/>
  <c r="E102" i="125"/>
  <c r="C40" i="126" s="1"/>
  <c r="E103" i="125"/>
  <c r="C41" i="126" s="1"/>
  <c r="E104" i="125"/>
  <c r="C42" i="126" s="1"/>
  <c r="E105" i="125"/>
  <c r="C43" i="126" s="1"/>
  <c r="E106" i="125"/>
  <c r="C44" i="126" s="1"/>
  <c r="E107" i="125"/>
  <c r="C45" i="126" s="1"/>
  <c r="E108" i="125"/>
  <c r="C46" i="126" s="1"/>
  <c r="C47" i="126"/>
  <c r="E90" i="125"/>
  <c r="C28" i="126" s="1"/>
  <c r="E52" i="125"/>
  <c r="C9" i="126" s="1"/>
  <c r="E53" i="125"/>
  <c r="C10" i="126" s="1"/>
  <c r="E54" i="125"/>
  <c r="C11" i="126" s="1"/>
  <c r="E55" i="125"/>
  <c r="C12" i="126" s="1"/>
  <c r="E56" i="125"/>
  <c r="C13" i="126" s="1"/>
  <c r="E57" i="125"/>
  <c r="C14" i="126" s="1"/>
  <c r="E58" i="125"/>
  <c r="C15" i="126" s="1"/>
  <c r="E59" i="125"/>
  <c r="C16" i="126" s="1"/>
  <c r="E60" i="125"/>
  <c r="C17" i="126" s="1"/>
  <c r="E61" i="125"/>
  <c r="C18" i="126" s="1"/>
  <c r="E62" i="125"/>
  <c r="C19" i="126" s="1"/>
  <c r="E63" i="125"/>
  <c r="C20" i="126" s="1"/>
  <c r="E64" i="125"/>
  <c r="C21" i="126" s="1"/>
  <c r="E65" i="125"/>
  <c r="C22" i="126" s="1"/>
  <c r="E66" i="125"/>
  <c r="C23" i="126" s="1"/>
  <c r="E67" i="125"/>
  <c r="C24" i="126" s="1"/>
  <c r="E68" i="125"/>
  <c r="C25" i="126" s="1"/>
  <c r="E69" i="125"/>
  <c r="C26" i="126" s="1"/>
  <c r="E70" i="125"/>
  <c r="C27" i="126" s="1"/>
  <c r="C8" i="126"/>
  <c r="B9" i="126"/>
  <c r="B10" i="126" s="1"/>
  <c r="B11" i="126" s="1"/>
  <c r="B12" i="126" s="1"/>
  <c r="B13" i="126" s="1"/>
  <c r="B14" i="126" s="1"/>
  <c r="B15" i="126" s="1"/>
  <c r="B16" i="126" s="1"/>
  <c r="B17" i="126" s="1"/>
  <c r="B18" i="126" s="1"/>
  <c r="B19" i="126" s="1"/>
  <c r="B20" i="126" s="1"/>
  <c r="B21" i="126" s="1"/>
  <c r="B22" i="126" s="1"/>
  <c r="B23" i="126" s="1"/>
  <c r="B24" i="126" s="1"/>
  <c r="B25" i="126" s="1"/>
  <c r="B26" i="126" s="1"/>
  <c r="B27" i="126" s="1"/>
  <c r="B28" i="126" s="1"/>
  <c r="B29" i="126" s="1"/>
  <c r="B30" i="126" s="1"/>
  <c r="B31" i="126" s="1"/>
  <c r="B32" i="126" s="1"/>
  <c r="B33" i="126" s="1"/>
  <c r="B34" i="126" s="1"/>
  <c r="B35" i="126" s="1"/>
  <c r="B36" i="126" s="1"/>
  <c r="B37" i="126" s="1"/>
  <c r="B38" i="126" s="1"/>
  <c r="B39" i="126" s="1"/>
  <c r="B40" i="126" s="1"/>
  <c r="B41" i="126" s="1"/>
  <c r="B42" i="126" s="1"/>
  <c r="B43" i="126" s="1"/>
  <c r="B44" i="126" s="1"/>
  <c r="B45" i="126" s="1"/>
  <c r="B46" i="126" s="1"/>
  <c r="B47" i="126" s="1"/>
  <c r="B48" i="126" s="1"/>
  <c r="B49" i="126" s="1"/>
  <c r="B50" i="126" s="1"/>
  <c r="B51" i="126" s="1"/>
  <c r="B52" i="126" s="1"/>
  <c r="B53" i="126" s="1"/>
  <c r="B54" i="126" s="1"/>
  <c r="B55" i="126" s="1"/>
  <c r="B56" i="126" s="1"/>
  <c r="B57" i="126" s="1"/>
  <c r="B58" i="126" s="1"/>
  <c r="B59" i="126" s="1"/>
  <c r="B60" i="126" s="1"/>
  <c r="B61" i="126" s="1"/>
  <c r="B62" i="126" s="1"/>
  <c r="B63" i="126" s="1"/>
  <c r="B64" i="126" s="1"/>
  <c r="B65" i="126" s="1"/>
  <c r="B66" i="126" s="1"/>
  <c r="B67" i="126" s="1"/>
  <c r="B68" i="126" s="1"/>
  <c r="B69" i="126" s="1"/>
  <c r="B70" i="126" s="1"/>
  <c r="B71" i="126" s="1"/>
  <c r="B72" i="126" s="1"/>
  <c r="B73" i="126" s="1"/>
  <c r="B74" i="126" s="1"/>
  <c r="B75" i="126" s="1"/>
  <c r="B76" i="126" s="1"/>
  <c r="B77" i="126" s="1"/>
  <c r="B78" i="126" s="1"/>
  <c r="B79" i="126" s="1"/>
  <c r="B80" i="126" s="1"/>
  <c r="B81" i="126" s="1"/>
  <c r="B82" i="126" s="1"/>
  <c r="B83" i="126" s="1"/>
  <c r="B84" i="126" s="1"/>
  <c r="B85" i="126" s="1"/>
  <c r="B86" i="126" s="1"/>
  <c r="B87" i="126" s="1"/>
  <c r="B88" i="126" s="1"/>
  <c r="B89" i="126" s="1"/>
  <c r="B90" i="126" s="1"/>
  <c r="B91" i="126" s="1"/>
  <c r="B92" i="126" s="1"/>
  <c r="B93" i="126" s="1"/>
  <c r="B94" i="126" s="1"/>
  <c r="B95" i="126" s="1"/>
  <c r="B96" i="126" s="1"/>
  <c r="B97" i="126" s="1"/>
  <c r="B98" i="126" s="1"/>
  <c r="B99" i="126" s="1"/>
  <c r="B100" i="126" s="1"/>
  <c r="B101" i="126" s="1"/>
  <c r="B102" i="126" s="1"/>
  <c r="B103" i="126" s="1"/>
  <c r="B104" i="126" s="1"/>
  <c r="B105" i="126" s="1"/>
  <c r="B106" i="126" s="1"/>
  <c r="B107" i="126" s="1"/>
  <c r="B108" i="126" s="1"/>
  <c r="B109" i="126" s="1"/>
  <c r="B110" i="126" s="1"/>
  <c r="B111" i="126" s="1"/>
  <c r="B112" i="126" s="1"/>
  <c r="B113" i="126" s="1"/>
  <c r="B114" i="126" s="1"/>
  <c r="B115" i="126" s="1"/>
  <c r="B116" i="126" s="1"/>
  <c r="B117" i="126" s="1"/>
  <c r="B118" i="126" s="1"/>
  <c r="B119" i="126" s="1"/>
  <c r="B120" i="126" s="1"/>
  <c r="B121" i="126" s="1"/>
  <c r="B122" i="126" s="1"/>
  <c r="B123" i="126" s="1"/>
  <c r="B124" i="126" s="1"/>
  <c r="B125" i="126" s="1"/>
  <c r="B126" i="126" s="1"/>
  <c r="B127" i="126" s="1"/>
  <c r="B128" i="126" s="1"/>
  <c r="B129" i="126" s="1"/>
  <c r="B130" i="126" s="1"/>
  <c r="B131" i="126" s="1"/>
  <c r="B132" i="126" s="1"/>
  <c r="B133" i="126" s="1"/>
  <c r="B134" i="126" s="1"/>
  <c r="B135" i="126" s="1"/>
  <c r="B136" i="126" s="1"/>
  <c r="B137" i="126" s="1"/>
  <c r="B138" i="126" s="1"/>
  <c r="B139" i="126" s="1"/>
  <c r="B140" i="126" s="1"/>
  <c r="B141" i="126" s="1"/>
  <c r="B142" i="126" s="1"/>
  <c r="B143" i="126" s="1"/>
  <c r="B144" i="126" s="1"/>
  <c r="B145" i="126" s="1"/>
  <c r="B146" i="126" s="1"/>
  <c r="B147" i="126" s="1"/>
  <c r="L292" i="125"/>
  <c r="L291" i="125"/>
  <c r="L290" i="125"/>
  <c r="L289" i="125"/>
  <c r="L288" i="125"/>
  <c r="L287" i="125"/>
  <c r="L286" i="125"/>
  <c r="L285" i="125"/>
  <c r="E306" i="125" l="1"/>
  <c r="C128" i="126" s="1"/>
  <c r="E29" i="125"/>
  <c r="C7" i="126" s="1"/>
  <c r="C68" i="126"/>
  <c r="C49" i="126"/>
  <c r="E182" i="125"/>
  <c r="C81" i="126" s="1"/>
  <c r="E183" i="125"/>
  <c r="C82" i="126" s="1"/>
  <c r="E184" i="125"/>
  <c r="C83" i="126" s="1"/>
  <c r="E185" i="125"/>
  <c r="C84" i="126" s="1"/>
  <c r="E186" i="125"/>
  <c r="C85" i="126" s="1"/>
  <c r="E187" i="125"/>
  <c r="C86" i="126" s="1"/>
  <c r="E188" i="125"/>
  <c r="C87" i="126" s="1"/>
  <c r="C50" i="126"/>
  <c r="E132" i="125"/>
  <c r="C51" i="126" s="1"/>
  <c r="E133" i="125"/>
  <c r="C52" i="126" s="1"/>
  <c r="E134" i="125"/>
  <c r="C53" i="126" s="1"/>
  <c r="E135" i="125"/>
  <c r="C54" i="126" s="1"/>
  <c r="E136" i="125"/>
  <c r="C55" i="126" s="1"/>
  <c r="E137" i="125"/>
  <c r="C56" i="126" s="1"/>
  <c r="E138" i="125"/>
  <c r="C57" i="126" s="1"/>
  <c r="E139" i="125"/>
  <c r="C58" i="126" s="1"/>
  <c r="E140" i="125"/>
  <c r="C59" i="126" s="1"/>
  <c r="E141" i="125"/>
  <c r="C60" i="126" s="1"/>
  <c r="E142" i="125"/>
  <c r="C61" i="126" s="1"/>
  <c r="E143" i="125"/>
  <c r="C62" i="126" s="1"/>
  <c r="E144" i="125"/>
  <c r="C63" i="126" s="1"/>
  <c r="E145" i="125"/>
  <c r="C64" i="126" s="1"/>
  <c r="E146" i="125"/>
  <c r="C65" i="126" s="1"/>
  <c r="E147" i="125"/>
  <c r="C66" i="126" s="1"/>
  <c r="E148" i="125"/>
  <c r="C67" i="126" s="1"/>
  <c r="C88" i="126"/>
  <c r="C5" i="126"/>
  <c r="C48" i="126"/>
  <c r="C4" i="126"/>
  <c r="C135" i="126"/>
  <c r="C146" i="126"/>
  <c r="C145" i="126"/>
  <c r="C144" i="126"/>
  <c r="C143" i="126"/>
  <c r="C142" i="126"/>
  <c r="C141" i="126"/>
  <c r="C140" i="126"/>
  <c r="C139" i="126"/>
  <c r="C138" i="126"/>
  <c r="C137" i="126"/>
  <c r="C136" i="126"/>
  <c r="C129" i="126"/>
  <c r="C130" i="126"/>
  <c r="C131" i="126"/>
  <c r="C132" i="126"/>
  <c r="C133" i="126"/>
  <c r="C134" i="126"/>
  <c r="C147" i="126"/>
  <c r="C6" i="126"/>
  <c r="C108" i="126"/>
  <c r="C127" i="126"/>
  <c r="C125" i="126"/>
  <c r="C124" i="126"/>
  <c r="C123" i="126"/>
  <c r="C122" i="126"/>
  <c r="C121" i="126"/>
  <c r="C120" i="126"/>
  <c r="C118" i="126"/>
  <c r="C116" i="126"/>
  <c r="C114" i="126"/>
  <c r="C113" i="126"/>
  <c r="C111" i="126"/>
  <c r="C109" i="126"/>
  <c r="C126" i="126"/>
  <c r="C119" i="126"/>
  <c r="C117" i="126"/>
  <c r="C115" i="126"/>
  <c r="C112" i="126"/>
  <c r="C110" i="12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<sst xmlns="http://schemas.openxmlformats.org/spreadsheetml/2006/main" count="206" uniqueCount="149">
  <si>
    <t>Microsoft Excel Collegiate Challenge 2026</t>
  </si>
  <si>
    <t>Case Author</t>
  </si>
  <si>
    <t>Instructions</t>
  </si>
  <si>
    <t>Bonus Questions</t>
  </si>
  <si>
    <t>To make the game more exciting, we have created 5 bonus questions for you. These questions can be answered at any time during the game.</t>
  </si>
  <si>
    <t>Game #</t>
  </si>
  <si>
    <t>Relates to Level #</t>
  </si>
  <si>
    <t>Points</t>
  </si>
  <si>
    <t>Answer</t>
  </si>
  <si>
    <t>Question</t>
  </si>
  <si>
    <t>Bonus 1</t>
  </si>
  <si>
    <t>Bonus 2</t>
  </si>
  <si>
    <t>Bonus 3</t>
  </si>
  <si>
    <t>Bonus 4</t>
  </si>
  <si>
    <t>Bonus 5</t>
  </si>
  <si>
    <t>Questions</t>
  </si>
  <si>
    <t>Level 1</t>
  </si>
  <si>
    <t>Easy</t>
  </si>
  <si>
    <t>Answer Hints:</t>
  </si>
  <si>
    <t>Level</t>
  </si>
  <si>
    <t>Example1</t>
  </si>
  <si>
    <t>Level 2</t>
  </si>
  <si>
    <t>Example2</t>
  </si>
  <si>
    <t>Level 3</t>
  </si>
  <si>
    <t>Medium</t>
  </si>
  <si>
    <t>Example3</t>
  </si>
  <si>
    <t>Level 4</t>
  </si>
  <si>
    <t>Example4</t>
  </si>
  <si>
    <t>Level 5</t>
  </si>
  <si>
    <t>Example5</t>
  </si>
  <si>
    <t>Level 6</t>
  </si>
  <si>
    <t>Level 7</t>
  </si>
  <si>
    <t>Hard</t>
  </si>
  <si>
    <t>Example7</t>
  </si>
  <si>
    <t>Your Answers</t>
  </si>
  <si>
    <t>After graduation, Alex wants to buy a car and needs a great credit score to get a low interest rate.</t>
  </si>
  <si>
    <t>One key factor is Credit Utilization — the percentage of a credit limit that is currently being used.</t>
  </si>
  <si>
    <t>Alex discovers that Amounts Owed — the total balance across all credit cards — also affects the credit score.</t>
  </si>
  <si>
    <t>The lower the total balance, the better! Calculate the total balance across all of Alex's credit cards.</t>
  </si>
  <si>
    <r>
      <rPr>
        <b/>
        <sz val="12"/>
        <color theme="1"/>
        <rFont val="Roboto"/>
      </rPr>
      <t>Example2:</t>
    </r>
    <r>
      <rPr>
        <sz val="12"/>
        <color theme="1"/>
        <rFont val="Roboto"/>
      </rPr>
      <t xml:space="preserve"> Cards with balances of $210, $85, and $540 have a total owed of $835.</t>
    </r>
  </si>
  <si>
    <t>Card 1 Balance</t>
  </si>
  <si>
    <t>Card 2 Balance</t>
  </si>
  <si>
    <t>Card 3 Balance</t>
  </si>
  <si>
    <t>Card 4 Balance</t>
  </si>
  <si>
    <t>Card 5 Balance</t>
  </si>
  <si>
    <t>Card 6 Balance</t>
  </si>
  <si>
    <t>Card 1 Limit</t>
  </si>
  <si>
    <t>Card 2 Limit</t>
  </si>
  <si>
    <t>Card 3 Limit</t>
  </si>
  <si>
    <t>Alex learns that lenders often look at the WORST card — the one with the highest utilization rate.</t>
  </si>
  <si>
    <t xml:space="preserve">Calculate the highest utilization rate across all of Alex's credit cards. </t>
  </si>
  <si>
    <r>
      <rPr>
        <b/>
        <sz val="12"/>
        <color theme="1"/>
        <rFont val="Roboto"/>
      </rPr>
      <t>Example3:</t>
    </r>
    <r>
      <rPr>
        <sz val="12"/>
        <color theme="1"/>
        <rFont val="Roboto"/>
      </rPr>
      <t xml:space="preserve"> The three cards have utilizations (balance/limit) of 45%, 22%, and 68%, so the highest utilization is 68%.</t>
    </r>
  </si>
  <si>
    <t>Alex's advisor warns that having multiple cards over 40% utilization can seriously hurt a credit score.</t>
  </si>
  <si>
    <t>Count the number of credit cards that have a utilization rate GREATER THAN 40%.</t>
  </si>
  <si>
    <t>Hint: Consider using COUNTIF.</t>
  </si>
  <si>
    <t>Express Credit Utilization as a percentage by multiplying the calculation by 100.</t>
  </si>
  <si>
    <t>Calculate Credit Utilization (=balance/limit) for each game based on the given balances and credit limits.</t>
  </si>
  <si>
    <r>
      <rPr>
        <b/>
        <sz val="12"/>
        <color theme="1"/>
        <rFont val="Roboto"/>
      </rPr>
      <t>Example1:</t>
    </r>
    <r>
      <rPr>
        <sz val="12"/>
        <color theme="1"/>
        <rFont val="Roboto"/>
      </rPr>
      <t xml:space="preserve"> A card with a $350 balance and a $1,000 limit has a utilization rate of 35%. 35% x 100 = 35.</t>
    </r>
  </si>
  <si>
    <t>Game 3's answer is between 6 and 10.</t>
  </si>
  <si>
    <t>Game 1's answer is between 20 and 24.</t>
  </si>
  <si>
    <t>Game 2's answer is between 30 and 34.</t>
  </si>
  <si>
    <t>Balance ($)</t>
  </si>
  <si>
    <t>Credit Limit ($)</t>
  </si>
  <si>
    <t>Payment Hist</t>
  </si>
  <si>
    <t>Amounts Owed</t>
  </si>
  <si>
    <t>Length Credit</t>
  </si>
  <si>
    <t>New Credit</t>
  </si>
  <si>
    <t>Credit Mix</t>
  </si>
  <si>
    <r>
      <rPr>
        <b/>
        <sz val="12"/>
        <color theme="1"/>
        <rFont val="Roboto"/>
      </rPr>
      <t>Example4:</t>
    </r>
    <r>
      <rPr>
        <sz val="12"/>
        <color theme="1"/>
        <rFont val="Roboto"/>
      </rPr>
      <t xml:space="preserve"> The five cards are at 45%, 22%, 68%, 26% and 86% utilization, so 3 cards exceed 40% utilization.</t>
    </r>
  </si>
  <si>
    <t>Assume each category has a score that ranges from 0 to 100 and FICO scores range from 300 to 850.</t>
  </si>
  <si>
    <t>Weights</t>
  </si>
  <si>
    <t>Scores (below)</t>
  </si>
  <si>
    <t>FICO Scores are calculated using many different pieces of credit data in your credit report (see https://www.myfico.com/credit-education/whats-in-your-credit-score).</t>
  </si>
  <si>
    <t>Alex is shopping for car loans and visits several dealerships. Each visit triggers a hard credit inquiry.</t>
  </si>
  <si>
    <t>FICO Reduction</t>
  </si>
  <si>
    <t>Num Inquiries</t>
  </si>
  <si>
    <t>Hint: Consider using XLOOKUP to determine how much to reduce the FICO score.</t>
  </si>
  <si>
    <t>Alex is ready to buy! Given a monthly budget, a loan amount, and a credit score, find the max car Alex can afford.</t>
  </si>
  <si>
    <t>FICO Score</t>
  </si>
  <si>
    <t>Interest Rate</t>
  </si>
  <si>
    <t>Monthly Pmt per $1,000</t>
  </si>
  <si>
    <t>Use the Rate Table (right) to look up the interest rate and monthly payment per $1,000 borrowed by credit score tier.</t>
  </si>
  <si>
    <t>Calculate the maximum car price Alex can afford given the Monthly Budgets and FICO Scores.</t>
  </si>
  <si>
    <t>Maximum Car Price = Monthly Budget / Monthly Payment per $1,000 × 1,000.</t>
  </si>
  <si>
    <r>
      <rPr>
        <b/>
        <sz val="12"/>
        <color theme="1"/>
        <rFont val="Roboto"/>
      </rPr>
      <t>Example7:</t>
    </r>
    <r>
      <rPr>
        <sz val="12"/>
        <color theme="1"/>
        <rFont val="Roboto"/>
      </rPr>
      <t xml:space="preserve"> A FICO Score of 720 corresponds to an interest rate of 6.5% and a monthly payment of $19.57</t>
    </r>
  </si>
  <si>
    <t>per $1,000 borrowed. The $450 monthly budget divided by $19.57 and multiplied by $1,000 gives about</t>
  </si>
  <si>
    <t>Game 62's answer is between 1 and 5.</t>
  </si>
  <si>
    <t>Game 63's answer is between 2 and 6.</t>
  </si>
  <si>
    <t>Game 21's answer is between 1,045 and 1,053.</t>
  </si>
  <si>
    <t>Game 22's answer is between 2,575 and 2,584.</t>
  </si>
  <si>
    <t>Game 23's answer is between 784 and 793.</t>
  </si>
  <si>
    <t>Game 41's answer is between 74 and 81.</t>
  </si>
  <si>
    <t>Game 42's answer is between 77 and 84.</t>
  </si>
  <si>
    <t>Game 43's answer is between 73 and 80.</t>
  </si>
  <si>
    <t>Game 61's answer is between 1 and 4.</t>
  </si>
  <si>
    <t>Game 81's answer is between 706 and 715.</t>
  </si>
  <si>
    <t>Game 82's answer is between 664 and 673.</t>
  </si>
  <si>
    <t>Game 83's answer is between 765 and 774.</t>
  </si>
  <si>
    <t>Game 121's answer is between 19,850 and 20,050.</t>
  </si>
  <si>
    <t>Game 122's answer is between 15,950 and 16,200.</t>
  </si>
  <si>
    <t>Game 123's answer is between 26,000 and 26,300.</t>
  </si>
  <si>
    <t>Round your answer to the nearest integer.</t>
  </si>
  <si>
    <t>Monthly Budget</t>
  </si>
  <si>
    <t>In Level 3, how many individual credit cards across all 20 games (excluding the example) have a utilization rate greater than 50%?</t>
  </si>
  <si>
    <r>
      <t>In Level 5, what is the median FICO score across all 21 games (</t>
    </r>
    <r>
      <rPr>
        <b/>
        <i/>
        <sz val="12"/>
        <color theme="7" tint="-0.499984740745262"/>
        <rFont val="Calibri"/>
        <family val="2"/>
        <scheme val="minor"/>
      </rPr>
      <t>include</t>
    </r>
    <r>
      <rPr>
        <sz val="12"/>
        <color theme="7" tint="-0.499984740745262"/>
        <rFont val="Calibri"/>
        <family val="2"/>
        <scheme val="minor"/>
      </rPr>
      <t xml:space="preserve"> the example)?</t>
    </r>
  </si>
  <si>
    <t>In Level 7, how much more can borrowers with FICO scores of 700 or higher afford versus those with lower FICO scores? Sum the answers for the high FICO scores (&gt;=700) and subtract the sum of the answers for the low FICO scores (&lt;700).</t>
  </si>
  <si>
    <t>Work through each level to help Alex understand her credit score and figure out how much car she can afford!</t>
  </si>
  <si>
    <t>Example6</t>
  </si>
  <si>
    <t>Game 102's answer is between 730 and 740.</t>
  </si>
  <si>
    <t>David Brown</t>
  </si>
  <si>
    <t>Case Design Team</t>
  </si>
  <si>
    <t>Eric Kelley</t>
  </si>
  <si>
    <t>Winston Smith</t>
  </si>
  <si>
    <t>In Level 1,if one borrower had all of the games' balances and credit limits (excluding the example), what would be their total credit card utilization? Sum the balances and divide by the sum of the credit limits and round to the nearest integer. Percents should be expressed as whole numbers, i.e., answer 24% as 24.</t>
  </si>
  <si>
    <t>FICO Tip: Keep credit utilization as low as possible.</t>
  </si>
  <si>
    <t>FICO Tip: Having a high FICO score can save you lots of money when buying a car, house, or other major purchase.</t>
  </si>
  <si>
    <t>FICO Tip: Credit inquiries can lower your credit score, but inquiries matter much less than keeping current on your payments and keeping credit utilization low.</t>
  </si>
  <si>
    <t>FICO Tip: Payment History and Amounts Owed are the two most important categories.</t>
  </si>
  <si>
    <t>FICO Tip: Balance your use of credit lines to avoid having one very high utilization credit card.</t>
  </si>
  <si>
    <t>FICO Tip: Keeping current on multiple accounts can improve your credit score.</t>
  </si>
  <si>
    <t>FICO Tip: Try to not only keep your overall credit card utilization low, but also your level of utilization on any one credit card.</t>
  </si>
  <si>
    <t>Credit data is grouped into five categories with different approximate weights: payment history (35%), amounts owed (30%), length of credit history (15%), new credit (10%) and credit mix (10%).</t>
  </si>
  <si>
    <r>
      <rPr>
        <b/>
        <sz val="12"/>
        <color theme="1"/>
        <rFont val="Roboto"/>
      </rPr>
      <t>Example5:</t>
    </r>
    <r>
      <rPr>
        <sz val="12"/>
        <color theme="1"/>
        <rFont val="Roboto"/>
      </rPr>
      <t xml:space="preserve"> 88 x 35% + 82 x 30% + 80 x 15% + 76 x 10% + 85 * 10% = 83.5. 83.5 * 5.5 + 300 = 759.25.</t>
    </r>
  </si>
  <si>
    <t>Note that this is not how the FICO score is actually calculated, but it does capture the approximate importance of the five key categories of the credit report in the score calculation.</t>
  </si>
  <si>
    <t>To calculate the overall FICO score (in this case), calculate the weighted sum of the scores (weights times scores), multiply the weighted sum by 5.5 and add 300.</t>
  </si>
  <si>
    <t>Prev. Inquiries</t>
  </si>
  <si>
    <t>Current FICO</t>
  </si>
  <si>
    <t>Calculate the new FICO score with 1 additional inquiry based on the given Current FICO and Previous Inquiries.</t>
  </si>
  <si>
    <t>3 and 4 inquiries are associated with FICO reductions of 8 and 10, so the additional inquiry reduces the FICO by 2 points, to 738.</t>
  </si>
  <si>
    <r>
      <rPr>
        <b/>
        <sz val="12"/>
        <color theme="1"/>
        <rFont val="Roboto"/>
      </rPr>
      <t>Example6</t>
    </r>
    <r>
      <rPr>
        <sz val="12"/>
        <color theme="1"/>
        <rFont val="Roboto"/>
      </rPr>
      <t>: With 3 previous inquiries, one new inquiry (from any amount of car loan shopping) increases the number of inquiries to 4.</t>
    </r>
  </si>
  <si>
    <t>Note that the Current FICO of 740 already includes the 8 point FICO reduction from the 3 previous inquiries.</t>
  </si>
  <si>
    <t>Chris McNeil</t>
  </si>
  <si>
    <t>Gina Nicolosi</t>
  </si>
  <si>
    <t>Alex is a college senior who dreams of buying a new car after graduation.</t>
  </si>
  <si>
    <t>Before heading to the dealership, Alex wants to understand how a FICO credit score is calculated, and how a higher score means a lower interest rate and lower monthly payment on her car loan.</t>
  </si>
  <si>
    <t>Card 4 Limit</t>
  </si>
  <si>
    <t>Card 5 Limit</t>
  </si>
  <si>
    <r>
      <t xml:space="preserve">Calculate the FICO scores based on the given score data. </t>
    </r>
    <r>
      <rPr>
        <b/>
        <u/>
        <sz val="12"/>
        <color theme="1"/>
        <rFont val="Roboto"/>
      </rPr>
      <t>Round your answer to the nearest integer.</t>
    </r>
  </si>
  <si>
    <t>Hint: Consider using SUMPRODUCT to sum the score values multiplied by the weights and ROUND(#,0) to round to the nearest integer.</t>
  </si>
  <si>
    <r>
      <t xml:space="preserve">759.25 </t>
    </r>
    <r>
      <rPr>
        <u/>
        <sz val="12"/>
        <color theme="1"/>
        <rFont val="Roboto"/>
      </rPr>
      <t>rounds to</t>
    </r>
    <r>
      <rPr>
        <sz val="12"/>
        <color theme="1"/>
        <rFont val="Roboto"/>
      </rPr>
      <t xml:space="preserve"> 759.</t>
    </r>
  </si>
  <si>
    <t>However, shopping around doesn't impact the FICO score; all similar inquiries within 45 days are counted as one inquiry.</t>
  </si>
  <si>
    <t xml:space="preserve">IMPORTANT: Current FICO scores already include the reduction cause by Prev. Inquiries (which occurred more than 45 days ago). </t>
  </si>
  <si>
    <t xml:space="preserve">In the table to the right, FICO reductions due to an inquiry are incremental, i.e., a 4th credit inquiry reduces FICO by 2 (=10 - 8). </t>
  </si>
  <si>
    <t>Game 101's answer is between 730 and 740.</t>
  </si>
  <si>
    <t>Game 103's answer is between 750 and 760.</t>
  </si>
  <si>
    <r>
      <t xml:space="preserve">$22,994.38 which </t>
    </r>
    <r>
      <rPr>
        <u/>
        <sz val="12"/>
        <color theme="1"/>
        <rFont val="Roboto"/>
      </rPr>
      <t>rounds to</t>
    </r>
    <r>
      <rPr>
        <sz val="12"/>
        <color theme="1"/>
        <rFont val="Roboto"/>
      </rPr>
      <t xml:space="preserve"> $22,994.</t>
    </r>
  </si>
  <si>
    <t>Hint: Consider using XLOOKUP to determine the monthly payment and ROUND(#,0) to round to the nearest integer.</t>
  </si>
  <si>
    <t>In Level 6, what is the total number of FICO points lost to the previous credit inquiries across all 20 games combined (excluding the example)?</t>
  </si>
  <si>
    <t>Understanding Your FICO Credit Score - Junior Varsity Edition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</si>
</sst>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_);[Red]\(&quot;$&quot;#,##0\)"/>
    <numFmt numFmtId="165" formatCode="0.0%"/>
    <numFmt numFmtId="166" formatCode="&quot;$&quot;#,##0.00"/>
    <numFmt numFmtId="167" formatCode="0.000"/>
  </numFmts>
  <fonts count="3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Roboto"/>
    </font>
    <font>
      <b/>
      <sz val="12"/>
      <color theme="7" tint="-0.499984740745262"/>
      <name val="Roboto"/>
    </font>
    <font>
      <sz val="12"/>
      <color theme="7" tint="-0.499984740745262"/>
      <name val="Roboto"/>
    </font>
    <font>
      <b/>
      <sz val="18"/>
      <color theme="0"/>
      <name val="Roboto"/>
    </font>
    <font>
      <b/>
      <sz val="14"/>
      <color theme="0"/>
      <name val="Roboto"/>
    </font>
    <font>
      <sz val="11"/>
      <color theme="7" tint="-0.499984740745262"/>
      <name val="Roboto"/>
    </font>
    <font>
      <b/>
      <sz val="11"/>
      <name val="Roboto"/>
    </font>
    <font>
      <b/>
      <sz val="11"/>
      <color theme="1"/>
      <name val="Roboto"/>
    </font>
    <font>
      <sz val="11"/>
      <name val="Roboto"/>
    </font>
    <font>
      <u/>
      <sz val="11"/>
      <color theme="10"/>
      <name val="Calibri"/>
      <family val="2"/>
      <scheme val="minor"/>
    </font>
    <font>
      <b/>
      <sz val="20"/>
      <color theme="1"/>
      <name val="Robotech"/>
    </font>
    <font>
      <sz val="12"/>
      <color theme="7" tint="-0.499984740745262"/>
      <name val="Calibri"/>
      <family val="2"/>
      <scheme val="minor"/>
    </font>
    <font>
      <sz val="12"/>
      <name val="Roboto"/>
    </font>
    <font>
      <sz val="12"/>
      <color theme="1"/>
      <name val="Roboto"/>
    </font>
    <font>
      <sz val="11"/>
      <color theme="1"/>
      <name val="Calibri"/>
      <family val="2"/>
      <scheme val="minor"/>
    </font>
    <font>
      <sz val="11"/>
      <color rgb="FFFF0000"/>
      <name val="Roboto"/>
    </font>
    <font>
      <b/>
      <sz val="12"/>
      <color theme="1"/>
      <name val="Roboto"/>
    </font>
    <font>
      <b/>
      <sz val="12"/>
      <name val="Roboto"/>
    </font>
    <font>
      <i/>
      <sz val="12"/>
      <color theme="1"/>
      <name val="Roboto"/>
    </font>
    <font>
      <b/>
      <sz val="12"/>
      <color theme="0"/>
      <name val="Roboto"/>
    </font>
    <font>
      <i/>
      <sz val="14"/>
      <color theme="1"/>
      <name val="Roboto"/>
    </font>
    <font>
      <b/>
      <sz val="26"/>
      <color theme="0"/>
      <name val="Roboto"/>
    </font>
    <font>
      <sz val="20"/>
      <color theme="1"/>
      <name val="Aptos"/>
      <family val="2"/>
    </font>
    <font>
      <b/>
      <sz val="24"/>
      <color theme="0"/>
      <name val="Futura"/>
    </font>
    <font>
      <sz val="18"/>
      <color theme="1"/>
      <name val="Roboto"/>
    </font>
    <font>
      <b/>
      <sz val="16"/>
      <color theme="1"/>
      <name val="Roboto"/>
    </font>
    <font>
      <b/>
      <sz val="11"/>
      <color theme="0"/>
      <name val="Roboto"/>
    </font>
    <font>
      <sz val="14"/>
      <color theme="1"/>
      <name val="Roboto"/>
    </font>
    <font>
      <sz val="20"/>
      <color theme="1"/>
      <name val="Calibri"/>
      <family val="2"/>
      <scheme val="minor"/>
    </font>
    <font>
      <sz val="12"/>
      <color rgb="FF000000"/>
      <name val="Roboto"/>
    </font>
    <font>
      <sz val="12"/>
      <color rgb="FF806000"/>
      <name val="Roboto"/>
    </font>
    <font>
      <b/>
      <i/>
      <sz val="12"/>
      <color theme="7" tint="-0.499984740745262"/>
      <name val="Calibri"/>
      <family val="2"/>
      <scheme val="minor"/>
    </font>
    <font>
      <b/>
      <u/>
      <sz val="12"/>
      <color theme="1"/>
      <name val="Roboto"/>
    </font>
    <font>
      <u/>
      <sz val="12"/>
      <color theme="1"/>
      <name val="Roboto"/>
    </font>
    <font>
      <sz val="12"/>
      <color rgb="FFFFFFFF"/>
      <name val="Arial"/>
      <family val="2"/>
      <charset val="238"/>
    </font>
  </fonts>
  <fills count="11">
    <fill>
      <patternFill patternType="none"/>
    </fill>
    <fill>
      <patternFill patternType="gray125"/>
    </fill>
    <fill>
      <patternFill patternType="solid">
        <fgColor theme="0"/>
        <bgColor indexed="64"/>
      </patternFill>
    </fill>
    <fill>
      <patternFill patternType="solid">
        <fgColor rgb="FF006837"/>
        <bgColor indexed="64"/>
      </patternFill>
    </fill>
    <fill>
      <patternFill patternType="solid">
        <fgColor rgb="FFED203F"/>
        <bgColor auto="1"/>
      </patternFill>
    </fill>
    <fill>
      <patternFill patternType="solid">
        <fgColor theme="9" tint="0.59996337778862885"/>
        <bgColor indexed="64"/>
      </patternFill>
    </fill>
    <fill>
      <patternFill patternType="solid">
        <fgColor rgb="FF001838"/>
        <bgColor indexed="64"/>
      </patternFill>
    </fill>
    <fill>
      <patternFill patternType="solid">
        <fgColor rgb="FFED203F"/>
        <bgColor indexed="64"/>
      </patternFill>
    </fill>
    <fill>
      <patternFill patternType="solid">
        <fgColor rgb="FFBC1F36"/>
        <bgColor indexed="64"/>
      </patternFill>
    </fill>
    <fill>
      <patternFill patternType="solid">
        <fgColor rgb="FF9E1B32"/>
        <bgColor indexed="64"/>
      </patternFill>
    </fill>
    <fill>
      <patternFill patternType="solid">
        <fgColor rgb="FFFFFFFF"/>
        <bgColor indexed="64"/>
      </patternFill>
    </fill>
  </fills>
  <borders count="25">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left>
      <right style="thin">
        <color theme="0"/>
      </right>
      <top style="thin">
        <color theme="0"/>
      </top>
      <bottom style="thin">
        <color theme="0"/>
      </bottom>
      <diagonal/>
    </border>
    <border>
      <left style="thin">
        <color theme="0" tint="-0.499984740745262"/>
      </left>
      <right/>
      <top style="thin">
        <color theme="0" tint="-0.499984740745262"/>
      </top>
      <bottom style="thin">
        <color theme="0" tint="-0.4999847407452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tint="-0.499984740745262"/>
      </left>
      <right style="thin">
        <color theme="0" tint="-0.499984740745262"/>
      </right>
      <top/>
      <bottom style="thin">
        <color theme="0" tint="-0.499984740745262"/>
      </bottom>
      <diagonal/>
    </border>
    <border>
      <left style="thin">
        <color theme="0"/>
      </left>
      <right style="thin">
        <color theme="0"/>
      </right>
      <top/>
      <bottom style="thin">
        <color theme="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s>
  <cellStyleXfs count="8">
    <xf numFmtId="0" fontId="0" fillId="0" borderId="0"/>
    <xf numFmtId="0" fontId="13" fillId="0" borderId="0" applyNumberFormat="0" applyFill="0" applyBorder="0" applyAlignment="0" applyProtection="0"/>
    <xf numFmtId="0" fontId="18" fillId="0" borderId="0"/>
    <xf numFmtId="0" fontId="18" fillId="0" borderId="0"/>
    <xf numFmtId="0" fontId="26" fillId="0" borderId="0"/>
    <xf numFmtId="0" fontId="18" fillId="0" borderId="0"/>
    <xf numFmtId="0" fontId="3" fillId="0" borderId="0"/>
    <xf numFmtId="0" fontId="32" fillId="0" borderId="0"/>
  </cellStyleXfs>
  <cellXfs count="117">
    <xf numFmtId="0" fontId="0" fillId="0" borderId="0" xfId="0"/>
    <xf numFmtId="0" fontId="4" fillId="2" borderId="0" xfId="0" applyFont="1" applyFill="1"/>
    <xf numFmtId="0" fontId="4" fillId="2" borderId="0" xfId="0" applyFont="1" applyFill="1" applyAlignment="1">
      <alignment horizontal="center"/>
    </xf>
    <xf numFmtId="0" fontId="4" fillId="2" borderId="0" xfId="0" applyFont="1" applyFill="1" applyAlignment="1">
      <alignment vertical="top" wrapText="1"/>
    </xf>
    <xf numFmtId="0" fontId="12" fillId="2" borderId="0" xfId="0" applyFont="1" applyFill="1"/>
    <xf numFmtId="0" fontId="9"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6" fillId="0" borderId="1" xfId="0" applyFont="1" applyBorder="1" applyAlignment="1">
      <alignment horizontal="center" vertical="center" wrapText="1"/>
    </xf>
    <xf numFmtId="0" fontId="5" fillId="0" borderId="3" xfId="0" applyFont="1" applyBorder="1" applyAlignment="1">
      <alignment horizontal="center" vertical="center"/>
    </xf>
    <xf numFmtId="0" fontId="10" fillId="2" borderId="0" xfId="0" applyFont="1" applyFill="1" applyAlignment="1">
      <alignment horizontal="left"/>
    </xf>
    <xf numFmtId="0" fontId="11" fillId="2" borderId="0" xfId="0" applyFont="1" applyFill="1" applyAlignment="1">
      <alignment horizontal="left"/>
    </xf>
    <xf numFmtId="3" fontId="7" fillId="3" borderId="2" xfId="0" applyNumberFormat="1" applyFont="1" applyFill="1" applyBorder="1" applyAlignment="1">
      <alignment horizontal="center" vertical="center"/>
    </xf>
    <xf numFmtId="0" fontId="0" fillId="2" borderId="0" xfId="0" applyFill="1"/>
    <xf numFmtId="0" fontId="4" fillId="2" borderId="0" xfId="0" applyFont="1" applyFill="1" applyAlignment="1">
      <alignment horizontal="center" vertical="center"/>
    </xf>
    <xf numFmtId="3" fontId="4" fillId="2" borderId="0" xfId="0" applyNumberFormat="1" applyFont="1" applyFill="1"/>
    <xf numFmtId="3" fontId="4" fillId="2" borderId="0" xfId="0" applyNumberFormat="1" applyFont="1" applyFill="1" applyAlignment="1">
      <alignment horizontal="center"/>
    </xf>
    <xf numFmtId="3" fontId="12" fillId="2" borderId="0" xfId="0" applyNumberFormat="1" applyFont="1" applyFill="1"/>
    <xf numFmtId="3" fontId="0" fillId="2" borderId="0" xfId="0" applyNumberFormat="1" applyFill="1"/>
    <xf numFmtId="3" fontId="4" fillId="2" borderId="0" xfId="0" applyNumberFormat="1" applyFont="1" applyFill="1" applyAlignment="1">
      <alignment vertical="top" wrapText="1"/>
    </xf>
    <xf numFmtId="0" fontId="17" fillId="2" borderId="0" xfId="0" applyFont="1" applyFill="1" applyAlignment="1">
      <alignment horizontal="left"/>
    </xf>
    <xf numFmtId="0" fontId="16" fillId="2" borderId="0" xfId="0" applyFont="1" applyFill="1"/>
    <xf numFmtId="0" fontId="17" fillId="2" borderId="0" xfId="0" applyFont="1" applyFill="1"/>
    <xf numFmtId="0" fontId="14" fillId="2" borderId="0" xfId="0" applyFont="1" applyFill="1" applyAlignment="1">
      <alignment wrapText="1"/>
    </xf>
    <xf numFmtId="0" fontId="4" fillId="2" borderId="0" xfId="0" applyFont="1" applyFill="1" applyAlignment="1">
      <alignment horizontal="left"/>
    </xf>
    <xf numFmtId="0" fontId="4" fillId="2" borderId="0" xfId="0" applyFont="1" applyFill="1" applyAlignment="1">
      <alignment vertical="center"/>
    </xf>
    <xf numFmtId="0" fontId="10" fillId="2" borderId="0" xfId="0" applyFont="1" applyFill="1" applyAlignment="1">
      <alignment horizontal="left" vertical="center"/>
    </xf>
    <xf numFmtId="3" fontId="4" fillId="2" borderId="0" xfId="0" applyNumberFormat="1" applyFont="1" applyFill="1" applyAlignment="1">
      <alignment horizontal="center" vertical="center"/>
    </xf>
    <xf numFmtId="0" fontId="12" fillId="2" borderId="0" xfId="0" applyFont="1" applyFill="1" applyAlignment="1">
      <alignment vertical="center"/>
    </xf>
    <xf numFmtId="0" fontId="9" fillId="2" borderId="19" xfId="0" applyFont="1" applyFill="1" applyBorder="1" applyAlignment="1">
      <alignment horizontal="center" vertical="center" wrapText="1"/>
    </xf>
    <xf numFmtId="0" fontId="6" fillId="2" borderId="19" xfId="0" applyFont="1" applyFill="1" applyBorder="1" applyAlignment="1">
      <alignment horizontal="center" vertical="center" wrapText="1"/>
    </xf>
    <xf numFmtId="0" fontId="5" fillId="2" borderId="19" xfId="0" applyFont="1" applyFill="1" applyBorder="1" applyAlignment="1">
      <alignment horizontal="center" vertical="center"/>
    </xf>
    <xf numFmtId="3" fontId="7" fillId="3" borderId="20" xfId="0" applyNumberFormat="1" applyFont="1" applyFill="1" applyBorder="1" applyAlignment="1">
      <alignment horizontal="center" vertical="center"/>
    </xf>
    <xf numFmtId="0" fontId="6" fillId="0" borderId="15" xfId="0" applyFont="1" applyBorder="1" applyAlignment="1">
      <alignment horizontal="center" vertical="center"/>
    </xf>
    <xf numFmtId="0" fontId="6" fillId="2" borderId="0" xfId="0" applyFont="1" applyFill="1" applyAlignment="1">
      <alignment horizontal="center"/>
    </xf>
    <xf numFmtId="1" fontId="7" fillId="3" borderId="2" xfId="0" applyNumberFormat="1" applyFont="1" applyFill="1" applyBorder="1" applyAlignment="1">
      <alignment horizontal="center" vertical="center"/>
    </xf>
    <xf numFmtId="0" fontId="19" fillId="2" borderId="0" xfId="0" applyFont="1" applyFill="1"/>
    <xf numFmtId="0" fontId="19" fillId="2" borderId="0" xfId="0" applyFont="1" applyFill="1" applyAlignment="1">
      <alignment horizontal="left"/>
    </xf>
    <xf numFmtId="1" fontId="12" fillId="2" borderId="0" xfId="0" applyNumberFormat="1" applyFont="1" applyFill="1"/>
    <xf numFmtId="0" fontId="20" fillId="2" borderId="0" xfId="0" applyFont="1" applyFill="1"/>
    <xf numFmtId="0" fontId="17" fillId="2" borderId="0" xfId="0" applyFont="1" applyFill="1" applyAlignment="1">
      <alignment horizontal="center"/>
    </xf>
    <xf numFmtId="0" fontId="20" fillId="2" borderId="0" xfId="0" applyFont="1" applyFill="1" applyAlignment="1">
      <alignment horizontal="left"/>
    </xf>
    <xf numFmtId="0" fontId="21" fillId="2" borderId="0" xfId="0" applyFont="1" applyFill="1"/>
    <xf numFmtId="0" fontId="21" fillId="2" borderId="0" xfId="0" applyFont="1" applyFill="1" applyAlignment="1">
      <alignment horizontal="left"/>
    </xf>
    <xf numFmtId="0" fontId="16" fillId="2" borderId="0" xfId="0" applyFont="1" applyFill="1" applyAlignment="1">
      <alignment horizontal="left"/>
    </xf>
    <xf numFmtId="3" fontId="19" fillId="2" borderId="0" xfId="0" applyNumberFormat="1" applyFont="1" applyFill="1"/>
    <xf numFmtId="0" fontId="22" fillId="2" borderId="0" xfId="0" applyFont="1" applyFill="1"/>
    <xf numFmtId="0" fontId="20" fillId="0" borderId="0" xfId="0" applyFont="1"/>
    <xf numFmtId="0" fontId="17" fillId="0" borderId="0" xfId="0" applyFont="1"/>
    <xf numFmtId="0" fontId="20" fillId="0" borderId="0" xfId="0" applyFont="1" applyAlignment="1">
      <alignment horizontal="left"/>
    </xf>
    <xf numFmtId="0" fontId="6" fillId="0" borderId="15" xfId="0" applyFont="1" applyBorder="1" applyAlignment="1">
      <alignment horizontal="centerContinuous" vertical="center"/>
    </xf>
    <xf numFmtId="0" fontId="6" fillId="2" borderId="0" xfId="0" applyFont="1" applyFill="1" applyAlignment="1">
      <alignment horizontal="centerContinuous"/>
    </xf>
    <xf numFmtId="0" fontId="8" fillId="4" borderId="17" xfId="0" applyFont="1" applyFill="1" applyBorder="1" applyAlignment="1">
      <alignment horizontal="center" vertical="center"/>
    </xf>
    <xf numFmtId="0" fontId="24" fillId="5" borderId="16" xfId="0" applyFont="1" applyFill="1" applyBorder="1" applyAlignment="1">
      <alignment horizontal="center" vertical="center"/>
    </xf>
    <xf numFmtId="0" fontId="22" fillId="0" borderId="0" xfId="0" applyFont="1"/>
    <xf numFmtId="0" fontId="25" fillId="6" borderId="15" xfId="3" applyFont="1" applyFill="1" applyBorder="1" applyAlignment="1">
      <alignment horizontal="centerContinuous" vertical="center"/>
    </xf>
    <xf numFmtId="0" fontId="27" fillId="7" borderId="0" xfId="4" applyFont="1" applyFill="1" applyAlignment="1">
      <alignment horizontal="centerContinuous" vertical="center"/>
    </xf>
    <xf numFmtId="0" fontId="7" fillId="8" borderId="15" xfId="3" applyFont="1" applyFill="1" applyBorder="1" applyAlignment="1">
      <alignment horizontal="centerContinuous" vertical="center"/>
    </xf>
    <xf numFmtId="0" fontId="28" fillId="0" borderId="15" xfId="0" applyFont="1" applyBorder="1" applyAlignment="1">
      <alignment horizontal="centerContinuous"/>
    </xf>
    <xf numFmtId="0" fontId="7" fillId="8" borderId="21" xfId="3" applyFont="1" applyFill="1" applyBorder="1" applyAlignment="1">
      <alignment horizontal="centerContinuous" vertical="center"/>
    </xf>
    <xf numFmtId="0" fontId="7" fillId="6" borderId="15" xfId="3" applyFont="1" applyFill="1" applyBorder="1" applyAlignment="1">
      <alignment horizontal="centerContinuous" vertical="center"/>
    </xf>
    <xf numFmtId="0" fontId="23" fillId="8" borderId="18" xfId="3" applyFont="1" applyFill="1" applyBorder="1" applyAlignment="1">
      <alignment horizontal="centerContinuous" vertical="center"/>
    </xf>
    <xf numFmtId="0" fontId="23" fillId="8" borderId="16" xfId="3" applyFont="1" applyFill="1" applyBorder="1" applyAlignment="1">
      <alignment horizontal="center" vertical="center"/>
    </xf>
    <xf numFmtId="0" fontId="23" fillId="8" borderId="16" xfId="3" applyFont="1" applyFill="1" applyBorder="1" applyAlignment="1">
      <alignment horizontal="center" vertical="center" wrapText="1"/>
    </xf>
    <xf numFmtId="0" fontId="23" fillId="8" borderId="16" xfId="3" applyFont="1" applyFill="1" applyBorder="1" applyAlignment="1">
      <alignment horizontal="centerContinuous" vertical="center"/>
    </xf>
    <xf numFmtId="0" fontId="29" fillId="2" borderId="0" xfId="2" applyFont="1" applyFill="1"/>
    <xf numFmtId="3" fontId="4" fillId="2" borderId="0" xfId="2" applyNumberFormat="1" applyFont="1" applyFill="1"/>
    <xf numFmtId="0" fontId="4" fillId="2" borderId="0" xfId="2" applyFont="1" applyFill="1"/>
    <xf numFmtId="0" fontId="12" fillId="2" borderId="0" xfId="2" applyFont="1" applyFill="1"/>
    <xf numFmtId="0" fontId="30" fillId="9" borderId="16" xfId="2" applyFont="1" applyFill="1" applyBorder="1" applyAlignment="1">
      <alignment horizontal="center" vertical="center"/>
    </xf>
    <xf numFmtId="3" fontId="30" fillId="9" borderId="16" xfId="2" applyNumberFormat="1" applyFont="1" applyFill="1" applyBorder="1" applyAlignment="1">
      <alignment horizontal="center" vertical="center"/>
    </xf>
    <xf numFmtId="0" fontId="9" fillId="2" borderId="19" xfId="2" applyFont="1" applyFill="1" applyBorder="1" applyAlignment="1">
      <alignment horizontal="center" vertical="center" wrapText="1"/>
    </xf>
    <xf numFmtId="1" fontId="7" fillId="3" borderId="20" xfId="2" applyNumberFormat="1" applyFont="1" applyFill="1" applyBorder="1" applyAlignment="1">
      <alignment horizontal="center" vertical="center"/>
    </xf>
    <xf numFmtId="0" fontId="5" fillId="0" borderId="19" xfId="4" applyFont="1" applyBorder="1" applyAlignment="1">
      <alignment horizontal="center" vertical="center"/>
    </xf>
    <xf numFmtId="0" fontId="9" fillId="2" borderId="1" xfId="2" applyFont="1" applyFill="1" applyBorder="1" applyAlignment="1">
      <alignment horizontal="center" vertical="center" wrapText="1"/>
    </xf>
    <xf numFmtId="0" fontId="5" fillId="0" borderId="1" xfId="4" applyFont="1" applyBorder="1" applyAlignment="1">
      <alignment horizontal="center" vertical="center"/>
    </xf>
    <xf numFmtId="0" fontId="6" fillId="0" borderId="1" xfId="2" applyFont="1" applyBorder="1" applyAlignment="1">
      <alignment horizontal="center" vertical="center" wrapText="1"/>
    </xf>
    <xf numFmtId="0" fontId="4" fillId="2" borderId="0" xfId="2" applyFont="1" applyFill="1" applyAlignment="1">
      <alignment horizontal="center"/>
    </xf>
    <xf numFmtId="3" fontId="4" fillId="2" borderId="0" xfId="2" applyNumberFormat="1" applyFont="1" applyFill="1" applyAlignment="1">
      <alignment horizontal="center"/>
    </xf>
    <xf numFmtId="0" fontId="3" fillId="2" borderId="8" xfId="0" applyFont="1" applyFill="1" applyBorder="1" applyAlignment="1">
      <alignment horizontal="left" vertical="top" wrapText="1"/>
    </xf>
    <xf numFmtId="0" fontId="3" fillId="2" borderId="12" xfId="0" applyFont="1" applyFill="1" applyBorder="1" applyAlignment="1">
      <alignment horizontal="left" vertical="top"/>
    </xf>
    <xf numFmtId="0" fontId="3" fillId="2" borderId="13" xfId="0" applyFont="1" applyFill="1" applyBorder="1" applyAlignment="1">
      <alignment horizontal="left" vertical="top" wrapText="1"/>
    </xf>
    <xf numFmtId="0" fontId="3" fillId="0" borderId="0" xfId="0" applyFont="1"/>
    <xf numFmtId="0" fontId="31" fillId="0" borderId="0" xfId="4" applyFont="1" applyAlignment="1">
      <alignment horizontal="center" vertical="center"/>
    </xf>
    <xf numFmtId="9" fontId="4" fillId="2" borderId="0" xfId="0" applyNumberFormat="1" applyFont="1" applyFill="1"/>
    <xf numFmtId="164" fontId="6" fillId="0" borderId="15" xfId="0" applyNumberFormat="1" applyFont="1" applyBorder="1" applyAlignment="1">
      <alignment horizontal="center" vertical="center"/>
    </xf>
    <xf numFmtId="0" fontId="7" fillId="3" borderId="2" xfId="0" applyFont="1" applyFill="1" applyBorder="1" applyAlignment="1">
      <alignment horizontal="center" vertical="center"/>
    </xf>
    <xf numFmtId="0" fontId="33" fillId="10" borderId="0" xfId="0" applyFont="1" applyFill="1" applyAlignment="1">
      <alignment horizontal="left"/>
    </xf>
    <xf numFmtId="9" fontId="23" fillId="8" borderId="16" xfId="3" applyNumberFormat="1" applyFont="1" applyFill="1" applyBorder="1" applyAlignment="1">
      <alignment horizontal="centerContinuous" vertical="center"/>
    </xf>
    <xf numFmtId="0" fontId="23" fillId="8" borderId="24" xfId="3" applyFont="1" applyFill="1" applyBorder="1" applyAlignment="1">
      <alignment horizontal="centerContinuous" vertical="center"/>
    </xf>
    <xf numFmtId="0" fontId="34" fillId="10" borderId="21" xfId="0" applyFont="1" applyFill="1" applyBorder="1" applyAlignment="1">
      <alignment horizontal="center"/>
    </xf>
    <xf numFmtId="0" fontId="34" fillId="10" borderId="22" xfId="0" applyFont="1" applyFill="1" applyBorder="1" applyAlignment="1">
      <alignment horizontal="center"/>
    </xf>
    <xf numFmtId="0" fontId="34" fillId="10" borderId="23" xfId="0" applyFont="1" applyFill="1" applyBorder="1" applyAlignment="1">
      <alignment horizontal="center"/>
    </xf>
    <xf numFmtId="165" fontId="34" fillId="10" borderId="22" xfId="0" applyNumberFormat="1" applyFont="1" applyFill="1" applyBorder="1" applyAlignment="1">
      <alignment horizontal="center"/>
    </xf>
    <xf numFmtId="165" fontId="34" fillId="10" borderId="23" xfId="0" applyNumberFormat="1" applyFont="1" applyFill="1" applyBorder="1" applyAlignment="1">
      <alignment horizontal="center"/>
    </xf>
    <xf numFmtId="0" fontId="2" fillId="2" borderId="10" xfId="0" applyFont="1" applyFill="1" applyBorder="1" applyAlignment="1">
      <alignment horizontal="left" vertical="top"/>
    </xf>
    <xf numFmtId="0" fontId="34" fillId="10" borderId="0" xfId="0" applyFont="1" applyFill="1" applyAlignment="1">
      <alignment horizontal="center"/>
    </xf>
    <xf numFmtId="0" fontId="1" fillId="2" borderId="7" xfId="0" applyFont="1" applyFill="1" applyBorder="1" applyAlignment="1">
      <alignment horizontal="left" vertical="top"/>
    </xf>
    <xf numFmtId="0" fontId="1" fillId="2" borderId="10" xfId="0" applyFont="1" applyFill="1" applyBorder="1" applyAlignment="1">
      <alignment horizontal="left" vertical="top"/>
    </xf>
    <xf numFmtId="0" fontId="3" fillId="2" borderId="11" xfId="0" applyFont="1" applyFill="1" applyBorder="1" applyAlignment="1">
      <alignment horizontal="left" vertical="top" wrapText="1"/>
    </xf>
    <xf numFmtId="0" fontId="3" fillId="2" borderId="14" xfId="0" applyFont="1" applyFill="1" applyBorder="1" applyAlignment="1">
      <alignment horizontal="left" vertical="top" wrapText="1"/>
    </xf>
    <xf numFmtId="0" fontId="36" fillId="2" borderId="0" xfId="0" applyFont="1" applyFill="1"/>
    <xf numFmtId="0" fontId="4" fillId="2" borderId="8" xfId="0" applyFont="1" applyFill="1" applyBorder="1"/>
    <xf numFmtId="0" fontId="4" fillId="2" borderId="9" xfId="0" applyFont="1" applyFill="1" applyBorder="1"/>
    <xf numFmtId="0" fontId="3" fillId="2" borderId="0" xfId="0" applyFont="1" applyFill="1" applyAlignment="1">
      <alignment horizontal="left" vertical="top" wrapText="1"/>
    </xf>
    <xf numFmtId="0" fontId="4" fillId="2" borderId="11" xfId="0" applyFont="1" applyFill="1" applyBorder="1"/>
    <xf numFmtId="166" fontId="34" fillId="10" borderId="22" xfId="0" applyNumberFormat="1" applyFont="1" applyFill="1" applyBorder="1" applyAlignment="1">
      <alignment horizontal="centerContinuous"/>
    </xf>
    <xf numFmtId="166" fontId="34" fillId="10" borderId="23" xfId="0" applyNumberFormat="1" applyFont="1" applyFill="1" applyBorder="1" applyAlignment="1">
      <alignment horizontal="centerContinuous"/>
    </xf>
    <xf numFmtId="0" fontId="23" fillId="8" borderId="16" xfId="3" applyFont="1" applyFill="1" applyBorder="1" applyAlignment="1">
      <alignment horizontal="centerContinuous" vertical="center" wrapText="1"/>
    </xf>
    <xf numFmtId="0" fontId="4" fillId="2" borderId="0" xfId="2" applyFont="1" applyFill="1" applyAlignment="1">
      <alignment vertical="top" wrapText="1"/>
    </xf>
    <xf numFmtId="0" fontId="38" fillId="0" borderId="0" xfId="0" applyFont="1"/>
    <xf numFmtId="4" fontId="7" fillId="3" borderId="2" xfId="0" applyNumberFormat="1" applyFont="1" applyFill="1" applyBorder="1" applyAlignment="1">
      <alignment horizontal="center" vertical="center"/>
    </xf>
    <xf numFmtId="1" fontId="0" fillId="0" borderId="0" xfId="0" applyNumberFormat="1"/>
    <xf numFmtId="167" fontId="7" fillId="3" borderId="2" xfId="0" applyNumberFormat="1" applyFont="1" applyFill="1" applyBorder="1" applyAlignment="1">
      <alignment horizontal="center" vertical="center"/>
    </xf>
    <xf numFmtId="0" fontId="15" fillId="2" borderId="4" xfId="0" applyFont="1" applyFill="1" applyBorder="1" applyAlignment="1">
      <alignment horizontal="left" vertical="center" wrapText="1"/>
    </xf>
    <xf numFmtId="0" fontId="15" fillId="2" borderId="5" xfId="0" applyFont="1" applyFill="1" applyBorder="1" applyAlignment="1">
      <alignment horizontal="left" vertical="center" wrapText="1"/>
    </xf>
    <xf numFmtId="0" fontId="15" fillId="2" borderId="6" xfId="0" applyFont="1" applyFill="1" applyBorder="1" applyAlignment="1">
      <alignment horizontal="left" vertical="center" wrapText="1"/>
    </xf>
  </cellXfs>
  <cellStyles count="8">
    <cellStyle name="Hyperlink 2" xfId="1" xr:uid="{C1B9BA85-4C62-429F-905A-EBA90D38020B}"/>
    <cellStyle name="Normal 2" xfId="6" xr:uid="{FD712807-8744-490B-A078-8CBCAC722E7F}"/>
    <cellStyle name="Normal 2 2" xfId="4" xr:uid="{64260D68-1BEC-4758-BB3C-13197ED2CB8E}"/>
    <cellStyle name="Normal 3" xfId="2" xr:uid="{A8B61497-2598-4AE7-AAE7-0C850B6D47A4}"/>
    <cellStyle name="Normal 3 2" xfId="5" xr:uid="{F0006F35-032D-4431-8330-DA9655ABD842}"/>
    <cellStyle name="Normal 3 3" xfId="3" xr:uid="{8850640B-DB4A-4128-8CF7-5AEEFEFAAB7C}"/>
    <cellStyle name="Normal 4" xfId="7" xr:uid="{E8EE8B02-135E-411F-AA7C-51113E6BCF04}"/>
    <cellStyle name="Normalny" xfId="0" builtinId="0"/>
  </cellStyles>
  <dxfs count="0"/>
  <tableStyles count="1" defaultTableStyle="TableStyleMedium2" defaultPivotStyle="PivotStyleLight16">
    <tableStyle name="Invisible" pivot="0" table="0" count="0" xr9:uid="{2D059F64-7FB9-479C-BFF7-FC481E419DD9}"/>
  </tableStyles>
  <colors>
    <mruColors>
      <color rgb="FF228AB8"/>
      <color rgb="FFFFCC99"/>
      <color rgb="FFFF7D7D"/>
      <color rgb="FFFFC5C5"/>
      <color rgb="FF29B77A"/>
      <color rgb="FFCC3399"/>
      <color rgb="FFFF0000"/>
      <color rgb="FF007B00"/>
      <color rgb="FF020024"/>
      <color rgb="FF0000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204106</xdr:colOff>
      <xdr:row>4</xdr:row>
      <xdr:rowOff>0</xdr:rowOff>
    </xdr:from>
    <xdr:to>
      <xdr:col>11</xdr:col>
      <xdr:colOff>7283</xdr:colOff>
      <xdr:row>11</xdr:row>
      <xdr:rowOff>316962</xdr:rowOff>
    </xdr:to>
    <xdr:pic>
      <xdr:nvPicPr>
        <xdr:cNvPr id="2" name="Picture 1">
          <a:extLst>
            <a:ext uri="{FF2B5EF4-FFF2-40B4-BE49-F238E27FC236}">
              <a16:creationId xmlns:a16="http://schemas.microsoft.com/office/drawing/2014/main" id="{6B447B67-1BFA-454F-A3CA-BFAFD80CBF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4106" y="1266825"/>
          <a:ext cx="10690252" cy="3117312"/>
        </a:xfrm>
        <a:prstGeom prst="rect">
          <a:avLst/>
        </a:prstGeom>
      </xdr:spPr>
    </xdr:pic>
    <xdr:clientData/>
  </xdr:twoCellAnchor>
</xdr:wsDr>
</file>

<file path=xl/theme/theme1.xml><?xml version="1.0" encoding="utf-8"?>
<a:theme xmlns:a="http://schemas.openxmlformats.org/drawingml/2006/main" name="Motyw pakietu Office 2013–2022">
  <a:themeElements>
    <a:clrScheme name="Pakiet Office 2013–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2013–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2013–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F5BCB4A-DAD5-453A-A50E-A6166825CDC3}">
  <we:reference id="WA200009404" version="1.0.0.8" store="Omex"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80B7D-909E-43AF-A797-1BEFD8F1E213}">
  <sheetPr codeName="Sheet1"/>
  <dimension ref="A2:XX1000"/>
  <sheetViews>
    <sheetView showGridLines="0" tabSelected="1" zoomScale="70" zoomScaleNormal="70" workbookViewId="0">
      <selection activeCell="G28" sqref="G28:O28"/>
    </sheetView>
  </sheetViews>
  <sheetFormatPr defaultColWidth="8.42578125" defaultRowHeight="15"/>
  <cols>
    <col min="1" max="1" width="3.140625" style="1" customWidth="1"/>
    <col min="2" max="2" width="12.42578125" style="2" customWidth="1"/>
    <col min="3" max="3" width="14.42578125" style="2" customWidth="1"/>
    <col min="4" max="4" width="12.140625" style="2" bestFit="1" customWidth="1"/>
    <col min="5" max="5" width="25.85546875" style="16" customWidth="1"/>
    <col min="6" max="6" width="6.7109375" style="2" customWidth="1"/>
    <col min="7" max="16" width="17.7109375" style="1" customWidth="1"/>
    <col min="17" max="42" width="11" style="1" customWidth="1"/>
    <col min="43" max="102" width="11" style="4" customWidth="1"/>
    <col min="103" max="16384" width="8.42578125" style="4"/>
  </cols>
  <sheetData>
    <row r="2" spans="2:15" ht="33" customHeight="1">
      <c r="B2" s="55" t="s">
        <v>0</v>
      </c>
      <c r="C2" s="55"/>
      <c r="D2" s="55"/>
      <c r="E2" s="55"/>
      <c r="F2" s="55"/>
      <c r="G2" s="55"/>
      <c r="H2" s="55"/>
      <c r="I2" s="55"/>
      <c r="J2" s="55"/>
      <c r="K2" s="55"/>
      <c r="L2" s="55"/>
      <c r="M2" s="55"/>
      <c r="N2" s="55"/>
      <c r="O2" s="55"/>
    </row>
    <row r="3" spans="2:15" ht="21.75" customHeight="1">
      <c r="B3" s="1"/>
      <c r="C3" s="1"/>
      <c r="D3" s="1"/>
      <c r="E3" s="15"/>
      <c r="F3" s="1"/>
    </row>
    <row r="4" spans="2:15" ht="30" customHeight="1">
      <c r="B4" s="56" t="s">
        <v>148</v>
      </c>
      <c r="C4" s="56"/>
      <c r="D4" s="56"/>
      <c r="E4" s="56"/>
      <c r="F4" s="56"/>
      <c r="G4" s="56"/>
      <c r="H4" s="56"/>
      <c r="I4" s="56"/>
      <c r="J4" s="56"/>
      <c r="K4" s="56"/>
      <c r="L4" s="13"/>
      <c r="M4" s="57" t="s">
        <v>1</v>
      </c>
      <c r="N4" s="57"/>
      <c r="O4" s="57"/>
    </row>
    <row r="5" spans="2:15" ht="32.1" customHeight="1">
      <c r="B5" s="13"/>
      <c r="C5" s="13"/>
      <c r="D5" s="13"/>
      <c r="E5" s="18"/>
      <c r="F5" s="13"/>
      <c r="G5" s="13"/>
      <c r="H5" s="23"/>
      <c r="M5" s="58" t="s">
        <v>109</v>
      </c>
      <c r="N5" s="58"/>
      <c r="O5" s="58"/>
    </row>
    <row r="6" spans="2:15" ht="32.1" customHeight="1">
      <c r="B6" s="13"/>
      <c r="C6" s="13"/>
      <c r="D6" s="13"/>
      <c r="E6" s="18"/>
      <c r="F6" s="13"/>
      <c r="G6" s="13"/>
      <c r="H6" s="23"/>
      <c r="K6" s="23"/>
      <c r="L6" s="23"/>
    </row>
    <row r="7" spans="2:15" ht="32.1" customHeight="1">
      <c r="B7" s="13"/>
      <c r="C7" s="13"/>
      <c r="D7" s="13"/>
      <c r="E7" s="18"/>
      <c r="F7" s="13"/>
      <c r="G7" s="13"/>
      <c r="H7" s="23"/>
      <c r="K7" s="23"/>
      <c r="L7" s="23"/>
      <c r="M7" s="57" t="s">
        <v>110</v>
      </c>
      <c r="N7" s="57"/>
      <c r="O7" s="57"/>
    </row>
    <row r="8" spans="2:15" ht="32.1" customHeight="1">
      <c r="B8" s="13"/>
      <c r="C8" s="13"/>
      <c r="D8" s="13"/>
      <c r="E8" s="18"/>
      <c r="F8" s="13"/>
      <c r="G8" s="13"/>
      <c r="H8" s="23"/>
      <c r="M8" s="58" t="s">
        <v>111</v>
      </c>
      <c r="N8" s="58"/>
      <c r="O8" s="58"/>
    </row>
    <row r="9" spans="2:15" ht="32.1" customHeight="1">
      <c r="B9" s="13"/>
      <c r="C9" s="13"/>
      <c r="D9" s="13"/>
      <c r="E9" s="18"/>
      <c r="F9" s="13"/>
      <c r="G9" s="13"/>
      <c r="M9" s="58" t="s">
        <v>112</v>
      </c>
      <c r="N9" s="58"/>
      <c r="O9" s="58"/>
    </row>
    <row r="10" spans="2:15" ht="32.1" customHeight="1">
      <c r="B10" s="13"/>
      <c r="C10" s="13"/>
      <c r="D10" s="13"/>
      <c r="E10" s="18"/>
      <c r="F10" s="13"/>
      <c r="G10" s="13"/>
      <c r="M10" s="58" t="s">
        <v>131</v>
      </c>
      <c r="N10" s="58"/>
      <c r="O10" s="58"/>
    </row>
    <row r="11" spans="2:15" ht="32.1" customHeight="1">
      <c r="B11" s="13"/>
      <c r="C11" s="13"/>
      <c r="D11" s="13"/>
      <c r="E11" s="18"/>
      <c r="F11" s="13"/>
      <c r="G11" s="13"/>
      <c r="M11" s="58" t="s">
        <v>132</v>
      </c>
      <c r="N11" s="58"/>
      <c r="O11" s="58"/>
    </row>
    <row r="12" spans="2:15" ht="32.1" customHeight="1">
      <c r="B12" s="13"/>
      <c r="C12" s="13"/>
      <c r="D12" s="13"/>
      <c r="E12" s="18"/>
      <c r="F12" s="13"/>
      <c r="G12" s="13"/>
    </row>
    <row r="13" spans="2:15" ht="15" customHeight="1">
      <c r="B13" s="13"/>
      <c r="C13" s="13"/>
      <c r="D13" s="13"/>
      <c r="E13" s="18"/>
      <c r="F13" s="13"/>
      <c r="G13" s="13"/>
      <c r="H13" s="13"/>
      <c r="I13" s="13"/>
    </row>
    <row r="14" spans="2:15" ht="24.95" customHeight="1">
      <c r="B14" s="59" t="s">
        <v>2</v>
      </c>
      <c r="C14" s="59"/>
      <c r="D14" s="59"/>
      <c r="E14" s="59"/>
      <c r="F14" s="59"/>
      <c r="G14" s="59"/>
      <c r="H14" s="59"/>
      <c r="I14" s="59"/>
      <c r="J14" s="59"/>
      <c r="K14" s="59"/>
      <c r="L14" s="59"/>
      <c r="M14" s="59"/>
      <c r="N14" s="59"/>
      <c r="O14" s="59"/>
    </row>
    <row r="15" spans="2:15" ht="15" customHeight="1">
      <c r="B15" s="97" t="s">
        <v>133</v>
      </c>
      <c r="C15" s="79"/>
      <c r="D15" s="79"/>
      <c r="E15" s="79"/>
      <c r="F15" s="79"/>
      <c r="G15" s="79"/>
      <c r="H15" s="79"/>
      <c r="I15" s="79"/>
      <c r="J15" s="79"/>
      <c r="K15" s="79"/>
      <c r="L15" s="79"/>
      <c r="M15" s="79"/>
      <c r="N15" s="102"/>
      <c r="O15" s="103"/>
    </row>
    <row r="16" spans="2:15" ht="15" customHeight="1">
      <c r="B16" s="98" t="s">
        <v>134</v>
      </c>
      <c r="C16" s="104"/>
      <c r="D16" s="104"/>
      <c r="E16" s="104"/>
      <c r="F16" s="104"/>
      <c r="G16" s="104"/>
      <c r="H16" s="104"/>
      <c r="I16" s="104"/>
      <c r="J16" s="104"/>
      <c r="K16" s="104"/>
      <c r="L16" s="104"/>
      <c r="M16" s="104"/>
      <c r="O16" s="105"/>
    </row>
    <row r="17" spans="2:15" ht="15" customHeight="1">
      <c r="B17" s="95" t="s">
        <v>106</v>
      </c>
      <c r="C17" s="104"/>
      <c r="D17" s="104"/>
      <c r="E17" s="104"/>
      <c r="F17" s="104"/>
      <c r="G17" s="104"/>
      <c r="H17" s="104"/>
      <c r="I17" s="104"/>
      <c r="J17" s="104"/>
      <c r="K17" s="104"/>
      <c r="L17" s="104"/>
      <c r="M17" s="104"/>
      <c r="N17" s="104"/>
      <c r="O17" s="99"/>
    </row>
    <row r="18" spans="2:15" ht="15.4" customHeight="1">
      <c r="B18" s="80"/>
      <c r="C18" s="81"/>
      <c r="D18" s="81"/>
      <c r="E18" s="81"/>
      <c r="F18" s="81"/>
      <c r="G18" s="81"/>
      <c r="H18" s="81"/>
      <c r="I18" s="81"/>
      <c r="J18" s="81"/>
      <c r="K18" s="81"/>
      <c r="L18" s="81"/>
      <c r="M18" s="81"/>
      <c r="N18" s="81"/>
      <c r="O18" s="100"/>
    </row>
    <row r="19" spans="2:15" ht="25.5" customHeight="1">
      <c r="B19" s="3"/>
      <c r="C19" s="3"/>
      <c r="D19" s="3"/>
      <c r="E19" s="19"/>
      <c r="F19" s="3"/>
      <c r="G19" s="3"/>
      <c r="H19" s="3"/>
      <c r="I19" s="3"/>
      <c r="J19" s="3"/>
      <c r="K19" s="3"/>
      <c r="L19" s="3"/>
      <c r="M19" s="3"/>
    </row>
    <row r="20" spans="2:15" ht="25.5" customHeight="1">
      <c r="B20" s="60" t="s">
        <v>3</v>
      </c>
      <c r="C20" s="60"/>
      <c r="D20" s="60"/>
      <c r="E20" s="60"/>
      <c r="F20" s="60"/>
      <c r="G20" s="60"/>
      <c r="H20" s="60"/>
      <c r="I20" s="60"/>
      <c r="J20" s="60"/>
      <c r="K20" s="60"/>
      <c r="L20" s="60"/>
      <c r="M20" s="60"/>
      <c r="N20" s="60"/>
      <c r="O20" s="60"/>
    </row>
    <row r="21" spans="2:15" ht="14.45" customHeight="1">
      <c r="D21" s="3"/>
      <c r="E21" s="19"/>
      <c r="F21" s="3"/>
      <c r="G21" s="3"/>
      <c r="H21" s="3"/>
      <c r="I21" s="3"/>
      <c r="J21" s="3"/>
      <c r="K21" s="3"/>
      <c r="L21" s="3"/>
      <c r="M21" s="3"/>
    </row>
    <row r="22" spans="2:15" s="28" customFormat="1" ht="15" customHeight="1">
      <c r="B22" s="26" t="s">
        <v>4</v>
      </c>
      <c r="C22" s="14"/>
      <c r="D22" s="14"/>
      <c r="E22" s="27"/>
      <c r="F22" s="14"/>
      <c r="G22" s="25"/>
      <c r="H22" s="25"/>
      <c r="I22" s="25"/>
      <c r="J22" s="25"/>
      <c r="K22" s="25"/>
      <c r="L22" s="25"/>
      <c r="M22" s="25"/>
      <c r="N22" s="25"/>
      <c r="O22" s="25"/>
    </row>
    <row r="23" spans="2:15" s="28" customFormat="1" ht="15" customHeight="1" thickBot="1">
      <c r="B23" s="26"/>
      <c r="C23" s="14"/>
      <c r="D23" s="14"/>
      <c r="E23" s="27"/>
      <c r="F23" s="14"/>
      <c r="G23" s="25"/>
      <c r="H23" s="25"/>
      <c r="I23" s="25"/>
      <c r="J23" s="25"/>
      <c r="K23" s="25"/>
      <c r="L23" s="25"/>
      <c r="M23" s="25"/>
      <c r="N23" s="25"/>
      <c r="O23" s="25"/>
    </row>
    <row r="24" spans="2:15" ht="29.25" customHeight="1" thickBot="1">
      <c r="B24" s="62" t="s">
        <v>5</v>
      </c>
      <c r="C24" s="63" t="s">
        <v>6</v>
      </c>
      <c r="D24" s="62" t="s">
        <v>7</v>
      </c>
      <c r="E24" s="62" t="s">
        <v>8</v>
      </c>
      <c r="G24" s="61" t="s">
        <v>9</v>
      </c>
      <c r="H24" s="61"/>
      <c r="I24" s="61"/>
      <c r="J24" s="61"/>
      <c r="K24" s="61"/>
      <c r="L24" s="61"/>
      <c r="M24" s="61"/>
      <c r="N24" s="61"/>
      <c r="O24" s="61"/>
    </row>
    <row r="25" spans="2:15" ht="38.1" customHeight="1">
      <c r="B25" s="29" t="s">
        <v>10</v>
      </c>
      <c r="C25" s="30">
        <v>1</v>
      </c>
      <c r="D25" s="31">
        <v>30</v>
      </c>
      <c r="E25" s="111">
        <f>ROUND(SUM(G51:G70)/SUM(H51:H70)*100,0)</f>
        <v>30</v>
      </c>
      <c r="F25" s="83"/>
      <c r="G25" s="114" t="s">
        <v>113</v>
      </c>
      <c r="H25" s="115"/>
      <c r="I25" s="115"/>
      <c r="J25" s="115"/>
      <c r="K25" s="115"/>
      <c r="L25" s="115"/>
      <c r="M25" s="115"/>
      <c r="N25" s="115"/>
      <c r="O25" s="116"/>
    </row>
    <row r="26" spans="2:15" ht="38.1" customHeight="1">
      <c r="B26" s="5" t="s">
        <v>11</v>
      </c>
      <c r="C26" s="6">
        <v>3</v>
      </c>
      <c r="D26" s="7">
        <v>40</v>
      </c>
      <c r="E26" s="32">
        <f>COUNTIF(N129:R148,"&gt;50")</f>
        <v>24</v>
      </c>
      <c r="F26" s="83"/>
      <c r="G26" s="114" t="s">
        <v>103</v>
      </c>
      <c r="H26" s="115"/>
      <c r="I26" s="115"/>
      <c r="J26" s="115"/>
      <c r="K26" s="115"/>
      <c r="L26" s="115"/>
      <c r="M26" s="115"/>
      <c r="N26" s="115"/>
      <c r="O26" s="116"/>
    </row>
    <row r="27" spans="2:15" ht="38.1" customHeight="1">
      <c r="B27" s="5" t="s">
        <v>12</v>
      </c>
      <c r="C27" s="6">
        <v>5</v>
      </c>
      <c r="D27" s="7">
        <v>50</v>
      </c>
      <c r="E27" s="12">
        <v>715</v>
      </c>
      <c r="F27" s="83"/>
      <c r="G27" s="114" t="s">
        <v>104</v>
      </c>
      <c r="H27" s="115"/>
      <c r="I27" s="115"/>
      <c r="J27" s="115"/>
      <c r="K27" s="115"/>
      <c r="L27" s="115"/>
      <c r="M27" s="115"/>
      <c r="N27" s="115"/>
      <c r="O27" s="116"/>
    </row>
    <row r="28" spans="2:15" ht="38.1" customHeight="1">
      <c r="B28" s="5" t="s">
        <v>13</v>
      </c>
      <c r="C28" s="6">
        <v>6</v>
      </c>
      <c r="D28" s="7">
        <v>60</v>
      </c>
      <c r="E28" s="12">
        <v>207</v>
      </c>
      <c r="F28" s="83"/>
      <c r="G28" s="114" t="s">
        <v>147</v>
      </c>
      <c r="H28" s="115"/>
      <c r="I28" s="115"/>
      <c r="J28" s="115"/>
      <c r="K28" s="115"/>
      <c r="L28" s="115"/>
      <c r="M28" s="115"/>
      <c r="N28" s="115"/>
      <c r="O28" s="116"/>
    </row>
    <row r="29" spans="2:15" ht="38.1" customHeight="1">
      <c r="B29" s="5" t="s">
        <v>14</v>
      </c>
      <c r="C29" s="6">
        <v>7</v>
      </c>
      <c r="D29" s="7">
        <v>70</v>
      </c>
      <c r="E29" s="12">
        <f>SUMIF(H306:H325,"&gt;=700",_xlfn.ANCHORARRAY(E306))-SUMIF(H306:H325,"&lt;700",_xlfn.ANCHORARRAY(E306))</f>
        <v>153848</v>
      </c>
      <c r="F29" s="83"/>
      <c r="G29" s="114" t="s">
        <v>105</v>
      </c>
      <c r="H29" s="115"/>
      <c r="I29" s="115"/>
      <c r="J29" s="115"/>
      <c r="K29" s="115"/>
      <c r="L29" s="115"/>
      <c r="M29" s="115"/>
      <c r="N29" s="115"/>
      <c r="O29" s="116"/>
    </row>
    <row r="30" spans="2:15" ht="21.75" customHeight="1">
      <c r="B30" s="1"/>
      <c r="C30" s="1"/>
      <c r="D30" s="1"/>
      <c r="E30" s="15"/>
    </row>
    <row r="31" spans="2:15" ht="25.5" customHeight="1">
      <c r="B31" s="60" t="s">
        <v>15</v>
      </c>
      <c r="C31" s="60"/>
      <c r="D31" s="60"/>
      <c r="E31" s="60"/>
      <c r="F31" s="60"/>
      <c r="G31" s="60"/>
      <c r="H31" s="60"/>
      <c r="I31" s="60"/>
      <c r="J31" s="60"/>
      <c r="K31" s="60"/>
      <c r="L31" s="60"/>
      <c r="M31" s="60"/>
      <c r="N31" s="60"/>
      <c r="O31" s="60"/>
    </row>
    <row r="33" spans="2:8" ht="29.25" customHeight="1" thickBot="1">
      <c r="B33" s="52" t="s">
        <v>16</v>
      </c>
      <c r="C33" s="53" t="s">
        <v>17</v>
      </c>
      <c r="D33" s="37"/>
      <c r="E33" s="15"/>
    </row>
    <row r="34" spans="2:8">
      <c r="B34" s="10"/>
      <c r="C34" s="1"/>
      <c r="D34" s="1"/>
      <c r="E34" s="15"/>
    </row>
    <row r="35" spans="2:8" ht="15" customHeight="1">
      <c r="B35" s="22" t="s">
        <v>35</v>
      </c>
      <c r="C35" s="4"/>
      <c r="D35" s="1"/>
      <c r="E35" s="15"/>
    </row>
    <row r="36" spans="2:8" ht="15" customHeight="1">
      <c r="B36" s="22" t="s">
        <v>36</v>
      </c>
      <c r="C36" s="4"/>
      <c r="D36" s="1"/>
      <c r="E36" s="15"/>
    </row>
    <row r="37" spans="2:8" ht="15.75">
      <c r="B37" s="39" t="s">
        <v>56</v>
      </c>
      <c r="C37" s="24"/>
      <c r="E37" s="15"/>
    </row>
    <row r="38" spans="2:8" ht="15.75">
      <c r="B38" s="22" t="s">
        <v>55</v>
      </c>
      <c r="C38" s="24"/>
      <c r="E38" s="15"/>
    </row>
    <row r="39" spans="2:8" ht="15" customHeight="1">
      <c r="B39" s="40"/>
      <c r="E39" s="15"/>
    </row>
    <row r="40" spans="2:8" ht="15" customHeight="1">
      <c r="B40" s="20" t="s">
        <v>57</v>
      </c>
      <c r="E40" s="15"/>
    </row>
    <row r="41" spans="2:8" ht="15" customHeight="1">
      <c r="B41" s="40"/>
      <c r="E41" s="15"/>
    </row>
    <row r="42" spans="2:8" ht="15" customHeight="1">
      <c r="B42" s="41" t="s">
        <v>18</v>
      </c>
      <c r="E42" s="15"/>
    </row>
    <row r="43" spans="2:8" ht="15" customHeight="1">
      <c r="B43" s="87" t="s">
        <v>59</v>
      </c>
      <c r="E43" s="15"/>
    </row>
    <row r="44" spans="2:8" ht="15" customHeight="1">
      <c r="B44" s="87" t="s">
        <v>60</v>
      </c>
      <c r="E44" s="15"/>
    </row>
    <row r="45" spans="2:8" ht="15" customHeight="1">
      <c r="B45" s="87" t="s">
        <v>58</v>
      </c>
      <c r="E45" s="15"/>
    </row>
    <row r="46" spans="2:8" ht="15.75" thickBot="1">
      <c r="B46" s="10"/>
      <c r="C46" s="1"/>
      <c r="D46" s="1"/>
      <c r="E46" s="15"/>
      <c r="G46" s="11"/>
    </row>
    <row r="47" spans="2:8" ht="22.5" customHeight="1" thickBot="1">
      <c r="B47" s="62" t="s">
        <v>5</v>
      </c>
      <c r="C47" s="62" t="s">
        <v>19</v>
      </c>
      <c r="D47" s="62" t="s">
        <v>7</v>
      </c>
      <c r="E47" s="62" t="s">
        <v>8</v>
      </c>
      <c r="G47" s="64" t="s">
        <v>61</v>
      </c>
      <c r="H47" s="64" t="s">
        <v>62</v>
      </c>
    </row>
    <row r="49" spans="2:8" ht="25.5" customHeight="1">
      <c r="B49" s="8" t="s">
        <v>20</v>
      </c>
      <c r="C49" s="8">
        <v>1</v>
      </c>
      <c r="D49" s="9">
        <v>0</v>
      </c>
      <c r="E49" s="86">
        <v>35</v>
      </c>
      <c r="F49" s="83"/>
      <c r="G49" s="50">
        <v>350</v>
      </c>
      <c r="H49" s="50">
        <v>1000</v>
      </c>
    </row>
    <row r="50" spans="2:8" ht="15.75">
      <c r="B50" s="1"/>
      <c r="C50" s="1"/>
      <c r="D50" s="1"/>
      <c r="E50" s="84"/>
      <c r="F50" s="13"/>
      <c r="G50" s="51"/>
      <c r="H50" s="51"/>
    </row>
    <row r="51" spans="2:8" ht="25.5" customHeight="1">
      <c r="B51" s="8">
        <v>1</v>
      </c>
      <c r="C51" s="8">
        <v>1</v>
      </c>
      <c r="D51" s="9">
        <v>4</v>
      </c>
      <c r="E51" s="35">
        <f>(G51/H51)*100</f>
        <v>22</v>
      </c>
      <c r="F51" s="83"/>
      <c r="G51" s="50">
        <v>220</v>
      </c>
      <c r="H51" s="50">
        <v>1000</v>
      </c>
    </row>
    <row r="52" spans="2:8" ht="25.5" customHeight="1">
      <c r="B52" s="8">
        <v>2</v>
      </c>
      <c r="C52" s="8">
        <v>1</v>
      </c>
      <c r="D52" s="9">
        <v>4</v>
      </c>
      <c r="E52" s="35">
        <f t="shared" ref="E52:E70" si="0">(G52/H52)*100</f>
        <v>32</v>
      </c>
      <c r="F52" s="83"/>
      <c r="G52" s="50">
        <v>480</v>
      </c>
      <c r="H52" s="50">
        <v>1500</v>
      </c>
    </row>
    <row r="53" spans="2:8" ht="25.5" customHeight="1">
      <c r="B53" s="8">
        <v>3</v>
      </c>
      <c r="C53" s="8">
        <v>1</v>
      </c>
      <c r="D53" s="9">
        <v>4</v>
      </c>
      <c r="E53" s="35">
        <f t="shared" si="0"/>
        <v>8</v>
      </c>
      <c r="F53" s="83"/>
      <c r="G53" s="50">
        <v>160</v>
      </c>
      <c r="H53" s="50">
        <v>2000</v>
      </c>
    </row>
    <row r="54" spans="2:8" ht="25.5" customHeight="1">
      <c r="B54" s="8">
        <v>4</v>
      </c>
      <c r="C54" s="8">
        <v>1</v>
      </c>
      <c r="D54" s="9">
        <v>4</v>
      </c>
      <c r="E54" s="35">
        <f t="shared" si="0"/>
        <v>33</v>
      </c>
      <c r="F54" s="83"/>
      <c r="G54" s="50">
        <v>825</v>
      </c>
      <c r="H54" s="50">
        <v>2500</v>
      </c>
    </row>
    <row r="55" spans="2:8" ht="25.5" customHeight="1">
      <c r="B55" s="8">
        <v>5</v>
      </c>
      <c r="C55" s="8">
        <v>1</v>
      </c>
      <c r="D55" s="9">
        <v>4</v>
      </c>
      <c r="E55" s="35">
        <f t="shared" si="0"/>
        <v>35</v>
      </c>
      <c r="F55" s="83"/>
      <c r="G55" s="50">
        <v>630</v>
      </c>
      <c r="H55" s="50">
        <v>1800</v>
      </c>
    </row>
    <row r="56" spans="2:8" ht="25.5" customHeight="1">
      <c r="B56" s="8">
        <v>6</v>
      </c>
      <c r="C56" s="8">
        <v>1</v>
      </c>
      <c r="D56" s="9">
        <v>4</v>
      </c>
      <c r="E56" s="35">
        <f t="shared" si="0"/>
        <v>19</v>
      </c>
      <c r="F56" s="83"/>
      <c r="G56" s="50">
        <v>95</v>
      </c>
      <c r="H56" s="50">
        <v>500</v>
      </c>
    </row>
    <row r="57" spans="2:8" ht="25.5" customHeight="1">
      <c r="B57" s="8">
        <v>7</v>
      </c>
      <c r="C57" s="8">
        <v>1</v>
      </c>
      <c r="D57" s="9">
        <v>4</v>
      </c>
      <c r="E57" s="35">
        <f t="shared" si="0"/>
        <v>30</v>
      </c>
      <c r="F57" s="83"/>
      <c r="G57" s="50">
        <v>1200</v>
      </c>
      <c r="H57" s="50">
        <v>4000</v>
      </c>
    </row>
    <row r="58" spans="2:8" ht="25.5" customHeight="1">
      <c r="B58" s="8">
        <v>8</v>
      </c>
      <c r="C58" s="8">
        <v>1</v>
      </c>
      <c r="D58" s="9">
        <v>4</v>
      </c>
      <c r="E58" s="35">
        <f t="shared" si="0"/>
        <v>48</v>
      </c>
      <c r="F58" s="83"/>
      <c r="G58" s="50">
        <v>360</v>
      </c>
      <c r="H58" s="50">
        <v>750</v>
      </c>
    </row>
    <row r="59" spans="2:8" ht="25.5" customHeight="1">
      <c r="B59" s="8">
        <v>9</v>
      </c>
      <c r="C59" s="8">
        <v>1</v>
      </c>
      <c r="D59" s="9">
        <v>4</v>
      </c>
      <c r="E59" s="35">
        <f t="shared" si="0"/>
        <v>18</v>
      </c>
      <c r="F59" s="83"/>
      <c r="G59" s="50">
        <v>540</v>
      </c>
      <c r="H59" s="50">
        <v>3000</v>
      </c>
    </row>
    <row r="60" spans="2:8" ht="25.5" customHeight="1">
      <c r="B60" s="8">
        <v>10</v>
      </c>
      <c r="C60" s="8">
        <v>1</v>
      </c>
      <c r="D60" s="9">
        <v>4</v>
      </c>
      <c r="E60" s="35">
        <f t="shared" si="0"/>
        <v>42</v>
      </c>
      <c r="F60" s="83"/>
      <c r="G60" s="50">
        <v>2100</v>
      </c>
      <c r="H60" s="50">
        <v>5000</v>
      </c>
    </row>
    <row r="61" spans="2:8" ht="25.5" customHeight="1">
      <c r="B61" s="8">
        <v>11</v>
      </c>
      <c r="C61" s="8">
        <v>1</v>
      </c>
      <c r="D61" s="9">
        <v>4</v>
      </c>
      <c r="E61" s="35">
        <f t="shared" si="0"/>
        <v>22</v>
      </c>
      <c r="F61" s="83"/>
      <c r="G61" s="50">
        <v>88</v>
      </c>
      <c r="H61" s="50">
        <v>400</v>
      </c>
    </row>
    <row r="62" spans="2:8" ht="25.5" customHeight="1">
      <c r="B62" s="8">
        <v>12</v>
      </c>
      <c r="C62" s="8">
        <v>1</v>
      </c>
      <c r="D62" s="9">
        <v>4</v>
      </c>
      <c r="E62" s="35">
        <f t="shared" si="0"/>
        <v>45</v>
      </c>
      <c r="F62" s="83"/>
      <c r="G62" s="50">
        <v>900</v>
      </c>
      <c r="H62" s="50">
        <v>2000</v>
      </c>
    </row>
    <row r="63" spans="2:8" ht="25.5" customHeight="1">
      <c r="B63" s="8">
        <v>13</v>
      </c>
      <c r="C63" s="8">
        <v>1</v>
      </c>
      <c r="D63" s="9">
        <v>4</v>
      </c>
      <c r="E63" s="35">
        <f t="shared" si="0"/>
        <v>39</v>
      </c>
      <c r="F63" s="83"/>
      <c r="G63" s="50">
        <v>468</v>
      </c>
      <c r="H63" s="50">
        <v>1200</v>
      </c>
    </row>
    <row r="64" spans="2:8" ht="25.5" customHeight="1">
      <c r="B64" s="8">
        <v>14</v>
      </c>
      <c r="C64" s="8">
        <v>1</v>
      </c>
      <c r="D64" s="9">
        <v>4</v>
      </c>
      <c r="E64" s="35">
        <f t="shared" si="0"/>
        <v>28.999999999999996</v>
      </c>
      <c r="F64" s="83"/>
      <c r="G64" s="50">
        <v>1740</v>
      </c>
      <c r="H64" s="50">
        <v>6000</v>
      </c>
    </row>
    <row r="65" spans="2:8" ht="25.5" customHeight="1">
      <c r="B65" s="8">
        <v>15</v>
      </c>
      <c r="C65" s="8">
        <v>1</v>
      </c>
      <c r="D65" s="9">
        <v>4</v>
      </c>
      <c r="E65" s="35">
        <f t="shared" si="0"/>
        <v>39</v>
      </c>
      <c r="F65" s="83"/>
      <c r="G65" s="50">
        <v>312</v>
      </c>
      <c r="H65" s="50">
        <v>800</v>
      </c>
    </row>
    <row r="66" spans="2:8" ht="25.5" customHeight="1">
      <c r="B66" s="8">
        <v>16</v>
      </c>
      <c r="C66" s="8">
        <v>1</v>
      </c>
      <c r="D66" s="9">
        <v>4</v>
      </c>
      <c r="E66" s="35">
        <f t="shared" si="0"/>
        <v>10</v>
      </c>
      <c r="F66" s="83"/>
      <c r="G66" s="50">
        <v>220</v>
      </c>
      <c r="H66" s="50">
        <v>2200</v>
      </c>
    </row>
    <row r="67" spans="2:8" ht="25.5" customHeight="1">
      <c r="B67" s="8">
        <v>17</v>
      </c>
      <c r="C67" s="8">
        <v>1</v>
      </c>
      <c r="D67" s="9">
        <v>4</v>
      </c>
      <c r="E67" s="35">
        <f t="shared" si="0"/>
        <v>14.000000000000002</v>
      </c>
      <c r="F67" s="83"/>
      <c r="G67" s="50">
        <v>140</v>
      </c>
      <c r="H67" s="50">
        <v>1000</v>
      </c>
    </row>
    <row r="68" spans="2:8" ht="25.5" customHeight="1">
      <c r="B68" s="8">
        <v>18</v>
      </c>
      <c r="C68" s="8">
        <v>1</v>
      </c>
      <c r="D68" s="9">
        <v>4</v>
      </c>
      <c r="E68" s="35">
        <f t="shared" si="0"/>
        <v>30</v>
      </c>
      <c r="F68" s="83"/>
      <c r="G68" s="50">
        <v>2400</v>
      </c>
      <c r="H68" s="50">
        <v>8000</v>
      </c>
    </row>
    <row r="69" spans="2:8" ht="25.5" customHeight="1">
      <c r="B69" s="8">
        <v>19</v>
      </c>
      <c r="C69" s="8">
        <v>1</v>
      </c>
      <c r="D69" s="9">
        <v>4</v>
      </c>
      <c r="E69" s="35">
        <f t="shared" si="0"/>
        <v>36</v>
      </c>
      <c r="F69" s="83"/>
      <c r="G69" s="50">
        <v>540</v>
      </c>
      <c r="H69" s="50">
        <v>1500</v>
      </c>
    </row>
    <row r="70" spans="2:8" ht="25.5" customHeight="1">
      <c r="B70" s="8">
        <v>20</v>
      </c>
      <c r="C70" s="8">
        <v>1</v>
      </c>
      <c r="D70" s="9">
        <v>4</v>
      </c>
      <c r="E70" s="35">
        <f t="shared" si="0"/>
        <v>30</v>
      </c>
      <c r="F70" s="83"/>
      <c r="G70" s="50">
        <v>990</v>
      </c>
      <c r="H70" s="50">
        <v>3300</v>
      </c>
    </row>
    <row r="71" spans="2:8" ht="15.75">
      <c r="B71" s="44"/>
      <c r="C71" s="4"/>
      <c r="D71" s="4"/>
      <c r="E71" s="17"/>
      <c r="F71" s="13"/>
      <c r="G71" s="21"/>
      <c r="H71" s="4"/>
    </row>
    <row r="72" spans="2:8" ht="15.75">
      <c r="B72" s="42" t="s">
        <v>114</v>
      </c>
      <c r="C72" s="4"/>
      <c r="D72" s="1"/>
      <c r="E72" s="15"/>
      <c r="F72" s="13"/>
    </row>
    <row r="73" spans="2:8" ht="14.25" customHeight="1" thickBot="1">
      <c r="B73" s="4"/>
      <c r="C73" s="4"/>
      <c r="D73" s="4"/>
      <c r="E73" s="17"/>
      <c r="F73" s="13"/>
      <c r="G73" s="22"/>
      <c r="H73" s="4"/>
    </row>
    <row r="74" spans="2:8" ht="29.25" customHeight="1" thickBot="1">
      <c r="B74" s="52" t="s">
        <v>21</v>
      </c>
      <c r="C74" s="53" t="s">
        <v>17</v>
      </c>
      <c r="D74" s="36"/>
      <c r="E74" s="17"/>
      <c r="F74" s="13"/>
      <c r="G74" s="21"/>
      <c r="H74" s="4"/>
    </row>
    <row r="75" spans="2:8" ht="15.75">
      <c r="B75" s="10"/>
      <c r="C75" s="4"/>
      <c r="D75" s="4"/>
      <c r="E75" s="17"/>
      <c r="F75" s="13"/>
      <c r="G75" s="21"/>
      <c r="H75" s="4"/>
    </row>
    <row r="76" spans="2:8" ht="15.75">
      <c r="B76" s="44" t="s">
        <v>37</v>
      </c>
      <c r="C76" s="4"/>
      <c r="D76" s="4"/>
      <c r="E76" s="17"/>
      <c r="F76" s="13"/>
      <c r="G76" s="21"/>
      <c r="H76" s="4"/>
    </row>
    <row r="77" spans="2:8" ht="15.75">
      <c r="B77" s="42" t="s">
        <v>38</v>
      </c>
      <c r="C77" s="4"/>
      <c r="D77" s="1"/>
      <c r="E77" s="15"/>
      <c r="F77" s="13"/>
    </row>
    <row r="78" spans="2:8" ht="15.75">
      <c r="B78" s="40"/>
      <c r="C78" s="4"/>
      <c r="D78" s="4"/>
      <c r="E78" s="17"/>
      <c r="F78" s="13"/>
      <c r="G78" s="20"/>
      <c r="H78" s="4"/>
    </row>
    <row r="79" spans="2:8" ht="15.75">
      <c r="B79" s="48" t="s">
        <v>39</v>
      </c>
      <c r="C79" s="4"/>
      <c r="D79" s="4"/>
      <c r="E79" s="17"/>
      <c r="F79" s="13"/>
      <c r="G79" s="20"/>
      <c r="H79" s="4"/>
    </row>
    <row r="81" spans="2:12" ht="15.75">
      <c r="B81" s="49" t="s">
        <v>18</v>
      </c>
      <c r="C81" s="4"/>
      <c r="D81" s="4"/>
      <c r="E81" s="17"/>
      <c r="F81" s="13"/>
      <c r="G81" s="20"/>
      <c r="H81" s="4"/>
      <c r="I81" s="4"/>
      <c r="J81" s="4"/>
      <c r="K81" s="4"/>
      <c r="L81" s="4"/>
    </row>
    <row r="82" spans="2:12" ht="15.75">
      <c r="B82" s="87" t="s">
        <v>88</v>
      </c>
      <c r="C82" s="4"/>
      <c r="D82" s="4"/>
      <c r="E82" s="17"/>
      <c r="F82" s="13"/>
      <c r="G82" s="20"/>
      <c r="H82" s="4"/>
      <c r="I82" s="4"/>
      <c r="J82" s="4"/>
      <c r="K82" s="4"/>
      <c r="L82" s="4"/>
    </row>
    <row r="83" spans="2:12" ht="15.75">
      <c r="B83" s="87" t="s">
        <v>89</v>
      </c>
      <c r="C83" s="4"/>
      <c r="D83" s="4"/>
      <c r="E83" s="17"/>
      <c r="F83" s="13"/>
      <c r="G83" s="20"/>
      <c r="H83" s="4"/>
      <c r="I83" s="4"/>
      <c r="J83" s="4"/>
      <c r="K83" s="4"/>
      <c r="L83" s="4"/>
    </row>
    <row r="84" spans="2:12" ht="15.75">
      <c r="B84" s="87" t="s">
        <v>90</v>
      </c>
      <c r="C84" s="1"/>
      <c r="D84" s="1"/>
      <c r="E84" s="15"/>
      <c r="F84" s="13"/>
    </row>
    <row r="85" spans="2:12" ht="15.75" thickBot="1">
      <c r="C85" s="1"/>
      <c r="D85" s="1"/>
      <c r="E85" s="15"/>
      <c r="F85" s="13"/>
    </row>
    <row r="86" spans="2:12" ht="22.5" customHeight="1" thickBot="1">
      <c r="B86" s="62" t="s">
        <v>5</v>
      </c>
      <c r="C86" s="62" t="s">
        <v>19</v>
      </c>
      <c r="D86" s="62" t="s">
        <v>7</v>
      </c>
      <c r="E86" s="62" t="s">
        <v>8</v>
      </c>
      <c r="G86" s="64" t="s">
        <v>40</v>
      </c>
      <c r="H86" s="64" t="s">
        <v>41</v>
      </c>
      <c r="I86" s="64" t="s">
        <v>42</v>
      </c>
      <c r="J86" s="64" t="s">
        <v>43</v>
      </c>
      <c r="K86" s="64" t="s">
        <v>44</v>
      </c>
      <c r="L86" s="64" t="s">
        <v>45</v>
      </c>
    </row>
    <row r="87" spans="2:12" ht="15.75">
      <c r="B87" s="1"/>
      <c r="C87" s="1"/>
      <c r="D87" s="1"/>
      <c r="E87" s="15"/>
      <c r="F87" s="13"/>
      <c r="G87" s="21"/>
      <c r="H87" s="4"/>
      <c r="I87" s="4"/>
      <c r="J87" s="4"/>
      <c r="K87" s="4"/>
      <c r="L87" s="4"/>
    </row>
    <row r="88" spans="2:12" ht="23.25" customHeight="1">
      <c r="B88" s="8" t="s">
        <v>22</v>
      </c>
      <c r="C88" s="8">
        <v>2</v>
      </c>
      <c r="D88" s="9">
        <v>0</v>
      </c>
      <c r="E88" s="35">
        <v>835</v>
      </c>
      <c r="F88" s="83"/>
      <c r="G88" s="33">
        <v>210</v>
      </c>
      <c r="H88" s="33">
        <v>85</v>
      </c>
      <c r="I88" s="33">
        <v>540</v>
      </c>
      <c r="J88" s="33"/>
      <c r="K88" s="33"/>
      <c r="L88" s="33"/>
    </row>
    <row r="89" spans="2:12" ht="15.75" customHeight="1">
      <c r="B89" s="1"/>
      <c r="C89" s="1"/>
      <c r="D89" s="1"/>
      <c r="E89" s="15"/>
      <c r="F89" s="13"/>
      <c r="G89" s="34"/>
      <c r="H89" s="34"/>
      <c r="I89" s="4"/>
      <c r="J89" s="4"/>
      <c r="K89" s="4"/>
      <c r="L89" s="4"/>
    </row>
    <row r="90" spans="2:12" ht="23.25">
      <c r="B90" s="8">
        <v>21</v>
      </c>
      <c r="C90" s="8">
        <v>2</v>
      </c>
      <c r="D90" s="9">
        <v>6</v>
      </c>
      <c r="E90" s="35">
        <f>SUM(G90:L90)</f>
        <v>1050</v>
      </c>
      <c r="F90" s="83"/>
      <c r="G90" s="33">
        <v>450</v>
      </c>
      <c r="H90" s="33">
        <v>320</v>
      </c>
      <c r="I90" s="33">
        <v>280</v>
      </c>
      <c r="J90" s="33"/>
      <c r="K90" s="33"/>
      <c r="L90" s="33"/>
    </row>
    <row r="91" spans="2:12" ht="23.25">
      <c r="B91" s="8">
        <v>22</v>
      </c>
      <c r="C91" s="8">
        <v>2</v>
      </c>
      <c r="D91" s="9">
        <v>6</v>
      </c>
      <c r="E91" s="35">
        <f t="shared" ref="E91:E108" si="1">SUM(G91:L91)</f>
        <v>2580</v>
      </c>
      <c r="F91" s="83"/>
      <c r="G91" s="33">
        <v>880</v>
      </c>
      <c r="H91" s="33">
        <v>650</v>
      </c>
      <c r="I91" s="33">
        <v>710</v>
      </c>
      <c r="J91" s="33">
        <v>340</v>
      </c>
      <c r="K91" s="33"/>
      <c r="L91" s="33"/>
    </row>
    <row r="92" spans="2:12" ht="23.25">
      <c r="B92" s="8">
        <v>23</v>
      </c>
      <c r="C92" s="8">
        <v>2</v>
      </c>
      <c r="D92" s="9">
        <v>6</v>
      </c>
      <c r="E92" s="35">
        <f t="shared" si="1"/>
        <v>790</v>
      </c>
      <c r="F92" s="83"/>
      <c r="G92" s="33">
        <v>195</v>
      </c>
      <c r="H92" s="33">
        <v>410</v>
      </c>
      <c r="I92" s="33">
        <v>185</v>
      </c>
      <c r="J92" s="33"/>
      <c r="K92" s="33"/>
      <c r="L92" s="33"/>
    </row>
    <row r="93" spans="2:12" ht="23.25">
      <c r="B93" s="8">
        <v>24</v>
      </c>
      <c r="C93" s="8">
        <v>2</v>
      </c>
      <c r="D93" s="9">
        <v>6</v>
      </c>
      <c r="E93" s="35">
        <f t="shared" si="1"/>
        <v>3475</v>
      </c>
      <c r="F93" s="83"/>
      <c r="G93" s="33">
        <v>1200</v>
      </c>
      <c r="H93" s="33">
        <v>880</v>
      </c>
      <c r="I93" s="33">
        <v>630</v>
      </c>
      <c r="J93" s="33">
        <v>475</v>
      </c>
      <c r="K93" s="33">
        <v>290</v>
      </c>
      <c r="L93" s="33"/>
    </row>
    <row r="94" spans="2:12" ht="23.25">
      <c r="B94" s="8">
        <v>25</v>
      </c>
      <c r="C94" s="8">
        <v>2</v>
      </c>
      <c r="D94" s="9">
        <v>6</v>
      </c>
      <c r="E94" s="35">
        <f t="shared" si="1"/>
        <v>790</v>
      </c>
      <c r="F94" s="83"/>
      <c r="G94" s="33">
        <v>560</v>
      </c>
      <c r="H94" s="33">
        <v>230</v>
      </c>
      <c r="I94" s="33"/>
      <c r="J94" s="33"/>
      <c r="K94" s="33"/>
      <c r="L94" s="33"/>
    </row>
    <row r="95" spans="2:12" ht="23.25">
      <c r="B95" s="8">
        <v>26</v>
      </c>
      <c r="C95" s="8">
        <v>2</v>
      </c>
      <c r="D95" s="9">
        <v>6</v>
      </c>
      <c r="E95" s="35">
        <f t="shared" si="1"/>
        <v>1310</v>
      </c>
      <c r="F95" s="83"/>
      <c r="G95" s="33">
        <v>340</v>
      </c>
      <c r="H95" s="33">
        <v>120</v>
      </c>
      <c r="I95" s="33">
        <v>580</v>
      </c>
      <c r="J95" s="33">
        <v>270</v>
      </c>
      <c r="K95" s="33"/>
      <c r="L95" s="33"/>
    </row>
    <row r="96" spans="2:12" ht="23.25" customHeight="1">
      <c r="B96" s="8">
        <v>27</v>
      </c>
      <c r="C96" s="8">
        <v>2</v>
      </c>
      <c r="D96" s="9">
        <v>6</v>
      </c>
      <c r="E96" s="35">
        <f t="shared" si="1"/>
        <v>5970</v>
      </c>
      <c r="F96" s="83"/>
      <c r="G96" s="33">
        <v>2100</v>
      </c>
      <c r="H96" s="33">
        <v>1500</v>
      </c>
      <c r="I96" s="33">
        <v>980</v>
      </c>
      <c r="J96" s="33">
        <v>670</v>
      </c>
      <c r="K96" s="33">
        <v>430</v>
      </c>
      <c r="L96" s="33">
        <v>290</v>
      </c>
    </row>
    <row r="97" spans="2:12" ht="23.25">
      <c r="B97" s="8">
        <v>28</v>
      </c>
      <c r="C97" s="8">
        <v>2</v>
      </c>
      <c r="D97" s="9">
        <v>6</v>
      </c>
      <c r="E97" s="35">
        <f t="shared" si="1"/>
        <v>285</v>
      </c>
      <c r="F97" s="83"/>
      <c r="G97" s="33">
        <v>75</v>
      </c>
      <c r="H97" s="33">
        <v>210</v>
      </c>
      <c r="I97" s="33"/>
      <c r="J97" s="33"/>
      <c r="K97" s="33"/>
      <c r="L97" s="33"/>
    </row>
    <row r="98" spans="2:12" ht="23.25">
      <c r="B98" s="8">
        <v>29</v>
      </c>
      <c r="C98" s="8">
        <v>2</v>
      </c>
      <c r="D98" s="9">
        <v>6</v>
      </c>
      <c r="E98" s="35">
        <f t="shared" si="1"/>
        <v>1730</v>
      </c>
      <c r="F98" s="83"/>
      <c r="G98" s="33">
        <v>490</v>
      </c>
      <c r="H98" s="33">
        <v>310</v>
      </c>
      <c r="I98" s="33">
        <v>750</v>
      </c>
      <c r="J98" s="33">
        <v>180</v>
      </c>
      <c r="K98" s="33"/>
      <c r="L98" s="33"/>
    </row>
    <row r="99" spans="2:12" ht="23.25">
      <c r="B99" s="8">
        <v>30</v>
      </c>
      <c r="C99" s="8">
        <v>2</v>
      </c>
      <c r="D99" s="9">
        <v>6</v>
      </c>
      <c r="E99" s="35">
        <f t="shared" si="1"/>
        <v>1850</v>
      </c>
      <c r="F99" s="83"/>
      <c r="G99" s="33">
        <v>920</v>
      </c>
      <c r="H99" s="33">
        <v>650</v>
      </c>
      <c r="I99" s="33">
        <v>280</v>
      </c>
      <c r="J99" s="33"/>
      <c r="K99" s="33"/>
      <c r="L99" s="33"/>
    </row>
    <row r="100" spans="2:12" ht="23.25">
      <c r="B100" s="8">
        <v>31</v>
      </c>
      <c r="C100" s="8">
        <v>2</v>
      </c>
      <c r="D100" s="9">
        <v>6</v>
      </c>
      <c r="E100" s="35">
        <f t="shared" si="1"/>
        <v>4680</v>
      </c>
      <c r="F100" s="83"/>
      <c r="G100" s="33">
        <v>1800</v>
      </c>
      <c r="H100" s="33">
        <v>1200</v>
      </c>
      <c r="I100" s="33">
        <v>760</v>
      </c>
      <c r="J100" s="33">
        <v>540</v>
      </c>
      <c r="K100" s="33">
        <v>380</v>
      </c>
      <c r="L100" s="33"/>
    </row>
    <row r="101" spans="2:12" ht="23.25">
      <c r="B101" s="8">
        <v>32</v>
      </c>
      <c r="C101" s="8">
        <v>2</v>
      </c>
      <c r="D101" s="9">
        <v>6</v>
      </c>
      <c r="E101" s="35">
        <f t="shared" si="1"/>
        <v>225</v>
      </c>
      <c r="F101" s="83"/>
      <c r="G101" s="33">
        <v>130</v>
      </c>
      <c r="H101" s="33">
        <v>95</v>
      </c>
      <c r="I101" s="33"/>
      <c r="J101" s="33"/>
      <c r="K101" s="33"/>
      <c r="L101" s="33"/>
    </row>
    <row r="102" spans="2:12" ht="23.25">
      <c r="B102" s="8">
        <v>33</v>
      </c>
      <c r="C102" s="8">
        <v>2</v>
      </c>
      <c r="D102" s="9">
        <v>6</v>
      </c>
      <c r="E102" s="35">
        <f t="shared" si="1"/>
        <v>2230</v>
      </c>
      <c r="F102" s="83"/>
      <c r="G102" s="33">
        <v>680</v>
      </c>
      <c r="H102" s="33">
        <v>450</v>
      </c>
      <c r="I102" s="33">
        <v>290</v>
      </c>
      <c r="J102" s="33">
        <v>810</v>
      </c>
      <c r="K102" s="33"/>
      <c r="L102" s="33"/>
    </row>
    <row r="103" spans="2:12" ht="23.25">
      <c r="B103" s="8">
        <v>34</v>
      </c>
      <c r="C103" s="8">
        <v>2</v>
      </c>
      <c r="D103" s="9">
        <v>6</v>
      </c>
      <c r="E103" s="35">
        <f t="shared" si="1"/>
        <v>1145</v>
      </c>
      <c r="F103" s="83"/>
      <c r="G103" s="33">
        <v>350</v>
      </c>
      <c r="H103" s="33">
        <v>175</v>
      </c>
      <c r="I103" s="33">
        <v>620</v>
      </c>
      <c r="J103" s="33"/>
      <c r="K103" s="33"/>
      <c r="L103" s="33"/>
    </row>
    <row r="104" spans="2:12" ht="23.25">
      <c r="B104" s="8">
        <v>35</v>
      </c>
      <c r="C104" s="8">
        <v>2</v>
      </c>
      <c r="D104" s="9">
        <v>6</v>
      </c>
      <c r="E104" s="35">
        <f t="shared" si="1"/>
        <v>7050</v>
      </c>
      <c r="F104" s="83"/>
      <c r="G104" s="33">
        <v>2400</v>
      </c>
      <c r="H104" s="33">
        <v>1800</v>
      </c>
      <c r="I104" s="33">
        <v>1100</v>
      </c>
      <c r="J104" s="33">
        <v>750</v>
      </c>
      <c r="K104" s="33">
        <v>600</v>
      </c>
      <c r="L104" s="33">
        <v>400</v>
      </c>
    </row>
    <row r="105" spans="2:12" ht="23.25">
      <c r="B105" s="8">
        <v>36</v>
      </c>
      <c r="C105" s="8">
        <v>2</v>
      </c>
      <c r="D105" s="9">
        <v>6</v>
      </c>
      <c r="E105" s="35">
        <f t="shared" si="1"/>
        <v>630</v>
      </c>
      <c r="F105" s="83"/>
      <c r="G105" s="33">
        <v>440</v>
      </c>
      <c r="H105" s="33">
        <v>190</v>
      </c>
      <c r="I105" s="33"/>
      <c r="J105" s="33"/>
      <c r="K105" s="33"/>
      <c r="L105" s="33"/>
    </row>
    <row r="106" spans="2:12" ht="23.25">
      <c r="B106" s="8">
        <v>37</v>
      </c>
      <c r="C106" s="8">
        <v>2</v>
      </c>
      <c r="D106" s="9">
        <v>6</v>
      </c>
      <c r="E106" s="35">
        <f t="shared" si="1"/>
        <v>1900</v>
      </c>
      <c r="F106" s="83"/>
      <c r="G106" s="33">
        <v>760</v>
      </c>
      <c r="H106" s="33">
        <v>520</v>
      </c>
      <c r="I106" s="33">
        <v>380</v>
      </c>
      <c r="J106" s="33">
        <v>240</v>
      </c>
      <c r="K106" s="33"/>
      <c r="L106" s="33"/>
    </row>
    <row r="107" spans="2:12" ht="23.25">
      <c r="B107" s="8">
        <v>38</v>
      </c>
      <c r="C107" s="8">
        <v>2</v>
      </c>
      <c r="D107" s="9">
        <v>6</v>
      </c>
      <c r="E107" s="35">
        <f t="shared" si="1"/>
        <v>590</v>
      </c>
      <c r="F107" s="83"/>
      <c r="G107" s="33">
        <v>85</v>
      </c>
      <c r="H107" s="33">
        <v>310</v>
      </c>
      <c r="I107" s="33">
        <v>195</v>
      </c>
      <c r="J107" s="33"/>
      <c r="K107" s="33"/>
      <c r="L107" s="33"/>
    </row>
    <row r="108" spans="2:12" ht="23.25">
      <c r="B108" s="8">
        <v>39</v>
      </c>
      <c r="C108" s="8">
        <v>2</v>
      </c>
      <c r="D108" s="9">
        <v>6</v>
      </c>
      <c r="E108" s="35">
        <f t="shared" si="1"/>
        <v>4260</v>
      </c>
      <c r="F108" s="83"/>
      <c r="G108" s="33">
        <v>1500</v>
      </c>
      <c r="H108" s="33">
        <v>1100</v>
      </c>
      <c r="I108" s="33">
        <v>820</v>
      </c>
      <c r="J108" s="33">
        <v>530</v>
      </c>
      <c r="K108" s="33">
        <v>310</v>
      </c>
      <c r="L108" s="33"/>
    </row>
    <row r="109" spans="2:12" ht="23.25">
      <c r="B109" s="8">
        <v>40</v>
      </c>
      <c r="C109" s="8">
        <v>2</v>
      </c>
      <c r="D109" s="9">
        <v>6</v>
      </c>
      <c r="E109" s="35">
        <f>SUM(G109:L109)</f>
        <v>1400</v>
      </c>
      <c r="F109" s="83"/>
      <c r="G109" s="33">
        <v>580</v>
      </c>
      <c r="H109" s="33">
        <v>390</v>
      </c>
      <c r="I109" s="33">
        <v>260</v>
      </c>
      <c r="J109" s="33">
        <v>170</v>
      </c>
      <c r="K109" s="33"/>
      <c r="L109" s="33"/>
    </row>
    <row r="110" spans="2:12" ht="15.75">
      <c r="B110" s="44"/>
      <c r="C110" s="4"/>
      <c r="D110" s="4"/>
      <c r="E110" s="17"/>
      <c r="F110" s="13"/>
      <c r="G110" s="21"/>
      <c r="H110" s="4"/>
      <c r="I110" s="4"/>
      <c r="J110" s="4"/>
      <c r="K110" s="4"/>
      <c r="L110" s="4"/>
    </row>
    <row r="111" spans="2:12" ht="15.75">
      <c r="B111" s="42" t="s">
        <v>119</v>
      </c>
      <c r="C111" s="4"/>
      <c r="D111" s="1"/>
      <c r="E111" s="15"/>
      <c r="F111" s="13"/>
    </row>
    <row r="113" spans="2:12" ht="29.25" customHeight="1" thickBot="1">
      <c r="B113" s="52" t="s">
        <v>23</v>
      </c>
      <c r="C113" s="53" t="s">
        <v>24</v>
      </c>
      <c r="D113" s="36"/>
      <c r="E113" s="17"/>
      <c r="F113"/>
      <c r="G113" s="21"/>
      <c r="H113" s="4"/>
      <c r="I113" s="4"/>
      <c r="J113" s="4"/>
      <c r="K113" s="4"/>
      <c r="L113" s="4"/>
    </row>
    <row r="114" spans="2:12" ht="15.75">
      <c r="B114" s="10"/>
      <c r="C114" s="4"/>
      <c r="D114" s="4"/>
      <c r="E114" s="17"/>
      <c r="F114"/>
      <c r="G114" s="21"/>
      <c r="H114" s="4"/>
      <c r="I114" s="4"/>
      <c r="J114" s="4"/>
      <c r="K114" s="4"/>
      <c r="L114" s="4"/>
    </row>
    <row r="115" spans="2:12" ht="15.75">
      <c r="B115" s="44" t="s">
        <v>49</v>
      </c>
      <c r="C115" s="4"/>
      <c r="D115" s="4"/>
      <c r="E115" s="17"/>
      <c r="F115"/>
      <c r="G115" s="21"/>
      <c r="H115" s="4"/>
      <c r="I115" s="4"/>
      <c r="J115" s="4"/>
      <c r="K115" s="4"/>
      <c r="L115" s="4"/>
    </row>
    <row r="116" spans="2:12" ht="15.75">
      <c r="B116" s="43" t="s">
        <v>50</v>
      </c>
      <c r="C116" s="4"/>
      <c r="D116" s="4"/>
      <c r="E116" s="17"/>
      <c r="F116"/>
      <c r="G116" s="21"/>
      <c r="H116" s="4"/>
      <c r="I116" s="4"/>
      <c r="J116" s="4"/>
      <c r="K116" s="4"/>
      <c r="L116" s="4"/>
    </row>
    <row r="117" spans="2:12" ht="15.75">
      <c r="B117" s="42"/>
      <c r="C117" s="4"/>
      <c r="D117" s="4"/>
      <c r="E117" s="17"/>
      <c r="F117"/>
      <c r="G117" s="20"/>
      <c r="H117" s="4"/>
      <c r="I117" s="4"/>
      <c r="J117" s="4"/>
      <c r="K117" s="4"/>
      <c r="L117" s="4"/>
    </row>
    <row r="118" spans="2:12" ht="15.75">
      <c r="B118" s="48" t="s">
        <v>51</v>
      </c>
      <c r="C118" s="4"/>
      <c r="D118" s="4"/>
      <c r="E118" s="17"/>
      <c r="F118"/>
      <c r="G118" s="20"/>
      <c r="H118" s="4"/>
      <c r="I118" s="4"/>
      <c r="J118" s="4"/>
      <c r="K118" s="4"/>
      <c r="L118" s="4"/>
    </row>
    <row r="119" spans="2:12" ht="16.5" customHeight="1">
      <c r="B119" s="82"/>
      <c r="C119" s="4"/>
      <c r="D119" s="4"/>
      <c r="E119" s="17"/>
      <c r="F119"/>
      <c r="G119" s="20"/>
      <c r="H119" s="4"/>
      <c r="I119" s="4"/>
      <c r="J119" s="4"/>
      <c r="K119" s="4"/>
      <c r="L119" s="4"/>
    </row>
    <row r="120" spans="2:12" ht="16.5" customHeight="1">
      <c r="B120" s="41" t="s">
        <v>18</v>
      </c>
      <c r="C120" s="4"/>
      <c r="D120" s="4"/>
      <c r="E120" s="17"/>
      <c r="F120"/>
      <c r="G120" s="20"/>
      <c r="H120" s="4"/>
      <c r="I120" s="4"/>
      <c r="J120" s="4"/>
      <c r="K120" s="4"/>
      <c r="L120" s="4"/>
    </row>
    <row r="121" spans="2:12" ht="15.75">
      <c r="B121" s="87" t="s">
        <v>91</v>
      </c>
      <c r="C121" s="4"/>
      <c r="D121" s="4"/>
      <c r="E121" s="17"/>
      <c r="F121"/>
      <c r="G121" s="20"/>
      <c r="H121" s="4"/>
      <c r="I121" s="4"/>
      <c r="J121" s="4"/>
      <c r="K121" s="4"/>
      <c r="L121" s="4"/>
    </row>
    <row r="122" spans="2:12" ht="15.75" customHeight="1">
      <c r="B122" s="87" t="s">
        <v>92</v>
      </c>
      <c r="C122" s="4"/>
      <c r="D122" s="4"/>
      <c r="E122" s="17"/>
      <c r="F122"/>
      <c r="G122" s="20"/>
      <c r="H122" s="4"/>
      <c r="I122" s="4"/>
      <c r="J122" s="4"/>
      <c r="K122" s="4"/>
      <c r="L122" s="4"/>
    </row>
    <row r="123" spans="2:12" ht="15.75">
      <c r="B123" s="87" t="s">
        <v>93</v>
      </c>
      <c r="C123" s="1"/>
      <c r="D123" s="1"/>
      <c r="E123" s="15"/>
      <c r="F123"/>
      <c r="I123" s="4"/>
      <c r="J123" s="4"/>
      <c r="K123" s="4"/>
      <c r="L123" s="4"/>
    </row>
    <row r="124" spans="2:12" ht="15.75" thickBot="1">
      <c r="B124" s="10"/>
      <c r="C124" s="1"/>
      <c r="D124" s="1"/>
      <c r="E124" s="15"/>
      <c r="F124"/>
      <c r="G124" s="11"/>
      <c r="I124" s="4"/>
      <c r="J124" s="4"/>
      <c r="K124" s="4"/>
      <c r="L124" s="4"/>
    </row>
    <row r="125" spans="2:12" customFormat="1" ht="22.5" customHeight="1" thickBot="1">
      <c r="B125" s="62" t="s">
        <v>5</v>
      </c>
      <c r="C125" s="62" t="s">
        <v>19</v>
      </c>
      <c r="D125" s="62" t="s">
        <v>7</v>
      </c>
      <c r="E125" s="62" t="s">
        <v>8</v>
      </c>
      <c r="G125" s="64" t="s">
        <v>40</v>
      </c>
      <c r="H125" s="64" t="s">
        <v>46</v>
      </c>
      <c r="I125" s="64" t="s">
        <v>41</v>
      </c>
      <c r="J125" s="64" t="s">
        <v>47</v>
      </c>
      <c r="K125" s="64" t="s">
        <v>42</v>
      </c>
      <c r="L125" s="64" t="s">
        <v>48</v>
      </c>
    </row>
    <row r="126" spans="2:12" customFormat="1" ht="15.75">
      <c r="B126" s="1"/>
      <c r="C126" s="1"/>
      <c r="D126" s="1"/>
      <c r="E126" s="15"/>
      <c r="G126" s="21"/>
      <c r="H126" s="4"/>
      <c r="I126" s="4"/>
      <c r="J126" s="4"/>
      <c r="K126" s="4"/>
      <c r="L126" s="4"/>
    </row>
    <row r="127" spans="2:12" customFormat="1" ht="23.25">
      <c r="B127" s="8" t="s">
        <v>25</v>
      </c>
      <c r="C127" s="8">
        <v>3</v>
      </c>
      <c r="D127" s="9">
        <v>0</v>
      </c>
      <c r="E127" s="86">
        <v>68</v>
      </c>
      <c r="F127" s="83"/>
      <c r="G127" s="85">
        <v>450</v>
      </c>
      <c r="H127" s="85">
        <v>1000</v>
      </c>
      <c r="I127" s="85">
        <v>220</v>
      </c>
      <c r="J127" s="85">
        <v>1000</v>
      </c>
      <c r="K127" s="85">
        <v>680</v>
      </c>
      <c r="L127" s="85">
        <v>1000</v>
      </c>
    </row>
    <row r="129" spans="2:18" customFormat="1" ht="23.25" customHeight="1">
      <c r="B129" s="8">
        <v>41</v>
      </c>
      <c r="C129" s="8">
        <v>3</v>
      </c>
      <c r="D129" s="9">
        <v>7</v>
      </c>
      <c r="E129" s="113">
        <f>MAX(N129,P129,R129)</f>
        <v>78</v>
      </c>
      <c r="F129" s="83"/>
      <c r="G129" s="85">
        <v>528</v>
      </c>
      <c r="H129" s="85">
        <v>1200</v>
      </c>
      <c r="I129" s="85">
        <v>660</v>
      </c>
      <c r="J129" s="85">
        <v>1000</v>
      </c>
      <c r="K129" s="85">
        <v>1950</v>
      </c>
      <c r="L129" s="85">
        <v>2500</v>
      </c>
      <c r="N129" s="112">
        <f>(G129/H129)*100</f>
        <v>44</v>
      </c>
      <c r="P129">
        <f>(I129/J129)*100</f>
        <v>66</v>
      </c>
      <c r="R129">
        <f>(K129/L129)*100</f>
        <v>78</v>
      </c>
    </row>
    <row r="130" spans="2:18" customFormat="1" ht="23.25" customHeight="1">
      <c r="B130" s="8">
        <v>42</v>
      </c>
      <c r="C130" s="8">
        <v>3</v>
      </c>
      <c r="D130" s="9">
        <v>7</v>
      </c>
      <c r="E130" s="113">
        <f>MAX(N130,P130,R130)</f>
        <v>80</v>
      </c>
      <c r="F130" s="83"/>
      <c r="G130" s="85">
        <v>2240</v>
      </c>
      <c r="H130" s="85">
        <v>2800</v>
      </c>
      <c r="I130" s="85">
        <v>144</v>
      </c>
      <c r="J130" s="85">
        <v>900</v>
      </c>
      <c r="K130" s="85">
        <v>360</v>
      </c>
      <c r="L130" s="85">
        <v>1800</v>
      </c>
      <c r="N130">
        <f t="shared" ref="N130:N148" si="2">(G130/H130)*100</f>
        <v>80</v>
      </c>
      <c r="P130">
        <f t="shared" ref="P130:P148" si="3">(I130/J130)*100</f>
        <v>16</v>
      </c>
      <c r="R130">
        <f t="shared" ref="R130:R148" si="4">(K130/L130)*100</f>
        <v>20</v>
      </c>
    </row>
    <row r="131" spans="2:18" customFormat="1" ht="23.25" customHeight="1">
      <c r="B131" s="8">
        <v>43</v>
      </c>
      <c r="C131" s="8">
        <v>3</v>
      </c>
      <c r="D131" s="9">
        <v>7</v>
      </c>
      <c r="E131" s="113">
        <f>MAX(N131,P131,R131)</f>
        <v>77</v>
      </c>
      <c r="F131" s="83"/>
      <c r="G131" s="85">
        <v>616</v>
      </c>
      <c r="H131" s="85">
        <v>800</v>
      </c>
      <c r="I131" s="85">
        <v>640</v>
      </c>
      <c r="J131" s="85">
        <v>2000</v>
      </c>
      <c r="K131" s="85">
        <v>140</v>
      </c>
      <c r="L131" s="85">
        <v>1000</v>
      </c>
      <c r="N131">
        <f t="shared" si="2"/>
        <v>77</v>
      </c>
      <c r="P131">
        <f t="shared" si="3"/>
        <v>32</v>
      </c>
      <c r="R131">
        <f t="shared" si="4"/>
        <v>14.000000000000002</v>
      </c>
    </row>
    <row r="132" spans="2:18" customFormat="1" ht="23.25" customHeight="1">
      <c r="B132" s="8">
        <v>44</v>
      </c>
      <c r="C132" s="8">
        <v>3</v>
      </c>
      <c r="D132" s="9">
        <v>7</v>
      </c>
      <c r="E132" s="113">
        <f t="shared" ref="E132:E148" si="5">MAX(N132,P132,R132)</f>
        <v>65</v>
      </c>
      <c r="F132" s="83"/>
      <c r="G132" s="85">
        <v>65</v>
      </c>
      <c r="H132" s="85">
        <v>500</v>
      </c>
      <c r="I132" s="85">
        <v>615</v>
      </c>
      <c r="J132" s="85">
        <v>1500</v>
      </c>
      <c r="K132" s="85">
        <v>1820</v>
      </c>
      <c r="L132" s="85">
        <v>2800</v>
      </c>
      <c r="N132">
        <f t="shared" si="2"/>
        <v>13</v>
      </c>
      <c r="P132">
        <f t="shared" si="3"/>
        <v>41</v>
      </c>
      <c r="R132">
        <f t="shared" si="4"/>
        <v>65</v>
      </c>
    </row>
    <row r="133" spans="2:18" customFormat="1" ht="23.25" customHeight="1">
      <c r="B133" s="8">
        <v>45</v>
      </c>
      <c r="C133" s="8">
        <v>3</v>
      </c>
      <c r="D133" s="9">
        <v>7</v>
      </c>
      <c r="E133" s="113">
        <f t="shared" si="5"/>
        <v>69</v>
      </c>
      <c r="F133" s="83"/>
      <c r="G133" s="85">
        <v>780</v>
      </c>
      <c r="H133" s="85">
        <v>3000</v>
      </c>
      <c r="I133" s="85">
        <v>413.99999999999994</v>
      </c>
      <c r="J133" s="85">
        <v>600</v>
      </c>
      <c r="K133" s="85">
        <v>377</v>
      </c>
      <c r="L133" s="85">
        <v>1300</v>
      </c>
      <c r="N133" s="112">
        <f t="shared" si="2"/>
        <v>26</v>
      </c>
      <c r="P133">
        <f t="shared" si="3"/>
        <v>69</v>
      </c>
      <c r="R133">
        <f t="shared" si="4"/>
        <v>28.999999999999996</v>
      </c>
    </row>
    <row r="134" spans="2:18" customFormat="1" ht="23.25" customHeight="1">
      <c r="B134" s="8">
        <v>46</v>
      </c>
      <c r="C134" s="8">
        <v>3</v>
      </c>
      <c r="D134" s="9">
        <v>7</v>
      </c>
      <c r="E134" s="113">
        <f t="shared" si="5"/>
        <v>61</v>
      </c>
      <c r="F134" s="83"/>
      <c r="G134" s="85">
        <v>210</v>
      </c>
      <c r="H134" s="85">
        <v>1000</v>
      </c>
      <c r="I134" s="85">
        <v>340</v>
      </c>
      <c r="J134" s="85">
        <v>2000</v>
      </c>
      <c r="K134" s="85">
        <v>915</v>
      </c>
      <c r="L134" s="85">
        <v>1500</v>
      </c>
      <c r="N134">
        <f t="shared" si="2"/>
        <v>21</v>
      </c>
      <c r="P134">
        <f t="shared" si="3"/>
        <v>17</v>
      </c>
      <c r="R134">
        <f t="shared" si="4"/>
        <v>61</v>
      </c>
    </row>
    <row r="135" spans="2:18" customFormat="1" ht="23.25" customHeight="1">
      <c r="B135" s="8">
        <v>47</v>
      </c>
      <c r="C135" s="8">
        <v>3</v>
      </c>
      <c r="D135" s="9">
        <v>7</v>
      </c>
      <c r="E135" s="113">
        <f t="shared" si="5"/>
        <v>52</v>
      </c>
      <c r="F135" s="83"/>
      <c r="G135" s="85">
        <v>52</v>
      </c>
      <c r="H135" s="85">
        <v>400</v>
      </c>
      <c r="I135" s="85">
        <v>288</v>
      </c>
      <c r="J135" s="85">
        <v>1200</v>
      </c>
      <c r="K135" s="85">
        <v>1560</v>
      </c>
      <c r="L135" s="85">
        <v>3000</v>
      </c>
      <c r="N135">
        <f t="shared" si="2"/>
        <v>13</v>
      </c>
      <c r="P135">
        <f t="shared" si="3"/>
        <v>24</v>
      </c>
      <c r="R135">
        <f t="shared" si="4"/>
        <v>52</v>
      </c>
    </row>
    <row r="136" spans="2:18" customFormat="1" ht="23.25" customHeight="1">
      <c r="B136" s="8">
        <v>48</v>
      </c>
      <c r="C136" s="8">
        <v>3</v>
      </c>
      <c r="D136" s="9">
        <v>7</v>
      </c>
      <c r="E136" s="113">
        <f t="shared" si="5"/>
        <v>57.999999999999993</v>
      </c>
      <c r="F136" s="83"/>
      <c r="G136" s="85">
        <v>400</v>
      </c>
      <c r="H136" s="85">
        <v>4000</v>
      </c>
      <c r="I136" s="85">
        <v>145</v>
      </c>
      <c r="J136" s="85">
        <v>500</v>
      </c>
      <c r="K136" s="85">
        <v>1739.9999999999998</v>
      </c>
      <c r="L136" s="85">
        <v>3000</v>
      </c>
      <c r="N136">
        <f t="shared" si="2"/>
        <v>10</v>
      </c>
      <c r="P136">
        <f t="shared" si="3"/>
        <v>28.999999999999996</v>
      </c>
      <c r="R136">
        <f t="shared" si="4"/>
        <v>57.999999999999993</v>
      </c>
    </row>
    <row r="137" spans="2:18" customFormat="1" ht="23.25" customHeight="1">
      <c r="B137" s="8">
        <v>49</v>
      </c>
      <c r="C137" s="8">
        <v>3</v>
      </c>
      <c r="D137" s="9">
        <v>7</v>
      </c>
      <c r="E137" s="113">
        <f t="shared" si="5"/>
        <v>54</v>
      </c>
      <c r="F137" s="83"/>
      <c r="G137" s="85">
        <v>90</v>
      </c>
      <c r="H137" s="85">
        <v>300</v>
      </c>
      <c r="I137" s="85">
        <v>200</v>
      </c>
      <c r="J137" s="85">
        <v>2000</v>
      </c>
      <c r="K137" s="85">
        <v>540</v>
      </c>
      <c r="L137" s="85">
        <v>1000</v>
      </c>
      <c r="N137">
        <f t="shared" si="2"/>
        <v>30</v>
      </c>
      <c r="P137">
        <f t="shared" si="3"/>
        <v>10</v>
      </c>
      <c r="R137">
        <f t="shared" si="4"/>
        <v>54</v>
      </c>
    </row>
    <row r="138" spans="2:18" customFormat="1" ht="23.25" customHeight="1">
      <c r="B138" s="8">
        <v>50</v>
      </c>
      <c r="C138" s="8">
        <v>3</v>
      </c>
      <c r="D138" s="9">
        <v>7</v>
      </c>
      <c r="E138" s="113">
        <f t="shared" si="5"/>
        <v>79</v>
      </c>
      <c r="F138" s="83"/>
      <c r="G138" s="85">
        <v>1150</v>
      </c>
      <c r="H138" s="85">
        <v>5000</v>
      </c>
      <c r="I138" s="85">
        <v>632</v>
      </c>
      <c r="J138" s="85">
        <v>800</v>
      </c>
      <c r="K138" s="85">
        <v>1316</v>
      </c>
      <c r="L138" s="85">
        <v>2800</v>
      </c>
      <c r="N138">
        <f t="shared" si="2"/>
        <v>23</v>
      </c>
      <c r="P138">
        <f t="shared" si="3"/>
        <v>79</v>
      </c>
      <c r="R138">
        <f t="shared" si="4"/>
        <v>47</v>
      </c>
    </row>
    <row r="139" spans="2:18" customFormat="1" ht="23.25" customHeight="1">
      <c r="B139" s="8">
        <v>51</v>
      </c>
      <c r="C139" s="8">
        <v>3</v>
      </c>
      <c r="D139" s="9">
        <v>7</v>
      </c>
      <c r="E139" s="113">
        <f t="shared" si="5"/>
        <v>50</v>
      </c>
      <c r="F139" s="83"/>
      <c r="G139" s="85">
        <v>750</v>
      </c>
      <c r="H139" s="85">
        <v>1500</v>
      </c>
      <c r="I139" s="85">
        <v>525</v>
      </c>
      <c r="J139" s="85">
        <v>2500</v>
      </c>
      <c r="K139" s="85">
        <v>350</v>
      </c>
      <c r="L139" s="85">
        <v>700</v>
      </c>
      <c r="N139">
        <f t="shared" si="2"/>
        <v>50</v>
      </c>
      <c r="P139">
        <f t="shared" si="3"/>
        <v>21</v>
      </c>
      <c r="R139">
        <f t="shared" si="4"/>
        <v>50</v>
      </c>
    </row>
    <row r="140" spans="2:18" customFormat="1" ht="23.25" customHeight="1">
      <c r="B140" s="8">
        <v>52</v>
      </c>
      <c r="C140" s="8">
        <v>3</v>
      </c>
      <c r="D140" s="9">
        <v>7</v>
      </c>
      <c r="E140" s="113">
        <f t="shared" si="5"/>
        <v>69</v>
      </c>
      <c r="F140" s="83"/>
      <c r="G140" s="85">
        <v>115.99999999999999</v>
      </c>
      <c r="H140" s="85">
        <v>200</v>
      </c>
      <c r="I140" s="85">
        <v>1188</v>
      </c>
      <c r="J140" s="85">
        <v>1800</v>
      </c>
      <c r="K140" s="85">
        <v>827.99999999999989</v>
      </c>
      <c r="L140" s="85">
        <v>1200</v>
      </c>
      <c r="N140">
        <f t="shared" si="2"/>
        <v>57.999999999999993</v>
      </c>
      <c r="P140">
        <f t="shared" si="3"/>
        <v>66</v>
      </c>
      <c r="R140">
        <f t="shared" si="4"/>
        <v>69</v>
      </c>
    </row>
    <row r="141" spans="2:18" customFormat="1" ht="23.25" customHeight="1">
      <c r="B141" s="8">
        <v>53</v>
      </c>
      <c r="C141" s="8">
        <v>3</v>
      </c>
      <c r="D141" s="9">
        <v>7</v>
      </c>
      <c r="E141" s="113">
        <f t="shared" si="5"/>
        <v>57.999999999999993</v>
      </c>
      <c r="F141" s="83"/>
      <c r="G141" s="85">
        <v>240</v>
      </c>
      <c r="H141" s="85">
        <v>600</v>
      </c>
      <c r="I141" s="85">
        <v>2029.9999999999998</v>
      </c>
      <c r="J141" s="85">
        <v>3500</v>
      </c>
      <c r="K141" s="85">
        <v>468</v>
      </c>
      <c r="L141" s="85">
        <v>1200</v>
      </c>
      <c r="N141">
        <f t="shared" si="2"/>
        <v>40</v>
      </c>
      <c r="P141">
        <f t="shared" si="3"/>
        <v>57.999999999999993</v>
      </c>
      <c r="R141">
        <f t="shared" si="4"/>
        <v>39</v>
      </c>
    </row>
    <row r="142" spans="2:18" customFormat="1" ht="23.25" customHeight="1">
      <c r="B142" s="8">
        <v>54</v>
      </c>
      <c r="C142" s="8">
        <v>3</v>
      </c>
      <c r="D142" s="9">
        <v>7</v>
      </c>
      <c r="E142" s="113">
        <f t="shared" si="5"/>
        <v>77</v>
      </c>
      <c r="F142" s="83"/>
      <c r="G142" s="85">
        <v>1440</v>
      </c>
      <c r="H142" s="85">
        <v>2000</v>
      </c>
      <c r="I142" s="85">
        <v>270</v>
      </c>
      <c r="J142" s="85">
        <v>900</v>
      </c>
      <c r="K142" s="85">
        <v>1540</v>
      </c>
      <c r="L142" s="85">
        <v>2000</v>
      </c>
      <c r="N142">
        <f t="shared" si="2"/>
        <v>72</v>
      </c>
      <c r="P142">
        <f t="shared" si="3"/>
        <v>30</v>
      </c>
      <c r="R142">
        <f t="shared" si="4"/>
        <v>77</v>
      </c>
    </row>
    <row r="143" spans="2:18" customFormat="1" ht="23.25" customHeight="1">
      <c r="B143" s="8">
        <v>55</v>
      </c>
      <c r="C143" s="8">
        <v>3</v>
      </c>
      <c r="D143" s="9">
        <v>7</v>
      </c>
      <c r="E143" s="113">
        <f t="shared" si="5"/>
        <v>63</v>
      </c>
      <c r="F143" s="83"/>
      <c r="G143" s="85">
        <v>110</v>
      </c>
      <c r="H143" s="85">
        <v>1000</v>
      </c>
      <c r="I143" s="85">
        <v>1575</v>
      </c>
      <c r="J143" s="85">
        <v>2500</v>
      </c>
      <c r="K143" s="85">
        <v>765</v>
      </c>
      <c r="L143" s="85">
        <v>1500</v>
      </c>
      <c r="N143">
        <f t="shared" si="2"/>
        <v>11</v>
      </c>
      <c r="P143">
        <f t="shared" si="3"/>
        <v>63</v>
      </c>
      <c r="R143">
        <f t="shared" si="4"/>
        <v>51</v>
      </c>
    </row>
    <row r="144" spans="2:18" customFormat="1" ht="23.25" customHeight="1">
      <c r="B144" s="8">
        <v>56</v>
      </c>
      <c r="C144" s="8">
        <v>3</v>
      </c>
      <c r="D144" s="9">
        <v>7</v>
      </c>
      <c r="E144" s="113">
        <f t="shared" si="5"/>
        <v>41</v>
      </c>
      <c r="F144" s="83"/>
      <c r="G144" s="85">
        <v>2050</v>
      </c>
      <c r="H144" s="85">
        <v>5000</v>
      </c>
      <c r="I144" s="85">
        <v>130</v>
      </c>
      <c r="J144" s="85">
        <v>1000</v>
      </c>
      <c r="K144" s="85">
        <v>340</v>
      </c>
      <c r="L144" s="85">
        <v>1700</v>
      </c>
      <c r="N144">
        <f t="shared" si="2"/>
        <v>41</v>
      </c>
      <c r="P144">
        <f t="shared" si="3"/>
        <v>13</v>
      </c>
      <c r="R144">
        <f t="shared" si="4"/>
        <v>20</v>
      </c>
    </row>
    <row r="145" spans="2:18" customFormat="1" ht="23.25" customHeight="1">
      <c r="B145" s="8">
        <v>57</v>
      </c>
      <c r="C145" s="8">
        <v>3</v>
      </c>
      <c r="D145" s="9">
        <v>7</v>
      </c>
      <c r="E145" s="113">
        <f t="shared" si="5"/>
        <v>67</v>
      </c>
      <c r="F145" s="83"/>
      <c r="G145" s="85">
        <v>335</v>
      </c>
      <c r="H145" s="85">
        <v>500</v>
      </c>
      <c r="I145" s="85">
        <v>312</v>
      </c>
      <c r="J145" s="85">
        <v>1200</v>
      </c>
      <c r="K145" s="85">
        <v>1100</v>
      </c>
      <c r="L145" s="85">
        <v>2000</v>
      </c>
      <c r="N145">
        <f t="shared" si="2"/>
        <v>67</v>
      </c>
      <c r="P145">
        <f t="shared" si="3"/>
        <v>26</v>
      </c>
      <c r="R145">
        <f t="shared" si="4"/>
        <v>55.000000000000007</v>
      </c>
    </row>
    <row r="146" spans="2:18" customFormat="1" ht="23.25" customHeight="1">
      <c r="B146" s="8">
        <v>58</v>
      </c>
      <c r="C146" s="8">
        <v>3</v>
      </c>
      <c r="D146" s="9">
        <v>7</v>
      </c>
      <c r="E146" s="113">
        <f t="shared" si="5"/>
        <v>75</v>
      </c>
      <c r="F146" s="83"/>
      <c r="G146" s="85">
        <v>1480</v>
      </c>
      <c r="H146" s="85">
        <v>4000</v>
      </c>
      <c r="I146" s="85">
        <v>224</v>
      </c>
      <c r="J146" s="85">
        <v>700</v>
      </c>
      <c r="K146" s="85">
        <v>1500</v>
      </c>
      <c r="L146" s="85">
        <v>2000</v>
      </c>
      <c r="N146" s="112">
        <f t="shared" si="2"/>
        <v>37</v>
      </c>
      <c r="P146">
        <f t="shared" si="3"/>
        <v>32</v>
      </c>
      <c r="R146">
        <f t="shared" si="4"/>
        <v>75</v>
      </c>
    </row>
    <row r="147" spans="2:18" customFormat="1" ht="23.25" customHeight="1">
      <c r="B147" s="8">
        <v>59</v>
      </c>
      <c r="C147" s="8">
        <v>3</v>
      </c>
      <c r="D147" s="9">
        <v>7</v>
      </c>
      <c r="E147" s="113">
        <f t="shared" si="5"/>
        <v>38</v>
      </c>
      <c r="F147" s="83"/>
      <c r="G147" s="85">
        <v>210.00000000000003</v>
      </c>
      <c r="H147" s="85">
        <v>1500</v>
      </c>
      <c r="I147" s="85">
        <v>600</v>
      </c>
      <c r="J147" s="85">
        <v>2000</v>
      </c>
      <c r="K147" s="85">
        <v>228</v>
      </c>
      <c r="L147" s="85">
        <v>600</v>
      </c>
      <c r="N147">
        <f t="shared" si="2"/>
        <v>14.000000000000002</v>
      </c>
      <c r="P147">
        <f t="shared" si="3"/>
        <v>30</v>
      </c>
      <c r="R147">
        <f t="shared" si="4"/>
        <v>38</v>
      </c>
    </row>
    <row r="148" spans="2:18" customFormat="1" ht="23.25" customHeight="1">
      <c r="B148" s="8">
        <v>60</v>
      </c>
      <c r="C148" s="8">
        <v>3</v>
      </c>
      <c r="D148" s="9">
        <v>7</v>
      </c>
      <c r="E148" s="113">
        <f t="shared" si="5"/>
        <v>67</v>
      </c>
      <c r="F148" s="83"/>
      <c r="G148" s="85">
        <v>130</v>
      </c>
      <c r="H148" s="85">
        <v>1000</v>
      </c>
      <c r="I148" s="85">
        <v>2010.0000000000002</v>
      </c>
      <c r="J148" s="85">
        <v>3000</v>
      </c>
      <c r="K148" s="85">
        <v>648</v>
      </c>
      <c r="L148" s="85">
        <v>1200</v>
      </c>
      <c r="N148">
        <f t="shared" si="2"/>
        <v>13</v>
      </c>
      <c r="P148">
        <f t="shared" si="3"/>
        <v>67</v>
      </c>
      <c r="R148">
        <f t="shared" si="4"/>
        <v>54</v>
      </c>
    </row>
    <row r="149" spans="2:18" ht="15.75">
      <c r="B149" s="44"/>
      <c r="C149" s="4"/>
      <c r="D149" s="4"/>
      <c r="E149" s="17"/>
      <c r="F149" s="13"/>
      <c r="G149" s="21"/>
      <c r="H149" s="4"/>
      <c r="I149" s="4"/>
      <c r="J149" s="4"/>
      <c r="K149" s="4"/>
      <c r="L149" s="4"/>
    </row>
    <row r="150" spans="2:18" ht="15.75">
      <c r="B150" s="42" t="s">
        <v>118</v>
      </c>
      <c r="C150" s="4"/>
      <c r="D150" s="1"/>
      <c r="E150" s="15"/>
      <c r="F150" s="13"/>
    </row>
    <row r="151" spans="2:18" customFormat="1" ht="15" customHeight="1" thickBot="1">
      <c r="B151" s="4"/>
      <c r="C151" s="4"/>
      <c r="D151" s="4"/>
      <c r="E151" s="4"/>
      <c r="G151" s="4"/>
      <c r="H151" s="4"/>
      <c r="I151" s="4"/>
      <c r="J151" s="4"/>
      <c r="K151" s="4"/>
      <c r="L151" s="4"/>
    </row>
    <row r="152" spans="2:18" customFormat="1" ht="29.25" customHeight="1" thickBot="1">
      <c r="B152" s="52" t="s">
        <v>26</v>
      </c>
      <c r="C152" s="53" t="s">
        <v>24</v>
      </c>
      <c r="D152" s="36"/>
      <c r="E152" s="17"/>
      <c r="G152" s="21"/>
      <c r="H152" s="4"/>
      <c r="I152" s="4"/>
      <c r="J152" s="4"/>
      <c r="K152" s="4"/>
      <c r="L152" s="4"/>
    </row>
    <row r="153" spans="2:18" customFormat="1" ht="15.75">
      <c r="B153" s="10"/>
      <c r="C153" s="4"/>
      <c r="D153" s="4"/>
      <c r="E153" s="17"/>
      <c r="G153" s="21"/>
      <c r="H153" s="4"/>
      <c r="I153" s="4"/>
      <c r="J153" s="4"/>
      <c r="K153" s="4"/>
      <c r="L153" s="4"/>
    </row>
    <row r="154" spans="2:18" customFormat="1" ht="15.75">
      <c r="B154" s="22" t="s">
        <v>52</v>
      </c>
      <c r="C154" s="4"/>
      <c r="D154" s="4"/>
      <c r="E154" s="17"/>
      <c r="G154" s="21"/>
      <c r="H154" s="4"/>
      <c r="I154" s="4"/>
      <c r="J154" s="4"/>
      <c r="K154" s="4"/>
      <c r="L154" s="4"/>
    </row>
    <row r="155" spans="2:18" customFormat="1" ht="15.75" customHeight="1">
      <c r="B155" s="47" t="s">
        <v>53</v>
      </c>
      <c r="C155" s="4"/>
      <c r="D155" s="4"/>
      <c r="E155" s="17"/>
      <c r="G155" s="21"/>
      <c r="H155" s="4"/>
      <c r="I155" s="4"/>
      <c r="J155" s="4"/>
      <c r="K155" s="4"/>
      <c r="L155" s="4"/>
    </row>
    <row r="156" spans="2:18" customFormat="1" ht="15.75" customHeight="1">
      <c r="B156" s="54" t="s">
        <v>54</v>
      </c>
      <c r="C156" s="4"/>
      <c r="D156" s="4"/>
      <c r="E156" s="17"/>
      <c r="G156" s="21"/>
      <c r="H156" s="4"/>
      <c r="I156" s="4"/>
      <c r="J156" s="4"/>
      <c r="K156" s="4"/>
      <c r="L156" s="4"/>
    </row>
    <row r="157" spans="2:18" customFormat="1" ht="15.75">
      <c r="B157" s="43"/>
      <c r="C157" s="4"/>
      <c r="D157" s="4"/>
      <c r="E157" s="17"/>
      <c r="G157" s="21"/>
      <c r="H157" s="4"/>
      <c r="I157" s="4"/>
      <c r="J157" s="4"/>
      <c r="K157" s="4"/>
      <c r="L157" s="4"/>
    </row>
    <row r="158" spans="2:18" customFormat="1" ht="15.75" customHeight="1">
      <c r="B158" s="48" t="s">
        <v>68</v>
      </c>
      <c r="C158" s="4"/>
      <c r="D158" s="4"/>
      <c r="E158" s="17"/>
      <c r="G158" s="21"/>
      <c r="H158" s="4"/>
      <c r="I158" s="4"/>
      <c r="J158" s="4"/>
      <c r="K158" s="4"/>
      <c r="L158" s="4"/>
    </row>
    <row r="159" spans="2:18" customFormat="1" ht="15.75">
      <c r="B159" s="22"/>
      <c r="C159" s="4"/>
      <c r="D159" s="4"/>
      <c r="E159" s="17"/>
      <c r="G159" s="21"/>
      <c r="H159" s="4"/>
      <c r="I159" s="4"/>
      <c r="J159" s="4"/>
      <c r="K159" s="4"/>
      <c r="L159" s="4"/>
    </row>
    <row r="160" spans="2:18" customFormat="1" ht="15.75">
      <c r="B160" s="49" t="s">
        <v>18</v>
      </c>
      <c r="C160" s="4"/>
      <c r="D160" s="4"/>
      <c r="E160" s="17"/>
      <c r="G160" s="21"/>
      <c r="H160" s="4"/>
      <c r="I160" s="4"/>
      <c r="J160" s="4"/>
      <c r="K160" s="4"/>
      <c r="L160" s="4"/>
    </row>
    <row r="161" spans="2:28" customFormat="1" ht="15.75">
      <c r="B161" s="87" t="s">
        <v>94</v>
      </c>
      <c r="C161" s="4"/>
      <c r="D161" s="4"/>
      <c r="E161" s="17"/>
      <c r="G161" s="21"/>
      <c r="H161" s="4"/>
      <c r="I161" s="4"/>
      <c r="J161" s="4"/>
      <c r="K161" s="4"/>
      <c r="L161" s="4"/>
      <c r="M161" s="4"/>
      <c r="N161" s="4"/>
      <c r="O161" s="4"/>
      <c r="P161" s="4"/>
    </row>
    <row r="162" spans="2:28" customFormat="1" ht="15.75">
      <c r="B162" s="87" t="s">
        <v>86</v>
      </c>
      <c r="C162" s="4"/>
      <c r="D162" s="1"/>
      <c r="E162" s="15"/>
      <c r="G162" s="1"/>
      <c r="H162" s="1"/>
      <c r="I162" s="4"/>
      <c r="J162" s="4"/>
      <c r="K162" s="4"/>
      <c r="L162" s="4"/>
      <c r="M162" s="4"/>
      <c r="N162" s="4"/>
      <c r="O162" s="4"/>
      <c r="P162" s="4"/>
    </row>
    <row r="163" spans="2:28" customFormat="1" ht="15.75">
      <c r="B163" s="87" t="s">
        <v>87</v>
      </c>
      <c r="C163" s="4"/>
      <c r="D163" s="4"/>
      <c r="E163" s="17"/>
      <c r="G163" s="20"/>
      <c r="H163" s="4"/>
      <c r="I163" s="4"/>
      <c r="J163" s="4"/>
      <c r="K163" s="4"/>
      <c r="L163" s="4"/>
      <c r="M163" s="4"/>
      <c r="N163" s="4"/>
      <c r="O163" s="4"/>
      <c r="P163" s="4"/>
    </row>
    <row r="164" spans="2:28" customFormat="1" ht="15.75" thickBot="1">
      <c r="B164" s="2"/>
      <c r="C164" s="1"/>
      <c r="D164" s="1"/>
      <c r="E164" s="15"/>
      <c r="G164" s="1"/>
      <c r="H164" s="1"/>
      <c r="I164" s="4"/>
      <c r="J164" s="4"/>
      <c r="K164" s="4"/>
      <c r="L164" s="4"/>
      <c r="M164" s="4"/>
      <c r="N164" s="4"/>
      <c r="O164" s="4"/>
      <c r="P164" s="4"/>
    </row>
    <row r="165" spans="2:28" ht="22.5" customHeight="1" thickBot="1">
      <c r="B165" s="62" t="s">
        <v>5</v>
      </c>
      <c r="C165" s="62" t="s">
        <v>19</v>
      </c>
      <c r="D165" s="62" t="s">
        <v>7</v>
      </c>
      <c r="E165" s="62" t="s">
        <v>8</v>
      </c>
      <c r="F165"/>
      <c r="G165" s="64" t="s">
        <v>40</v>
      </c>
      <c r="H165" s="64" t="s">
        <v>46</v>
      </c>
      <c r="I165" s="64" t="s">
        <v>41</v>
      </c>
      <c r="J165" s="64" t="s">
        <v>47</v>
      </c>
      <c r="K165" s="64" t="s">
        <v>42</v>
      </c>
      <c r="L165" s="64" t="s">
        <v>48</v>
      </c>
      <c r="M165" s="64" t="s">
        <v>43</v>
      </c>
      <c r="N165" s="64" t="s">
        <v>135</v>
      </c>
      <c r="O165" s="64" t="s">
        <v>44</v>
      </c>
      <c r="P165" s="64" t="s">
        <v>136</v>
      </c>
    </row>
    <row r="166" spans="2:28">
      <c r="B166" s="1"/>
      <c r="C166" s="1"/>
      <c r="D166" s="1"/>
      <c r="E166" s="15"/>
      <c r="F166"/>
      <c r="G166" s="4"/>
      <c r="H166" s="4"/>
      <c r="I166" s="4"/>
      <c r="J166" s="4"/>
      <c r="K166" s="4"/>
      <c r="L166" s="4"/>
      <c r="M166" s="4"/>
      <c r="N166" s="4"/>
      <c r="O166" s="4"/>
      <c r="P166" s="4"/>
    </row>
    <row r="167" spans="2:28" ht="23.25">
      <c r="B167" s="8" t="s">
        <v>27</v>
      </c>
      <c r="C167" s="8">
        <v>4</v>
      </c>
      <c r="D167" s="9">
        <v>0</v>
      </c>
      <c r="E167" s="35">
        <v>3</v>
      </c>
      <c r="F167" s="83"/>
      <c r="G167" s="33">
        <v>450</v>
      </c>
      <c r="H167" s="33">
        <v>1000</v>
      </c>
      <c r="I167" s="33">
        <v>220</v>
      </c>
      <c r="J167" s="33">
        <v>1000</v>
      </c>
      <c r="K167" s="33">
        <v>680</v>
      </c>
      <c r="L167" s="33">
        <v>1000</v>
      </c>
      <c r="M167" s="33">
        <v>260</v>
      </c>
      <c r="N167" s="33">
        <v>1000</v>
      </c>
      <c r="O167" s="33">
        <v>860</v>
      </c>
      <c r="P167" s="33">
        <v>1000</v>
      </c>
    </row>
    <row r="168" spans="2:28">
      <c r="B168" s="1"/>
      <c r="C168" s="1"/>
      <c r="D168" s="1"/>
      <c r="E168" s="45"/>
      <c r="F168" s="13"/>
      <c r="G168" s="38"/>
      <c r="H168" s="4"/>
      <c r="I168" s="4"/>
      <c r="J168" s="4"/>
      <c r="K168" s="4"/>
      <c r="L168" s="4"/>
      <c r="M168" s="4"/>
      <c r="N168" s="4"/>
      <c r="O168" s="4"/>
      <c r="P168" s="4"/>
    </row>
    <row r="169" spans="2:28" ht="23.25" customHeight="1">
      <c r="B169" s="8">
        <v>61</v>
      </c>
      <c r="C169" s="8">
        <v>4</v>
      </c>
      <c r="D169" s="9">
        <v>7</v>
      </c>
      <c r="E169" s="35">
        <f>COUNTIF(R169:Z169,"&gt;40")</f>
        <v>2</v>
      </c>
      <c r="F169" s="83"/>
      <c r="G169" s="33">
        <v>420</v>
      </c>
      <c r="H169" s="33">
        <v>1200</v>
      </c>
      <c r="I169" s="33">
        <v>150</v>
      </c>
      <c r="J169" s="33">
        <v>1000</v>
      </c>
      <c r="K169" s="33">
        <v>1150</v>
      </c>
      <c r="L169" s="33">
        <v>2500</v>
      </c>
      <c r="M169" s="33">
        <v>700</v>
      </c>
      <c r="N169" s="33">
        <v>1000</v>
      </c>
      <c r="O169" s="33">
        <v>325</v>
      </c>
      <c r="P169" s="33">
        <v>2500</v>
      </c>
      <c r="R169">
        <f>(G169/H169)*100</f>
        <v>35</v>
      </c>
      <c r="T169">
        <f>(I169/J169)*100</f>
        <v>15</v>
      </c>
      <c r="V169">
        <f>(K169/L169)*100</f>
        <v>46</v>
      </c>
      <c r="X169">
        <f>(M169/N169)*100</f>
        <v>70</v>
      </c>
      <c r="Z169">
        <f>(O169/P169)*100</f>
        <v>13</v>
      </c>
      <c r="AB169"/>
    </row>
    <row r="170" spans="2:28" ht="23.25" customHeight="1">
      <c r="B170" s="8">
        <v>62</v>
      </c>
      <c r="C170" s="8">
        <v>4</v>
      </c>
      <c r="D170" s="9">
        <v>7</v>
      </c>
      <c r="E170" s="35">
        <f t="shared" ref="E170:E188" si="6">COUNTIF(R170:Z170,"&gt;40")</f>
        <v>3</v>
      </c>
      <c r="F170" s="83"/>
      <c r="G170" s="33">
        <v>896</v>
      </c>
      <c r="H170" s="33">
        <v>2800</v>
      </c>
      <c r="I170" s="33">
        <v>468</v>
      </c>
      <c r="J170" s="33">
        <v>900</v>
      </c>
      <c r="K170" s="33">
        <v>756</v>
      </c>
      <c r="L170" s="33">
        <v>1800</v>
      </c>
      <c r="M170" s="33">
        <v>189</v>
      </c>
      <c r="N170" s="33">
        <v>900</v>
      </c>
      <c r="O170" s="33">
        <v>1710</v>
      </c>
      <c r="P170" s="33">
        <v>1800</v>
      </c>
      <c r="R170">
        <f t="shared" ref="R170:R188" si="7">(G170/H170)*100</f>
        <v>32</v>
      </c>
      <c r="T170">
        <f t="shared" ref="T170:T188" si="8">(I170/J170)*100</f>
        <v>52</v>
      </c>
      <c r="V170">
        <f t="shared" ref="V170:V188" si="9">(K170/L170)*100</f>
        <v>42</v>
      </c>
      <c r="X170">
        <f t="shared" ref="X170:X188" si="10">(M170/N170)*100</f>
        <v>21</v>
      </c>
      <c r="Z170">
        <f t="shared" ref="Z170:Z188" si="11">(O170/P170)*100</f>
        <v>95</v>
      </c>
    </row>
    <row r="171" spans="2:28" ht="23.25" customHeight="1">
      <c r="B171" s="8">
        <v>63</v>
      </c>
      <c r="C171" s="8">
        <v>4</v>
      </c>
      <c r="D171" s="9">
        <v>7</v>
      </c>
      <c r="E171" s="35">
        <f t="shared" si="6"/>
        <v>4</v>
      </c>
      <c r="F171" s="83"/>
      <c r="G171" s="33">
        <v>560</v>
      </c>
      <c r="H171" s="33">
        <v>800</v>
      </c>
      <c r="I171" s="33">
        <v>1900</v>
      </c>
      <c r="J171" s="33">
        <v>2000</v>
      </c>
      <c r="K171" s="33">
        <v>780</v>
      </c>
      <c r="L171" s="33">
        <v>1000</v>
      </c>
      <c r="M171" s="33">
        <v>1900</v>
      </c>
      <c r="N171" s="33">
        <v>2000</v>
      </c>
      <c r="O171" s="33">
        <v>140</v>
      </c>
      <c r="P171" s="33">
        <v>1000</v>
      </c>
      <c r="R171">
        <f>(G171/H171)*100</f>
        <v>70</v>
      </c>
      <c r="T171">
        <f>(I171/J171)*100</f>
        <v>95</v>
      </c>
      <c r="V171">
        <f>(K171/L171)*100</f>
        <v>78</v>
      </c>
      <c r="X171">
        <f>(M171/N171)*100</f>
        <v>95</v>
      </c>
      <c r="Z171">
        <f>(O171/P171)*100</f>
        <v>14.000000000000002</v>
      </c>
    </row>
    <row r="172" spans="2:28" ht="23.25" customHeight="1">
      <c r="B172" s="8">
        <v>64</v>
      </c>
      <c r="C172" s="8">
        <v>4</v>
      </c>
      <c r="D172" s="9">
        <v>7</v>
      </c>
      <c r="E172" s="35">
        <f t="shared" si="6"/>
        <v>4</v>
      </c>
      <c r="F172" s="83"/>
      <c r="G172" s="33">
        <v>155</v>
      </c>
      <c r="H172" s="33">
        <v>500</v>
      </c>
      <c r="I172" s="33">
        <v>1110</v>
      </c>
      <c r="J172" s="33">
        <v>1500</v>
      </c>
      <c r="K172" s="33">
        <v>1365</v>
      </c>
      <c r="L172" s="33">
        <v>1500</v>
      </c>
      <c r="M172" s="33">
        <v>1290</v>
      </c>
      <c r="N172" s="33">
        <v>1500</v>
      </c>
      <c r="O172" s="33">
        <v>345</v>
      </c>
      <c r="P172" s="33">
        <v>500</v>
      </c>
      <c r="R172">
        <f t="shared" si="7"/>
        <v>31</v>
      </c>
      <c r="T172">
        <f t="shared" si="8"/>
        <v>74</v>
      </c>
      <c r="V172">
        <f t="shared" si="9"/>
        <v>91</v>
      </c>
      <c r="X172">
        <f t="shared" si="10"/>
        <v>86</v>
      </c>
      <c r="Z172">
        <f t="shared" si="11"/>
        <v>69</v>
      </c>
    </row>
    <row r="173" spans="2:28" ht="23.25" customHeight="1">
      <c r="B173" s="8">
        <v>65</v>
      </c>
      <c r="C173" s="8">
        <v>4</v>
      </c>
      <c r="D173" s="9">
        <v>7</v>
      </c>
      <c r="E173" s="35">
        <f t="shared" si="6"/>
        <v>3</v>
      </c>
      <c r="F173" s="83"/>
      <c r="G173" s="33">
        <v>1110</v>
      </c>
      <c r="H173" s="33">
        <v>3000</v>
      </c>
      <c r="I173" s="33">
        <v>341.99999999999994</v>
      </c>
      <c r="J173" s="33">
        <v>600</v>
      </c>
      <c r="K173" s="33">
        <v>1273</v>
      </c>
      <c r="L173" s="33">
        <v>1900</v>
      </c>
      <c r="M173" s="33">
        <v>498</v>
      </c>
      <c r="N173" s="33">
        <v>600</v>
      </c>
      <c r="O173" s="33">
        <v>1014</v>
      </c>
      <c r="P173" s="33">
        <v>3900</v>
      </c>
      <c r="R173">
        <f t="shared" si="7"/>
        <v>37</v>
      </c>
      <c r="T173">
        <f t="shared" si="8"/>
        <v>56.999999999999993</v>
      </c>
      <c r="V173">
        <f t="shared" si="9"/>
        <v>67</v>
      </c>
      <c r="X173">
        <f t="shared" si="10"/>
        <v>83</v>
      </c>
      <c r="Z173">
        <f t="shared" si="11"/>
        <v>26</v>
      </c>
    </row>
    <row r="174" spans="2:28" ht="23.25" customHeight="1">
      <c r="B174" s="8">
        <v>66</v>
      </c>
      <c r="C174" s="8">
        <v>4</v>
      </c>
      <c r="D174" s="9">
        <v>7</v>
      </c>
      <c r="E174" s="35">
        <f>COUNTIF(R174:Z174,"&gt;40")</f>
        <v>4</v>
      </c>
      <c r="F174" s="83"/>
      <c r="G174" s="33">
        <v>540</v>
      </c>
      <c r="H174" s="33">
        <v>1000</v>
      </c>
      <c r="I174" s="33">
        <v>1620</v>
      </c>
      <c r="J174" s="33">
        <v>2000</v>
      </c>
      <c r="K174" s="33">
        <v>720</v>
      </c>
      <c r="L174" s="33">
        <v>1500</v>
      </c>
      <c r="M174" s="33">
        <v>1520</v>
      </c>
      <c r="N174" s="33">
        <v>2000</v>
      </c>
      <c r="O174" s="33">
        <v>345</v>
      </c>
      <c r="P174" s="33">
        <v>1500</v>
      </c>
      <c r="R174">
        <f t="shared" si="7"/>
        <v>54</v>
      </c>
      <c r="T174">
        <f t="shared" si="8"/>
        <v>81</v>
      </c>
      <c r="V174">
        <f t="shared" si="9"/>
        <v>48</v>
      </c>
      <c r="X174">
        <f t="shared" si="10"/>
        <v>76</v>
      </c>
      <c r="Z174">
        <f t="shared" si="11"/>
        <v>23</v>
      </c>
    </row>
    <row r="175" spans="2:28" ht="23.25" customHeight="1">
      <c r="B175" s="8">
        <v>67</v>
      </c>
      <c r="C175" s="8">
        <v>4</v>
      </c>
      <c r="D175" s="9">
        <v>7</v>
      </c>
      <c r="E175" s="35">
        <f t="shared" si="6"/>
        <v>2</v>
      </c>
      <c r="F175" s="83"/>
      <c r="G175" s="33">
        <v>336</v>
      </c>
      <c r="H175" s="33">
        <v>400</v>
      </c>
      <c r="I175" s="33">
        <v>168.00000000000003</v>
      </c>
      <c r="J175" s="33">
        <v>1200</v>
      </c>
      <c r="K175" s="33">
        <v>640</v>
      </c>
      <c r="L175" s="33">
        <v>2000</v>
      </c>
      <c r="M175" s="33">
        <v>408.00000000000006</v>
      </c>
      <c r="N175" s="33">
        <v>1200</v>
      </c>
      <c r="O175" s="33">
        <v>1196</v>
      </c>
      <c r="P175" s="33">
        <v>2300</v>
      </c>
      <c r="R175">
        <f t="shared" si="7"/>
        <v>84</v>
      </c>
      <c r="T175">
        <f t="shared" si="8"/>
        <v>14.000000000000002</v>
      </c>
      <c r="V175">
        <f t="shared" si="9"/>
        <v>32</v>
      </c>
      <c r="X175">
        <f t="shared" si="10"/>
        <v>34</v>
      </c>
      <c r="Z175">
        <f t="shared" si="11"/>
        <v>52</v>
      </c>
    </row>
    <row r="176" spans="2:28" ht="23.25" customHeight="1">
      <c r="B176" s="8">
        <v>68</v>
      </c>
      <c r="C176" s="8">
        <v>4</v>
      </c>
      <c r="D176" s="9">
        <v>7</v>
      </c>
      <c r="E176" s="35">
        <f t="shared" si="6"/>
        <v>5</v>
      </c>
      <c r="F176" s="83"/>
      <c r="G176" s="33">
        <v>2240</v>
      </c>
      <c r="H176" s="33">
        <v>4000</v>
      </c>
      <c r="I176" s="33">
        <v>285</v>
      </c>
      <c r="J176" s="33">
        <v>500</v>
      </c>
      <c r="K176" s="33">
        <v>2460</v>
      </c>
      <c r="L176" s="33">
        <v>3000</v>
      </c>
      <c r="M176" s="33">
        <v>230</v>
      </c>
      <c r="N176" s="33">
        <v>500</v>
      </c>
      <c r="O176" s="33">
        <v>1560</v>
      </c>
      <c r="P176" s="33">
        <v>3000</v>
      </c>
      <c r="R176">
        <f t="shared" si="7"/>
        <v>56.000000000000007</v>
      </c>
      <c r="T176">
        <f t="shared" si="8"/>
        <v>56.999999999999993</v>
      </c>
      <c r="V176">
        <f t="shared" si="9"/>
        <v>82</v>
      </c>
      <c r="X176">
        <f t="shared" si="10"/>
        <v>46</v>
      </c>
      <c r="Z176">
        <f t="shared" si="11"/>
        <v>52</v>
      </c>
    </row>
    <row r="177" spans="2:26" ht="23.25" customHeight="1">
      <c r="B177" s="8">
        <v>69</v>
      </c>
      <c r="C177" s="8">
        <v>4</v>
      </c>
      <c r="D177" s="9">
        <v>7</v>
      </c>
      <c r="E177" s="35">
        <f t="shared" si="6"/>
        <v>4</v>
      </c>
      <c r="F177" s="83"/>
      <c r="G177" s="33">
        <v>258</v>
      </c>
      <c r="H177" s="33">
        <v>300</v>
      </c>
      <c r="I177" s="33">
        <v>1840</v>
      </c>
      <c r="J177" s="33">
        <v>2000</v>
      </c>
      <c r="K177" s="33">
        <v>930</v>
      </c>
      <c r="L177" s="33">
        <v>1000</v>
      </c>
      <c r="M177" s="33">
        <v>1400</v>
      </c>
      <c r="N177" s="33">
        <v>2000</v>
      </c>
      <c r="O177" s="33">
        <v>300</v>
      </c>
      <c r="P177" s="33">
        <v>1000</v>
      </c>
      <c r="R177">
        <f t="shared" si="7"/>
        <v>86</v>
      </c>
      <c r="T177">
        <f t="shared" si="8"/>
        <v>92</v>
      </c>
      <c r="V177">
        <f t="shared" si="9"/>
        <v>93</v>
      </c>
      <c r="X177">
        <f t="shared" si="10"/>
        <v>70</v>
      </c>
      <c r="Z177">
        <f t="shared" si="11"/>
        <v>30</v>
      </c>
    </row>
    <row r="178" spans="2:26" ht="23.25" customHeight="1">
      <c r="B178" s="8">
        <v>70</v>
      </c>
      <c r="C178" s="8">
        <v>4</v>
      </c>
      <c r="D178" s="9">
        <v>7</v>
      </c>
      <c r="E178" s="35">
        <f t="shared" si="6"/>
        <v>2</v>
      </c>
      <c r="F178" s="83"/>
      <c r="G178" s="33">
        <v>700.00000000000011</v>
      </c>
      <c r="H178" s="33">
        <v>5000</v>
      </c>
      <c r="I178" s="33">
        <v>152</v>
      </c>
      <c r="J178" s="33">
        <v>800</v>
      </c>
      <c r="K178" s="33">
        <v>1632.0000000000002</v>
      </c>
      <c r="L178" s="33">
        <v>2400</v>
      </c>
      <c r="M178" s="33">
        <v>640</v>
      </c>
      <c r="N178" s="33">
        <v>800</v>
      </c>
      <c r="O178" s="33">
        <v>168</v>
      </c>
      <c r="P178" s="33">
        <v>800</v>
      </c>
      <c r="R178">
        <f t="shared" si="7"/>
        <v>14.000000000000002</v>
      </c>
      <c r="T178">
        <f t="shared" si="8"/>
        <v>19</v>
      </c>
      <c r="V178">
        <f t="shared" si="9"/>
        <v>68</v>
      </c>
      <c r="X178">
        <f t="shared" si="10"/>
        <v>80</v>
      </c>
      <c r="Z178">
        <f t="shared" si="11"/>
        <v>21</v>
      </c>
    </row>
    <row r="179" spans="2:26" ht="23.25" customHeight="1">
      <c r="B179" s="8">
        <v>71</v>
      </c>
      <c r="C179" s="8">
        <v>4</v>
      </c>
      <c r="D179" s="9">
        <v>7</v>
      </c>
      <c r="E179" s="35">
        <f t="shared" si="6"/>
        <v>3</v>
      </c>
      <c r="F179" s="83"/>
      <c r="G179" s="33">
        <v>930</v>
      </c>
      <c r="H179" s="33">
        <v>1500</v>
      </c>
      <c r="I179" s="33">
        <v>450</v>
      </c>
      <c r="J179" s="33">
        <v>2500</v>
      </c>
      <c r="K179" s="33">
        <v>441</v>
      </c>
      <c r="L179" s="33">
        <v>700</v>
      </c>
      <c r="M179" s="33">
        <v>1724.9999999999998</v>
      </c>
      <c r="N179" s="33">
        <v>2500</v>
      </c>
      <c r="O179" s="33">
        <v>140</v>
      </c>
      <c r="P179" s="33">
        <v>700</v>
      </c>
      <c r="R179">
        <f t="shared" si="7"/>
        <v>62</v>
      </c>
      <c r="T179">
        <f t="shared" si="8"/>
        <v>18</v>
      </c>
      <c r="V179">
        <f t="shared" si="9"/>
        <v>63</v>
      </c>
      <c r="X179">
        <f t="shared" si="10"/>
        <v>69</v>
      </c>
      <c r="Z179">
        <f t="shared" si="11"/>
        <v>20</v>
      </c>
    </row>
    <row r="180" spans="2:26" ht="23.25" customHeight="1">
      <c r="B180" s="8">
        <v>72</v>
      </c>
      <c r="C180" s="8">
        <v>4</v>
      </c>
      <c r="D180" s="9">
        <v>7</v>
      </c>
      <c r="E180" s="35">
        <f t="shared" si="6"/>
        <v>4</v>
      </c>
      <c r="F180" s="83"/>
      <c r="G180" s="33">
        <v>60</v>
      </c>
      <c r="H180" s="33">
        <v>200</v>
      </c>
      <c r="I180" s="33">
        <v>936</v>
      </c>
      <c r="J180" s="33">
        <v>1800</v>
      </c>
      <c r="K180" s="33">
        <v>747</v>
      </c>
      <c r="L180" s="33">
        <v>900</v>
      </c>
      <c r="M180" s="33">
        <v>936</v>
      </c>
      <c r="N180" s="33">
        <v>1800</v>
      </c>
      <c r="O180" s="33">
        <v>1140</v>
      </c>
      <c r="P180" s="33">
        <v>1200</v>
      </c>
      <c r="R180">
        <f t="shared" si="7"/>
        <v>30</v>
      </c>
      <c r="T180">
        <f t="shared" si="8"/>
        <v>52</v>
      </c>
      <c r="V180">
        <f t="shared" si="9"/>
        <v>83</v>
      </c>
      <c r="X180">
        <f t="shared" si="10"/>
        <v>52</v>
      </c>
      <c r="Z180">
        <f t="shared" si="11"/>
        <v>95</v>
      </c>
    </row>
    <row r="181" spans="2:26" ht="23.25" customHeight="1">
      <c r="B181" s="8">
        <v>73</v>
      </c>
      <c r="C181" s="8">
        <v>4</v>
      </c>
      <c r="D181" s="9">
        <v>7</v>
      </c>
      <c r="E181" s="35">
        <f t="shared" si="6"/>
        <v>2</v>
      </c>
      <c r="F181" s="83"/>
      <c r="G181" s="33">
        <v>204.00000000000003</v>
      </c>
      <c r="H181" s="33">
        <v>600</v>
      </c>
      <c r="I181" s="33">
        <v>1540</v>
      </c>
      <c r="J181" s="33">
        <v>3500</v>
      </c>
      <c r="K181" s="33">
        <v>1080</v>
      </c>
      <c r="L181" s="33">
        <v>1200</v>
      </c>
      <c r="M181" s="33">
        <v>1225</v>
      </c>
      <c r="N181" s="33">
        <v>3500</v>
      </c>
      <c r="O181" s="33">
        <v>360</v>
      </c>
      <c r="P181" s="33">
        <v>1200</v>
      </c>
      <c r="R181">
        <f t="shared" si="7"/>
        <v>34</v>
      </c>
      <c r="T181">
        <f t="shared" si="8"/>
        <v>44</v>
      </c>
      <c r="V181">
        <f t="shared" si="9"/>
        <v>90</v>
      </c>
      <c r="X181">
        <f t="shared" si="10"/>
        <v>35</v>
      </c>
      <c r="Z181">
        <f t="shared" si="11"/>
        <v>30</v>
      </c>
    </row>
    <row r="182" spans="2:26" ht="23.25" customHeight="1">
      <c r="B182" s="8">
        <v>74</v>
      </c>
      <c r="C182" s="8">
        <v>4</v>
      </c>
      <c r="D182" s="9">
        <v>7</v>
      </c>
      <c r="E182" s="35">
        <f t="shared" si="6"/>
        <v>5</v>
      </c>
      <c r="F182" s="83"/>
      <c r="G182" s="33">
        <v>1600</v>
      </c>
      <c r="H182" s="33">
        <v>2000</v>
      </c>
      <c r="I182" s="33">
        <v>729</v>
      </c>
      <c r="J182" s="33">
        <v>900</v>
      </c>
      <c r="K182" s="33">
        <v>1045</v>
      </c>
      <c r="L182" s="33">
        <v>1900</v>
      </c>
      <c r="M182" s="33">
        <v>675</v>
      </c>
      <c r="N182" s="33">
        <v>900</v>
      </c>
      <c r="O182" s="33">
        <v>4230</v>
      </c>
      <c r="P182" s="33">
        <v>4700</v>
      </c>
      <c r="R182">
        <f t="shared" si="7"/>
        <v>80</v>
      </c>
      <c r="T182">
        <f t="shared" si="8"/>
        <v>81</v>
      </c>
      <c r="V182">
        <f t="shared" si="9"/>
        <v>55.000000000000007</v>
      </c>
      <c r="X182">
        <f t="shared" si="10"/>
        <v>75</v>
      </c>
      <c r="Z182">
        <f t="shared" si="11"/>
        <v>90</v>
      </c>
    </row>
    <row r="183" spans="2:26" ht="23.25" customHeight="1">
      <c r="B183" s="8">
        <v>75</v>
      </c>
      <c r="C183" s="8">
        <v>4</v>
      </c>
      <c r="D183" s="9">
        <v>7</v>
      </c>
      <c r="E183" s="35">
        <f t="shared" si="6"/>
        <v>2</v>
      </c>
      <c r="F183" s="83"/>
      <c r="G183" s="33">
        <v>480</v>
      </c>
      <c r="H183" s="33">
        <v>1000</v>
      </c>
      <c r="I183" s="33">
        <v>450</v>
      </c>
      <c r="J183" s="33">
        <v>2500</v>
      </c>
      <c r="K183" s="33">
        <v>1020.0000000000001</v>
      </c>
      <c r="L183" s="33">
        <v>1500</v>
      </c>
      <c r="M183" s="33">
        <v>325</v>
      </c>
      <c r="N183" s="33">
        <v>2500</v>
      </c>
      <c r="O183" s="33">
        <v>375</v>
      </c>
      <c r="P183" s="33">
        <v>1500</v>
      </c>
      <c r="R183">
        <f t="shared" si="7"/>
        <v>48</v>
      </c>
      <c r="T183">
        <f t="shared" si="8"/>
        <v>18</v>
      </c>
      <c r="V183">
        <f t="shared" si="9"/>
        <v>68</v>
      </c>
      <c r="X183">
        <f t="shared" si="10"/>
        <v>13</v>
      </c>
      <c r="Z183">
        <f t="shared" si="11"/>
        <v>25</v>
      </c>
    </row>
    <row r="184" spans="2:26" ht="23.25" customHeight="1">
      <c r="B184" s="8">
        <v>76</v>
      </c>
      <c r="C184" s="8">
        <v>4</v>
      </c>
      <c r="D184" s="9">
        <v>7</v>
      </c>
      <c r="E184" s="35">
        <f t="shared" si="6"/>
        <v>4</v>
      </c>
      <c r="F184" s="83"/>
      <c r="G184" s="33">
        <v>2600</v>
      </c>
      <c r="H184" s="33">
        <v>5000</v>
      </c>
      <c r="I184" s="33">
        <v>210</v>
      </c>
      <c r="J184" s="33">
        <v>1000</v>
      </c>
      <c r="K184" s="33">
        <v>520</v>
      </c>
      <c r="L184" s="33">
        <v>800</v>
      </c>
      <c r="M184" s="33">
        <v>430</v>
      </c>
      <c r="N184" s="33">
        <v>1000</v>
      </c>
      <c r="O184" s="33">
        <v>985.99999999999989</v>
      </c>
      <c r="P184" s="33">
        <v>1700</v>
      </c>
      <c r="R184">
        <f t="shared" si="7"/>
        <v>52</v>
      </c>
      <c r="T184">
        <f t="shared" si="8"/>
        <v>21</v>
      </c>
      <c r="V184">
        <f t="shared" si="9"/>
        <v>65</v>
      </c>
      <c r="X184">
        <f t="shared" si="10"/>
        <v>43</v>
      </c>
      <c r="Z184">
        <f t="shared" si="11"/>
        <v>57.999999999999993</v>
      </c>
    </row>
    <row r="185" spans="2:26" ht="23.25" customHeight="1">
      <c r="B185" s="8">
        <v>77</v>
      </c>
      <c r="C185" s="8">
        <v>4</v>
      </c>
      <c r="D185" s="9">
        <v>7</v>
      </c>
      <c r="E185" s="35">
        <f t="shared" si="6"/>
        <v>3</v>
      </c>
      <c r="F185" s="83"/>
      <c r="G185" s="33">
        <v>315</v>
      </c>
      <c r="H185" s="33">
        <v>500</v>
      </c>
      <c r="I185" s="33">
        <v>132</v>
      </c>
      <c r="J185" s="33">
        <v>1200</v>
      </c>
      <c r="K185" s="33">
        <v>680</v>
      </c>
      <c r="L185" s="33">
        <v>2000</v>
      </c>
      <c r="M185" s="33">
        <v>624</v>
      </c>
      <c r="N185" s="33">
        <v>1200</v>
      </c>
      <c r="O185" s="33">
        <v>1260</v>
      </c>
      <c r="P185" s="33">
        <v>2000</v>
      </c>
      <c r="R185">
        <f t="shared" si="7"/>
        <v>63</v>
      </c>
      <c r="T185">
        <f t="shared" si="8"/>
        <v>11</v>
      </c>
      <c r="V185">
        <f t="shared" si="9"/>
        <v>34</v>
      </c>
      <c r="X185">
        <f t="shared" si="10"/>
        <v>52</v>
      </c>
      <c r="Z185">
        <f t="shared" si="11"/>
        <v>63</v>
      </c>
    </row>
    <row r="186" spans="2:26" ht="23.25" customHeight="1">
      <c r="B186" s="8">
        <v>78</v>
      </c>
      <c r="C186" s="8">
        <v>4</v>
      </c>
      <c r="D186" s="9">
        <v>7</v>
      </c>
      <c r="E186" s="35">
        <f t="shared" si="6"/>
        <v>3</v>
      </c>
      <c r="F186" s="83"/>
      <c r="G186" s="33">
        <v>1560</v>
      </c>
      <c r="H186" s="33">
        <v>4000</v>
      </c>
      <c r="I186" s="33">
        <v>112</v>
      </c>
      <c r="J186" s="33">
        <v>700</v>
      </c>
      <c r="K186" s="33">
        <v>2475</v>
      </c>
      <c r="L186" s="33">
        <v>3300</v>
      </c>
      <c r="M186" s="33">
        <v>623</v>
      </c>
      <c r="N186" s="33">
        <v>700</v>
      </c>
      <c r="O186" s="33">
        <v>1927</v>
      </c>
      <c r="P186" s="33">
        <v>4100</v>
      </c>
      <c r="R186">
        <f t="shared" si="7"/>
        <v>39</v>
      </c>
      <c r="T186">
        <f t="shared" si="8"/>
        <v>16</v>
      </c>
      <c r="V186">
        <f t="shared" si="9"/>
        <v>75</v>
      </c>
      <c r="X186">
        <f t="shared" si="10"/>
        <v>89</v>
      </c>
      <c r="Z186">
        <f t="shared" si="11"/>
        <v>47</v>
      </c>
    </row>
    <row r="187" spans="2:26" ht="23.25" customHeight="1">
      <c r="B187" s="8">
        <v>79</v>
      </c>
      <c r="C187" s="8">
        <v>4</v>
      </c>
      <c r="D187" s="9">
        <v>7</v>
      </c>
      <c r="E187" s="35">
        <f t="shared" si="6"/>
        <v>5</v>
      </c>
      <c r="F187" s="83"/>
      <c r="G187" s="33">
        <v>1155</v>
      </c>
      <c r="H187" s="33">
        <v>1500</v>
      </c>
      <c r="I187" s="33">
        <v>1320</v>
      </c>
      <c r="J187" s="33">
        <v>2000</v>
      </c>
      <c r="K187" s="33">
        <v>336.00000000000006</v>
      </c>
      <c r="L187" s="33">
        <v>600</v>
      </c>
      <c r="M187" s="33">
        <v>1440</v>
      </c>
      <c r="N187" s="33">
        <v>2000</v>
      </c>
      <c r="O187" s="33">
        <v>245.99999999999997</v>
      </c>
      <c r="P187" s="33">
        <v>600</v>
      </c>
      <c r="R187">
        <f t="shared" si="7"/>
        <v>77</v>
      </c>
      <c r="T187">
        <f t="shared" si="8"/>
        <v>66</v>
      </c>
      <c r="V187">
        <f t="shared" si="9"/>
        <v>56.000000000000007</v>
      </c>
      <c r="X187">
        <f t="shared" si="10"/>
        <v>72</v>
      </c>
      <c r="Z187">
        <f t="shared" si="11"/>
        <v>41</v>
      </c>
    </row>
    <row r="188" spans="2:26" ht="23.25" customHeight="1">
      <c r="B188" s="8">
        <v>80</v>
      </c>
      <c r="C188" s="8">
        <v>4</v>
      </c>
      <c r="D188" s="9">
        <v>7</v>
      </c>
      <c r="E188" s="35">
        <f t="shared" si="6"/>
        <v>4</v>
      </c>
      <c r="F188" s="83"/>
      <c r="G188" s="33">
        <v>400</v>
      </c>
      <c r="H188" s="33">
        <v>1000</v>
      </c>
      <c r="I188" s="33">
        <v>2100</v>
      </c>
      <c r="J188" s="33">
        <v>3000</v>
      </c>
      <c r="K188" s="33">
        <v>672.00000000000011</v>
      </c>
      <c r="L188" s="33">
        <v>1200</v>
      </c>
      <c r="M188" s="33">
        <v>1650.0000000000002</v>
      </c>
      <c r="N188" s="33">
        <v>3000</v>
      </c>
      <c r="O188" s="33">
        <v>983.99999999999989</v>
      </c>
      <c r="P188" s="33">
        <v>1200</v>
      </c>
      <c r="R188">
        <f t="shared" si="7"/>
        <v>40</v>
      </c>
      <c r="T188">
        <f t="shared" si="8"/>
        <v>70</v>
      </c>
      <c r="V188">
        <f t="shared" si="9"/>
        <v>56.000000000000007</v>
      </c>
      <c r="X188">
        <f t="shared" si="10"/>
        <v>55.000000000000007</v>
      </c>
      <c r="Z188">
        <f t="shared" si="11"/>
        <v>82</v>
      </c>
    </row>
    <row r="189" spans="2:26" ht="15.75">
      <c r="B189" s="44"/>
      <c r="C189" s="4"/>
      <c r="D189" s="4"/>
      <c r="E189" s="17"/>
      <c r="F189" s="13"/>
      <c r="G189" s="21"/>
      <c r="H189" s="4"/>
      <c r="I189" s="4"/>
      <c r="J189" s="4"/>
      <c r="K189" s="4"/>
      <c r="L189" s="4"/>
      <c r="M189" s="4"/>
      <c r="N189" s="4"/>
      <c r="O189" s="4"/>
      <c r="P189" s="4"/>
      <c r="R189"/>
      <c r="T189"/>
      <c r="V189"/>
      <c r="X189"/>
      <c r="Z189"/>
    </row>
    <row r="190" spans="2:26" ht="15.75">
      <c r="B190" s="42" t="s">
        <v>120</v>
      </c>
      <c r="C190" s="4"/>
      <c r="D190" s="1"/>
      <c r="E190" s="15"/>
      <c r="F190" s="13"/>
      <c r="N190" s="4"/>
      <c r="O190" s="4"/>
      <c r="P190" s="4"/>
    </row>
    <row r="191" spans="2:26" ht="15.75" thickBot="1">
      <c r="F191"/>
    </row>
    <row r="192" spans="2:26" ht="29.25" customHeight="1" thickBot="1">
      <c r="B192" s="52" t="s">
        <v>28</v>
      </c>
      <c r="C192" s="53" t="s">
        <v>24</v>
      </c>
      <c r="D192" s="4"/>
      <c r="E192" s="17"/>
      <c r="F192"/>
      <c r="G192" s="21"/>
    </row>
    <row r="194" spans="2:2" ht="15.75">
      <c r="B194" s="44" t="s">
        <v>72</v>
      </c>
    </row>
    <row r="195" spans="2:2" ht="15.75">
      <c r="B195" s="44" t="s">
        <v>121</v>
      </c>
    </row>
    <row r="196" spans="2:2" ht="15.75">
      <c r="B196" s="44" t="s">
        <v>69</v>
      </c>
    </row>
    <row r="197" spans="2:2" ht="15.75">
      <c r="B197" s="44" t="s">
        <v>123</v>
      </c>
    </row>
    <row r="198" spans="2:2" ht="15.75">
      <c r="B198" s="22" t="s">
        <v>124</v>
      </c>
    </row>
    <row r="199" spans="2:2" ht="15.75">
      <c r="B199" s="39" t="s">
        <v>137</v>
      </c>
    </row>
    <row r="200" spans="2:2" ht="15.75">
      <c r="B200" s="46" t="s">
        <v>138</v>
      </c>
    </row>
    <row r="202" spans="2:2" ht="15.75">
      <c r="B202" s="48" t="s">
        <v>122</v>
      </c>
    </row>
    <row r="203" spans="2:2" ht="15.75">
      <c r="B203" s="48" t="s">
        <v>139</v>
      </c>
    </row>
    <row r="204" spans="2:2" ht="15.75">
      <c r="B204" s="48"/>
    </row>
    <row r="205" spans="2:2" ht="15.75">
      <c r="B205" s="49" t="s">
        <v>18</v>
      </c>
    </row>
    <row r="206" spans="2:2" ht="15.75">
      <c r="B206" s="87" t="s">
        <v>95</v>
      </c>
    </row>
    <row r="207" spans="2:2" ht="15.75">
      <c r="B207" s="87" t="s">
        <v>96</v>
      </c>
    </row>
    <row r="208" spans="2:2" ht="16.5" thickBot="1">
      <c r="B208" s="87" t="s">
        <v>97</v>
      </c>
    </row>
    <row r="209" spans="2:11" ht="22.5" customHeight="1" thickBot="1">
      <c r="B209" s="43"/>
      <c r="C209" s="1"/>
      <c r="D209" s="1"/>
      <c r="E209" s="15"/>
      <c r="F209"/>
      <c r="G209" s="64" t="s">
        <v>70</v>
      </c>
      <c r="H209" s="64"/>
      <c r="I209" s="64"/>
      <c r="J209" s="64"/>
      <c r="K209" s="64"/>
    </row>
    <row r="210" spans="2:11" ht="22.5" customHeight="1" thickBot="1">
      <c r="F210"/>
      <c r="G210" s="88">
        <v>0.35</v>
      </c>
      <c r="H210" s="88">
        <v>0.3</v>
      </c>
      <c r="I210" s="88">
        <v>0.15</v>
      </c>
      <c r="J210" s="88">
        <v>0.1</v>
      </c>
      <c r="K210" s="88">
        <v>0.1</v>
      </c>
    </row>
    <row r="211" spans="2:11" ht="22.5" customHeight="1" thickBot="1">
      <c r="B211" s="43"/>
      <c r="C211" s="1"/>
      <c r="D211" s="1"/>
      <c r="E211" s="15"/>
      <c r="F211"/>
      <c r="G211" s="64" t="s">
        <v>71</v>
      </c>
      <c r="H211" s="64"/>
      <c r="I211" s="64"/>
      <c r="J211" s="64"/>
      <c r="K211" s="64"/>
    </row>
    <row r="212" spans="2:11" ht="22.5" customHeight="1" thickBot="1">
      <c r="B212" s="62" t="s">
        <v>5</v>
      </c>
      <c r="C212" s="62" t="s">
        <v>19</v>
      </c>
      <c r="D212" s="62" t="s">
        <v>7</v>
      </c>
      <c r="E212" s="62" t="s">
        <v>8</v>
      </c>
      <c r="F212"/>
      <c r="G212" s="64" t="s">
        <v>63</v>
      </c>
      <c r="H212" s="64" t="s">
        <v>64</v>
      </c>
      <c r="I212" s="64" t="s">
        <v>65</v>
      </c>
      <c r="J212" s="64" t="s">
        <v>66</v>
      </c>
      <c r="K212" s="64" t="s">
        <v>67</v>
      </c>
    </row>
    <row r="213" spans="2:11">
      <c r="B213" s="1"/>
      <c r="C213" s="1"/>
      <c r="D213" s="1"/>
      <c r="E213" s="15"/>
      <c r="F213"/>
      <c r="G213" s="4"/>
      <c r="H213" s="4"/>
      <c r="I213" s="4"/>
      <c r="J213" s="4"/>
      <c r="K213" s="4"/>
    </row>
    <row r="214" spans="2:11" ht="23.25">
      <c r="B214" s="8" t="s">
        <v>29</v>
      </c>
      <c r="C214" s="8">
        <v>5</v>
      </c>
      <c r="D214" s="9">
        <v>0</v>
      </c>
      <c r="E214" s="12">
        <v>759</v>
      </c>
      <c r="F214" s="83"/>
      <c r="G214" s="33">
        <v>88</v>
      </c>
      <c r="H214" s="33">
        <v>82</v>
      </c>
      <c r="I214" s="33">
        <v>80</v>
      </c>
      <c r="J214" s="33">
        <v>76</v>
      </c>
      <c r="K214" s="33">
        <v>85</v>
      </c>
    </row>
    <row r="215" spans="2:11">
      <c r="B215" s="1"/>
      <c r="C215" s="1"/>
      <c r="D215" s="1"/>
      <c r="E215" s="15"/>
      <c r="F215" s="13"/>
      <c r="G215" s="38"/>
      <c r="H215" s="4"/>
      <c r="I215" s="4"/>
      <c r="J215" s="4"/>
      <c r="K215" s="4"/>
    </row>
    <row r="216" spans="2:11" ht="23.25">
      <c r="B216" s="8">
        <v>81</v>
      </c>
      <c r="C216" s="8">
        <v>5</v>
      </c>
      <c r="D216" s="9">
        <v>8</v>
      </c>
      <c r="E216" s="12">
        <f>ROUND(SUMPRODUCT($G$210:$K$210,G216:K216)*5.5 +300, 0)</f>
        <v>711</v>
      </c>
      <c r="F216" s="83"/>
      <c r="G216" s="33">
        <v>80</v>
      </c>
      <c r="H216" s="33">
        <v>72</v>
      </c>
      <c r="I216" s="33">
        <v>75</v>
      </c>
      <c r="J216" s="33">
        <v>68</v>
      </c>
      <c r="K216" s="33">
        <v>70</v>
      </c>
    </row>
    <row r="217" spans="2:11" ht="23.25">
      <c r="B217" s="8">
        <v>82</v>
      </c>
      <c r="C217" s="8">
        <v>5</v>
      </c>
      <c r="D217" s="9">
        <v>8</v>
      </c>
      <c r="E217" s="12">
        <f t="shared" ref="E217:E235" si="12">ROUND(SUMPRODUCT($G$210:$K$210,G217:K217)*5.5 +300, 0)</f>
        <v>669</v>
      </c>
      <c r="F217" s="83"/>
      <c r="G217" s="33">
        <v>70</v>
      </c>
      <c r="H217" s="33">
        <v>65</v>
      </c>
      <c r="I217" s="33">
        <v>68</v>
      </c>
      <c r="J217" s="33">
        <v>62</v>
      </c>
      <c r="K217" s="33">
        <v>66</v>
      </c>
    </row>
    <row r="218" spans="2:11" ht="23.25">
      <c r="B218" s="8">
        <v>83</v>
      </c>
      <c r="C218" s="8">
        <v>5</v>
      </c>
      <c r="D218" s="9">
        <v>8</v>
      </c>
      <c r="E218" s="12">
        <f t="shared" si="12"/>
        <v>768</v>
      </c>
      <c r="F218" s="83"/>
      <c r="G218" s="33">
        <v>88</v>
      </c>
      <c r="H218" s="33">
        <v>85</v>
      </c>
      <c r="I218" s="33">
        <v>84</v>
      </c>
      <c r="J218" s="33">
        <v>80</v>
      </c>
      <c r="K218" s="33">
        <v>82</v>
      </c>
    </row>
    <row r="219" spans="2:11" ht="23.25">
      <c r="B219" s="8">
        <v>84</v>
      </c>
      <c r="C219" s="8">
        <v>5</v>
      </c>
      <c r="D219" s="9">
        <v>8</v>
      </c>
      <c r="E219" s="12">
        <f t="shared" si="12"/>
        <v>787</v>
      </c>
      <c r="F219" s="83"/>
      <c r="G219" s="33">
        <v>92</v>
      </c>
      <c r="H219" s="33">
        <v>88</v>
      </c>
      <c r="I219" s="33">
        <v>86</v>
      </c>
      <c r="J219" s="33">
        <v>84</v>
      </c>
      <c r="K219" s="33">
        <v>87</v>
      </c>
    </row>
    <row r="220" spans="2:11" ht="23.25">
      <c r="B220" s="8">
        <v>85</v>
      </c>
      <c r="C220" s="8">
        <v>5</v>
      </c>
      <c r="D220" s="9">
        <v>8</v>
      </c>
      <c r="E220" s="12">
        <f t="shared" si="12"/>
        <v>614</v>
      </c>
      <c r="F220" s="83"/>
      <c r="G220" s="33">
        <v>60</v>
      </c>
      <c r="H220" s="33">
        <v>55</v>
      </c>
      <c r="I220" s="33">
        <v>58</v>
      </c>
      <c r="J220" s="33">
        <v>52</v>
      </c>
      <c r="K220" s="33">
        <v>56</v>
      </c>
    </row>
    <row r="221" spans="2:11" ht="23.25">
      <c r="B221" s="8">
        <v>86</v>
      </c>
      <c r="C221" s="8">
        <v>5</v>
      </c>
      <c r="D221" s="9">
        <v>8</v>
      </c>
      <c r="E221" s="12">
        <f t="shared" si="12"/>
        <v>696</v>
      </c>
      <c r="F221" s="83"/>
      <c r="G221" s="33">
        <v>75</v>
      </c>
      <c r="H221" s="33">
        <v>70</v>
      </c>
      <c r="I221" s="33">
        <v>72</v>
      </c>
      <c r="J221" s="33">
        <v>68</v>
      </c>
      <c r="K221" s="33">
        <v>71</v>
      </c>
    </row>
    <row r="222" spans="2:11" ht="23.25">
      <c r="B222" s="8">
        <v>87</v>
      </c>
      <c r="C222" s="8">
        <v>5</v>
      </c>
      <c r="D222" s="9">
        <v>8</v>
      </c>
      <c r="E222" s="12">
        <f t="shared" si="12"/>
        <v>807</v>
      </c>
      <c r="F222" s="83"/>
      <c r="G222" s="33">
        <v>95</v>
      </c>
      <c r="H222" s="33">
        <v>92</v>
      </c>
      <c r="I222" s="33">
        <v>90</v>
      </c>
      <c r="J222" s="33">
        <v>88</v>
      </c>
      <c r="K222" s="33">
        <v>91</v>
      </c>
    </row>
    <row r="223" spans="2:11" ht="23.25">
      <c r="B223" s="8">
        <v>88</v>
      </c>
      <c r="C223" s="8">
        <v>5</v>
      </c>
      <c r="D223" s="9">
        <v>8</v>
      </c>
      <c r="E223" s="12">
        <f t="shared" si="12"/>
        <v>654</v>
      </c>
      <c r="F223" s="83"/>
      <c r="G223" s="33">
        <v>68</v>
      </c>
      <c r="H223" s="33">
        <v>62</v>
      </c>
      <c r="I223" s="33">
        <v>65</v>
      </c>
      <c r="J223" s="33">
        <v>60</v>
      </c>
      <c r="K223" s="33">
        <v>63</v>
      </c>
    </row>
    <row r="224" spans="2:11" ht="23.25">
      <c r="B224" s="8">
        <v>89</v>
      </c>
      <c r="C224" s="8">
        <v>5</v>
      </c>
      <c r="D224" s="9">
        <v>8</v>
      </c>
      <c r="E224" s="12">
        <f t="shared" si="12"/>
        <v>736</v>
      </c>
      <c r="F224" s="83"/>
      <c r="G224" s="33">
        <v>82</v>
      </c>
      <c r="H224" s="33">
        <v>78</v>
      </c>
      <c r="I224" s="33">
        <v>80</v>
      </c>
      <c r="J224" s="33">
        <v>75</v>
      </c>
      <c r="K224" s="33">
        <v>77</v>
      </c>
    </row>
    <row r="225" spans="2:13" ht="23.25">
      <c r="B225" s="8">
        <v>90</v>
      </c>
      <c r="C225" s="8">
        <v>5</v>
      </c>
      <c r="D225" s="9">
        <v>8</v>
      </c>
      <c r="E225" s="12">
        <f t="shared" si="12"/>
        <v>586</v>
      </c>
      <c r="F225" s="83"/>
      <c r="G225" s="33">
        <v>55</v>
      </c>
      <c r="H225" s="33">
        <v>50</v>
      </c>
      <c r="I225" s="33">
        <v>52</v>
      </c>
      <c r="J225" s="33">
        <v>48</v>
      </c>
      <c r="K225" s="33">
        <v>51</v>
      </c>
    </row>
    <row r="226" spans="2:13" ht="23.25">
      <c r="B226" s="8">
        <v>91</v>
      </c>
      <c r="C226" s="8">
        <v>5</v>
      </c>
      <c r="D226" s="9">
        <v>8</v>
      </c>
      <c r="E226" s="12">
        <f t="shared" si="12"/>
        <v>763</v>
      </c>
      <c r="F226" s="83"/>
      <c r="G226" s="33">
        <v>87</v>
      </c>
      <c r="H226" s="33">
        <v>84</v>
      </c>
      <c r="I226" s="33">
        <v>82</v>
      </c>
      <c r="J226" s="33">
        <v>79</v>
      </c>
      <c r="K226" s="33">
        <v>83</v>
      </c>
    </row>
    <row r="227" spans="2:13" ht="23.25">
      <c r="B227" s="8">
        <v>92</v>
      </c>
      <c r="C227" s="8">
        <v>5</v>
      </c>
      <c r="D227" s="9">
        <v>8</v>
      </c>
      <c r="E227" s="12">
        <f t="shared" si="12"/>
        <v>682</v>
      </c>
      <c r="F227" s="83"/>
      <c r="G227" s="33">
        <v>72</v>
      </c>
      <c r="H227" s="33">
        <v>68</v>
      </c>
      <c r="I227" s="33">
        <v>70</v>
      </c>
      <c r="J227" s="33">
        <v>65</v>
      </c>
      <c r="K227" s="33">
        <v>68</v>
      </c>
    </row>
    <row r="228" spans="2:13" ht="23.25">
      <c r="B228" s="8">
        <v>93</v>
      </c>
      <c r="C228" s="8">
        <v>5</v>
      </c>
      <c r="D228" s="9">
        <v>8</v>
      </c>
      <c r="E228" s="12">
        <f t="shared" si="12"/>
        <v>782</v>
      </c>
      <c r="F228" s="83"/>
      <c r="G228" s="33">
        <v>90</v>
      </c>
      <c r="H228" s="33">
        <v>86</v>
      </c>
      <c r="I228" s="33">
        <v>88</v>
      </c>
      <c r="J228" s="33">
        <v>84</v>
      </c>
      <c r="K228" s="33">
        <v>87</v>
      </c>
    </row>
    <row r="229" spans="2:13" ht="23.25">
      <c r="B229" s="8">
        <v>94</v>
      </c>
      <c r="C229" s="8">
        <v>5</v>
      </c>
      <c r="D229" s="9">
        <v>8</v>
      </c>
      <c r="E229" s="12">
        <f t="shared" si="12"/>
        <v>642</v>
      </c>
      <c r="F229" s="83"/>
      <c r="G229" s="33">
        <v>65</v>
      </c>
      <c r="H229" s="33">
        <v>60</v>
      </c>
      <c r="I229" s="33">
        <v>63</v>
      </c>
      <c r="J229" s="33">
        <v>58</v>
      </c>
      <c r="K229" s="33">
        <v>61</v>
      </c>
    </row>
    <row r="230" spans="2:13" ht="23.25">
      <c r="B230" s="8">
        <v>95</v>
      </c>
      <c r="C230" s="8">
        <v>5</v>
      </c>
      <c r="D230" s="9">
        <v>8</v>
      </c>
      <c r="E230" s="12">
        <f t="shared" si="12"/>
        <v>715</v>
      </c>
      <c r="F230" s="83"/>
      <c r="G230" s="33">
        <v>78</v>
      </c>
      <c r="H230" s="33">
        <v>74</v>
      </c>
      <c r="I230" s="33">
        <v>76</v>
      </c>
      <c r="J230" s="33">
        <v>72</v>
      </c>
      <c r="K230" s="33">
        <v>74</v>
      </c>
    </row>
    <row r="231" spans="2:13" ht="23.25">
      <c r="B231" s="8">
        <v>96</v>
      </c>
      <c r="C231" s="8">
        <v>5</v>
      </c>
      <c r="D231" s="9">
        <v>8</v>
      </c>
      <c r="E231" s="12">
        <f t="shared" si="12"/>
        <v>751</v>
      </c>
      <c r="F231" s="83"/>
      <c r="G231" s="33">
        <v>85</v>
      </c>
      <c r="H231" s="33">
        <v>80</v>
      </c>
      <c r="I231" s="33">
        <v>82</v>
      </c>
      <c r="J231" s="33">
        <v>78</v>
      </c>
      <c r="K231" s="33">
        <v>81</v>
      </c>
    </row>
    <row r="232" spans="2:13" ht="23.25">
      <c r="B232" s="8">
        <v>97</v>
      </c>
      <c r="C232" s="8">
        <v>5</v>
      </c>
      <c r="D232" s="9">
        <v>8</v>
      </c>
      <c r="E232" s="12">
        <f t="shared" si="12"/>
        <v>627</v>
      </c>
      <c r="F232" s="83"/>
      <c r="G232" s="33">
        <v>62</v>
      </c>
      <c r="H232" s="33">
        <v>58</v>
      </c>
      <c r="I232" s="33">
        <v>60</v>
      </c>
      <c r="J232" s="33">
        <v>55</v>
      </c>
      <c r="K232" s="33">
        <v>58</v>
      </c>
    </row>
    <row r="233" spans="2:13" ht="23.25">
      <c r="B233" s="8">
        <v>98</v>
      </c>
      <c r="C233" s="8">
        <v>5</v>
      </c>
      <c r="D233" s="9">
        <v>8</v>
      </c>
      <c r="E233" s="12">
        <f t="shared" si="12"/>
        <v>801</v>
      </c>
      <c r="F233" s="83"/>
      <c r="G233" s="33">
        <v>93</v>
      </c>
      <c r="H233" s="33">
        <v>90</v>
      </c>
      <c r="I233" s="33">
        <v>91</v>
      </c>
      <c r="J233" s="33">
        <v>88</v>
      </c>
      <c r="K233" s="33">
        <v>90</v>
      </c>
    </row>
    <row r="234" spans="2:13" ht="23.25">
      <c r="B234" s="8">
        <v>99</v>
      </c>
      <c r="C234" s="8">
        <v>5</v>
      </c>
      <c r="D234" s="9">
        <v>8</v>
      </c>
      <c r="E234" s="12">
        <f t="shared" si="12"/>
        <v>704</v>
      </c>
      <c r="F234" s="83"/>
      <c r="G234" s="33">
        <v>76</v>
      </c>
      <c r="H234" s="33">
        <v>72</v>
      </c>
      <c r="I234" s="33">
        <v>74</v>
      </c>
      <c r="J234" s="33">
        <v>70</v>
      </c>
      <c r="K234" s="33">
        <v>72</v>
      </c>
    </row>
    <row r="235" spans="2:13" ht="23.25">
      <c r="B235" s="8">
        <v>100</v>
      </c>
      <c r="C235" s="8">
        <v>5</v>
      </c>
      <c r="D235" s="9">
        <v>8</v>
      </c>
      <c r="E235" s="12">
        <f t="shared" si="12"/>
        <v>743</v>
      </c>
      <c r="F235" s="83"/>
      <c r="G235" s="33">
        <v>84</v>
      </c>
      <c r="H235" s="33">
        <v>80</v>
      </c>
      <c r="I235" s="33">
        <v>78</v>
      </c>
      <c r="J235" s="33">
        <v>76</v>
      </c>
      <c r="K235" s="33">
        <v>79</v>
      </c>
    </row>
    <row r="236" spans="2:13" ht="15.75">
      <c r="B236" s="44"/>
      <c r="C236" s="4"/>
      <c r="D236" s="4"/>
      <c r="E236" s="17"/>
      <c r="F236" s="13"/>
      <c r="G236" s="21"/>
      <c r="H236" s="4"/>
      <c r="I236" s="4"/>
      <c r="J236" s="4"/>
      <c r="K236" s="4"/>
      <c r="L236" s="4"/>
      <c r="M236" s="4"/>
    </row>
    <row r="237" spans="2:13" ht="15.75">
      <c r="B237" s="42" t="s">
        <v>117</v>
      </c>
      <c r="C237" s="4"/>
      <c r="D237" s="1"/>
      <c r="E237" s="15"/>
      <c r="F237" s="13"/>
    </row>
    <row r="238" spans="2:13" ht="15.75" thickBot="1">
      <c r="F238"/>
    </row>
    <row r="239" spans="2:13" ht="29.25" customHeight="1" thickBot="1">
      <c r="B239" s="52" t="s">
        <v>30</v>
      </c>
      <c r="C239" s="53" t="s">
        <v>24</v>
      </c>
      <c r="D239" s="4"/>
      <c r="E239" s="17"/>
      <c r="F239"/>
      <c r="G239" s="21"/>
      <c r="H239" s="13"/>
      <c r="K239" s="4"/>
      <c r="L239" s="89" t="s">
        <v>75</v>
      </c>
      <c r="M239" s="89" t="s">
        <v>74</v>
      </c>
    </row>
    <row r="240" spans="2:13" ht="15.75">
      <c r="B240" s="10"/>
      <c r="C240" s="4"/>
      <c r="D240" s="4"/>
      <c r="E240" s="17"/>
      <c r="F240"/>
      <c r="G240" s="21"/>
      <c r="H240" s="13"/>
      <c r="K240" s="4"/>
      <c r="L240" s="90">
        <v>0</v>
      </c>
      <c r="M240" s="90">
        <v>0</v>
      </c>
    </row>
    <row r="241" spans="2:13" ht="15.75">
      <c r="B241" s="48" t="s">
        <v>73</v>
      </c>
      <c r="C241" s="4"/>
      <c r="D241" s="1"/>
      <c r="E241" s="15"/>
      <c r="F241"/>
      <c r="H241" s="13"/>
      <c r="K241" s="4"/>
      <c r="L241" s="91">
        <v>1</v>
      </c>
      <c r="M241" s="91">
        <v>3</v>
      </c>
    </row>
    <row r="242" spans="2:13" ht="15.75">
      <c r="B242" s="48" t="s">
        <v>140</v>
      </c>
      <c r="C242" s="4"/>
      <c r="D242" s="4"/>
      <c r="E242" s="17"/>
      <c r="F242"/>
      <c r="G242" s="20"/>
      <c r="H242" s="13"/>
      <c r="K242" s="4"/>
      <c r="L242" s="91">
        <v>2</v>
      </c>
      <c r="M242" s="91">
        <v>6</v>
      </c>
    </row>
    <row r="243" spans="2:13" ht="15.75">
      <c r="B243" s="47" t="s">
        <v>127</v>
      </c>
      <c r="C243" s="4"/>
      <c r="D243" s="4"/>
      <c r="E243" s="17"/>
      <c r="F243"/>
      <c r="G243" s="20"/>
      <c r="H243" s="13"/>
      <c r="K243" s="4"/>
      <c r="L243" s="91">
        <v>3</v>
      </c>
      <c r="M243" s="91">
        <v>8</v>
      </c>
    </row>
    <row r="244" spans="2:13" ht="15.75">
      <c r="B244" s="48" t="s">
        <v>141</v>
      </c>
      <c r="C244" s="4"/>
      <c r="D244" s="4"/>
      <c r="E244" s="17"/>
      <c r="F244"/>
      <c r="G244" s="20"/>
      <c r="H244" s="13"/>
      <c r="K244" s="4"/>
      <c r="L244" s="91">
        <v>4</v>
      </c>
      <c r="M244" s="91">
        <v>10</v>
      </c>
    </row>
    <row r="245" spans="2:13" ht="15.75">
      <c r="B245" s="48" t="s">
        <v>142</v>
      </c>
      <c r="C245" s="48"/>
      <c r="D245" s="48"/>
      <c r="E245" s="48"/>
      <c r="F245" s="48"/>
      <c r="G245" s="48"/>
      <c r="H245" s="48"/>
      <c r="I245" s="48"/>
      <c r="J245" s="48"/>
      <c r="K245" s="4"/>
      <c r="L245" s="91">
        <v>5</v>
      </c>
      <c r="M245" s="91">
        <v>13</v>
      </c>
    </row>
    <row r="246" spans="2:13" ht="15.75">
      <c r="B246" s="46" t="s">
        <v>76</v>
      </c>
      <c r="C246" s="4"/>
      <c r="D246" s="4"/>
      <c r="E246" s="17"/>
      <c r="F246"/>
      <c r="G246" s="20"/>
      <c r="H246" s="13"/>
      <c r="K246" s="4"/>
      <c r="L246" s="91">
        <v>6</v>
      </c>
      <c r="M246" s="91">
        <v>16</v>
      </c>
    </row>
    <row r="247" spans="2:13" ht="15.75">
      <c r="B247" s="48"/>
      <c r="C247" s="4"/>
      <c r="D247" s="4"/>
      <c r="E247" s="17"/>
      <c r="F247"/>
      <c r="G247" s="20"/>
      <c r="H247" s="13"/>
      <c r="K247" s="4"/>
      <c r="L247" s="91">
        <v>7</v>
      </c>
      <c r="M247" s="91">
        <v>17</v>
      </c>
    </row>
    <row r="248" spans="2:13" ht="15.75">
      <c r="B248" s="48" t="s">
        <v>129</v>
      </c>
      <c r="C248" s="4"/>
      <c r="D248" s="4"/>
      <c r="E248" s="17"/>
      <c r="F248"/>
      <c r="G248" s="20"/>
      <c r="H248" s="13"/>
      <c r="K248" s="4"/>
      <c r="L248" s="92">
        <v>8</v>
      </c>
      <c r="M248" s="92">
        <v>18</v>
      </c>
    </row>
    <row r="249" spans="2:13" ht="15.75">
      <c r="B249" s="48" t="s">
        <v>128</v>
      </c>
      <c r="C249" s="4"/>
      <c r="D249" s="4"/>
      <c r="E249" s="17"/>
      <c r="F249"/>
      <c r="G249" s="20"/>
      <c r="H249" s="13"/>
      <c r="K249" s="96"/>
      <c r="L249" s="96"/>
    </row>
    <row r="250" spans="2:13" ht="15.75">
      <c r="B250" s="48" t="s">
        <v>130</v>
      </c>
      <c r="C250" s="4"/>
      <c r="D250" s="4"/>
      <c r="E250" s="17"/>
      <c r="F250"/>
      <c r="G250" s="20"/>
      <c r="H250" s="13"/>
      <c r="K250" s="96"/>
      <c r="L250" s="96"/>
    </row>
    <row r="251" spans="2:13" ht="15.75">
      <c r="B251" s="48"/>
      <c r="C251" s="4"/>
      <c r="D251" s="4"/>
      <c r="E251" s="17"/>
      <c r="F251"/>
      <c r="G251" s="20"/>
      <c r="H251" s="13"/>
      <c r="K251" s="4"/>
      <c r="L251" s="4"/>
    </row>
    <row r="252" spans="2:13" ht="15.75">
      <c r="B252" s="49" t="s">
        <v>18</v>
      </c>
      <c r="C252" s="4"/>
      <c r="D252" s="4"/>
      <c r="E252" s="17"/>
      <c r="F252"/>
      <c r="G252" s="20"/>
      <c r="H252" s="13"/>
      <c r="K252" s="4"/>
      <c r="L252" s="4"/>
    </row>
    <row r="253" spans="2:13" ht="15.75">
      <c r="B253" s="87" t="s">
        <v>143</v>
      </c>
      <c r="C253" s="4"/>
      <c r="D253" s="4"/>
      <c r="E253" s="17"/>
      <c r="F253"/>
      <c r="G253" s="20"/>
      <c r="H253" s="13"/>
    </row>
    <row r="254" spans="2:13" ht="15.75">
      <c r="B254" s="87" t="s">
        <v>108</v>
      </c>
      <c r="C254" s="4"/>
      <c r="D254" s="4"/>
      <c r="E254" s="17"/>
      <c r="F254"/>
      <c r="G254" s="20"/>
      <c r="H254" s="13"/>
      <c r="I254" s="13"/>
      <c r="J254" s="13"/>
    </row>
    <row r="255" spans="2:13" ht="15.75">
      <c r="B255" s="87" t="s">
        <v>144</v>
      </c>
      <c r="C255" s="4"/>
      <c r="D255" s="4"/>
      <c r="E255" s="17"/>
      <c r="F255"/>
      <c r="G255" s="20"/>
      <c r="H255" s="13"/>
      <c r="I255" s="13"/>
      <c r="J255" s="13"/>
      <c r="K255" s="13"/>
    </row>
    <row r="257" spans="2:10" s="13" customFormat="1" ht="22.5" customHeight="1" thickBot="1">
      <c r="B257" s="62" t="s">
        <v>5</v>
      </c>
      <c r="C257" s="62" t="s">
        <v>19</v>
      </c>
      <c r="D257" s="62" t="s">
        <v>7</v>
      </c>
      <c r="E257" s="62" t="s">
        <v>8</v>
      </c>
      <c r="F257"/>
      <c r="G257" s="64" t="s">
        <v>126</v>
      </c>
      <c r="H257" s="64" t="s">
        <v>125</v>
      </c>
    </row>
    <row r="258" spans="2:10" ht="15.75">
      <c r="B258" s="1"/>
      <c r="C258" s="1"/>
      <c r="D258" s="1"/>
      <c r="E258" s="15"/>
      <c r="F258"/>
      <c r="G258" s="21"/>
      <c r="H258" s="13"/>
    </row>
    <row r="259" spans="2:10" ht="23.25">
      <c r="B259" s="8" t="s">
        <v>107</v>
      </c>
      <c r="C259" s="8">
        <v>6</v>
      </c>
      <c r="D259" s="9">
        <v>0</v>
      </c>
      <c r="E259" s="35">
        <v>738</v>
      </c>
      <c r="F259" s="83"/>
      <c r="G259" s="33">
        <v>740</v>
      </c>
      <c r="H259" s="33">
        <v>3</v>
      </c>
    </row>
    <row r="260" spans="2:10" ht="15.75">
      <c r="B260" s="1"/>
      <c r="C260" s="1"/>
      <c r="D260" s="1"/>
      <c r="E260" s="15"/>
      <c r="F260" s="13"/>
      <c r="G260" s="34"/>
      <c r="H260" s="13"/>
    </row>
    <row r="261" spans="2:10" ht="23.25">
      <c r="B261" s="8">
        <v>101</v>
      </c>
      <c r="C261" s="8">
        <v>6</v>
      </c>
      <c r="D261" s="9">
        <v>8</v>
      </c>
      <c r="E261" s="35" cm="1">
        <f t="array" ref="E261:E280">G261:G280-(_xlfn.XLOOKUP(H261:H280 + 1,$L$240:$L$248,$M$240:$M$248,,0,1) - _xlfn.XLOOKUP(H261:H280,$L$240:$L$248,$M$240:$M$248,,0,1))</f>
        <v>737</v>
      </c>
      <c r="F261" s="83"/>
      <c r="G261" s="33">
        <v>740</v>
      </c>
      <c r="H261" s="33">
        <v>5</v>
      </c>
      <c r="J261" s="1" cm="1">
        <f t="array" ref="J261:J280">_xlfn.XLOOKUP(H261:H280,L240:L248,M240:M248,,-1,1)</f>
        <v>13</v>
      </c>
    </row>
    <row r="262" spans="2:10" ht="23.25">
      <c r="B262" s="8">
        <v>102</v>
      </c>
      <c r="C262" s="8">
        <v>6</v>
      </c>
      <c r="D262" s="9">
        <v>8</v>
      </c>
      <c r="E262" s="35">
        <v>739</v>
      </c>
      <c r="F262" s="83"/>
      <c r="G262" s="33">
        <v>740</v>
      </c>
      <c r="H262" s="33">
        <v>7</v>
      </c>
      <c r="J262" s="1">
        <v>17</v>
      </c>
    </row>
    <row r="263" spans="2:10" ht="23.25">
      <c r="B263" s="8">
        <v>103</v>
      </c>
      <c r="C263" s="8">
        <v>6</v>
      </c>
      <c r="D263" s="9">
        <v>8</v>
      </c>
      <c r="E263" s="35">
        <v>758</v>
      </c>
      <c r="F263" s="83"/>
      <c r="G263" s="33">
        <v>760</v>
      </c>
      <c r="H263" s="33">
        <v>2</v>
      </c>
      <c r="J263" s="1">
        <v>6</v>
      </c>
    </row>
    <row r="264" spans="2:10" ht="23.25">
      <c r="B264" s="8">
        <v>104</v>
      </c>
      <c r="C264" s="8">
        <v>6</v>
      </c>
      <c r="D264" s="9">
        <v>8</v>
      </c>
      <c r="E264" s="35">
        <v>779</v>
      </c>
      <c r="F264" s="83"/>
      <c r="G264" s="33">
        <v>780</v>
      </c>
      <c r="H264" s="33">
        <v>6</v>
      </c>
      <c r="J264" s="1">
        <v>16</v>
      </c>
    </row>
    <row r="265" spans="2:10" ht="23.25">
      <c r="B265" s="8">
        <v>105</v>
      </c>
      <c r="C265" s="8">
        <v>6</v>
      </c>
      <c r="D265" s="9">
        <v>8</v>
      </c>
      <c r="E265" s="35">
        <v>698</v>
      </c>
      <c r="F265" s="83"/>
      <c r="G265" s="33">
        <v>700</v>
      </c>
      <c r="H265" s="33">
        <v>3</v>
      </c>
      <c r="J265" s="1">
        <v>8</v>
      </c>
    </row>
    <row r="266" spans="2:10" ht="23.25">
      <c r="B266" s="8">
        <v>106</v>
      </c>
      <c r="C266" s="8">
        <v>6</v>
      </c>
      <c r="D266" s="9">
        <v>8</v>
      </c>
      <c r="E266" s="35">
        <v>717</v>
      </c>
      <c r="F266" s="83"/>
      <c r="G266" s="33">
        <v>720</v>
      </c>
      <c r="H266" s="33">
        <v>0</v>
      </c>
      <c r="J266" s="1">
        <v>0</v>
      </c>
    </row>
    <row r="267" spans="2:10" ht="23.25">
      <c r="B267" s="8">
        <v>107</v>
      </c>
      <c r="C267" s="8">
        <v>6</v>
      </c>
      <c r="D267" s="9">
        <v>8</v>
      </c>
      <c r="E267" s="35">
        <v>797</v>
      </c>
      <c r="F267" s="83"/>
      <c r="G267" s="33">
        <v>800</v>
      </c>
      <c r="H267" s="33">
        <v>4</v>
      </c>
      <c r="J267" s="1">
        <v>10</v>
      </c>
    </row>
    <row r="268" spans="2:10" ht="23.25">
      <c r="B268" s="8">
        <v>108</v>
      </c>
      <c r="C268" s="8">
        <v>6</v>
      </c>
      <c r="D268" s="9">
        <v>8</v>
      </c>
      <c r="E268" s="35">
        <v>679</v>
      </c>
      <c r="F268" s="83"/>
      <c r="G268" s="33">
        <v>680</v>
      </c>
      <c r="H268" s="33">
        <v>7</v>
      </c>
      <c r="J268" s="1">
        <v>17</v>
      </c>
    </row>
    <row r="269" spans="2:10" ht="23.25">
      <c r="B269" s="8">
        <v>109</v>
      </c>
      <c r="C269" s="8">
        <v>6</v>
      </c>
      <c r="D269" s="9">
        <v>8</v>
      </c>
      <c r="E269" s="35">
        <v>747</v>
      </c>
      <c r="F269" s="83"/>
      <c r="G269" s="33">
        <v>750</v>
      </c>
      <c r="H269" s="33">
        <v>5</v>
      </c>
      <c r="J269" s="1">
        <v>13</v>
      </c>
    </row>
    <row r="270" spans="2:10" ht="23.25">
      <c r="B270" s="8">
        <v>110</v>
      </c>
      <c r="C270" s="8">
        <v>6</v>
      </c>
      <c r="D270" s="9">
        <v>8</v>
      </c>
      <c r="E270" s="35">
        <v>659</v>
      </c>
      <c r="F270" s="83"/>
      <c r="G270" s="33">
        <v>660</v>
      </c>
      <c r="H270" s="33">
        <v>6</v>
      </c>
      <c r="J270" s="1">
        <v>16</v>
      </c>
    </row>
    <row r="271" spans="2:10" ht="23.25">
      <c r="B271" s="8">
        <v>111</v>
      </c>
      <c r="C271" s="8">
        <v>6</v>
      </c>
      <c r="D271" s="9">
        <v>8</v>
      </c>
      <c r="E271" s="35">
        <v>808</v>
      </c>
      <c r="F271" s="83"/>
      <c r="G271" s="33">
        <v>810</v>
      </c>
      <c r="H271" s="33">
        <v>2</v>
      </c>
      <c r="J271" s="1">
        <v>6</v>
      </c>
    </row>
    <row r="272" spans="2:10" ht="23.25">
      <c r="B272" s="8">
        <v>112</v>
      </c>
      <c r="C272" s="8">
        <v>6</v>
      </c>
      <c r="D272" s="9">
        <v>8</v>
      </c>
      <c r="E272" s="35">
        <v>729</v>
      </c>
      <c r="F272" s="83"/>
      <c r="G272" s="33">
        <v>730</v>
      </c>
      <c r="H272" s="33">
        <v>6</v>
      </c>
      <c r="J272" s="1">
        <v>16</v>
      </c>
    </row>
    <row r="273" spans="2:12" ht="23.25">
      <c r="B273" s="8">
        <v>113</v>
      </c>
      <c r="C273" s="8">
        <v>6</v>
      </c>
      <c r="D273" s="9">
        <v>8</v>
      </c>
      <c r="E273" s="35">
        <v>768</v>
      </c>
      <c r="F273" s="83"/>
      <c r="G273" s="33">
        <v>770</v>
      </c>
      <c r="H273" s="33">
        <v>3</v>
      </c>
      <c r="I273" s="13"/>
      <c r="J273" s="13">
        <v>8</v>
      </c>
      <c r="K273" s="13"/>
    </row>
    <row r="274" spans="2:12" ht="23.25">
      <c r="B274" s="8">
        <v>114</v>
      </c>
      <c r="C274" s="8">
        <v>6</v>
      </c>
      <c r="D274" s="9">
        <v>8</v>
      </c>
      <c r="E274" s="35">
        <v>637</v>
      </c>
      <c r="F274" s="83"/>
      <c r="G274" s="33">
        <v>640</v>
      </c>
      <c r="H274" s="33">
        <v>0</v>
      </c>
      <c r="I274" s="13"/>
      <c r="J274" s="13">
        <v>0</v>
      </c>
      <c r="K274" s="13"/>
    </row>
    <row r="275" spans="2:12" ht="23.25">
      <c r="B275" s="8">
        <v>115</v>
      </c>
      <c r="C275" s="8">
        <v>6</v>
      </c>
      <c r="D275" s="9">
        <v>8</v>
      </c>
      <c r="E275" s="35">
        <v>787</v>
      </c>
      <c r="F275" s="83"/>
      <c r="G275" s="33">
        <v>790</v>
      </c>
      <c r="H275" s="33">
        <v>1</v>
      </c>
      <c r="I275" s="13"/>
      <c r="J275" s="13">
        <v>3</v>
      </c>
      <c r="K275" s="13"/>
    </row>
    <row r="276" spans="2:12" ht="23.25">
      <c r="B276" s="8">
        <v>116</v>
      </c>
      <c r="C276" s="8">
        <v>6</v>
      </c>
      <c r="D276" s="9">
        <v>8</v>
      </c>
      <c r="E276" s="35">
        <v>707</v>
      </c>
      <c r="F276" s="83"/>
      <c r="G276" s="33">
        <v>710</v>
      </c>
      <c r="H276" s="33">
        <v>5</v>
      </c>
      <c r="I276" s="13"/>
      <c r="J276" s="13">
        <v>13</v>
      </c>
      <c r="K276" s="13"/>
    </row>
    <row r="277" spans="2:12" ht="23.25">
      <c r="B277" s="8">
        <v>117</v>
      </c>
      <c r="C277" s="8">
        <v>6</v>
      </c>
      <c r="D277" s="9">
        <v>8</v>
      </c>
      <c r="E277" s="35">
        <v>757</v>
      </c>
      <c r="F277" s="83"/>
      <c r="G277" s="33">
        <v>760</v>
      </c>
      <c r="H277" s="33">
        <v>4</v>
      </c>
      <c r="I277" s="13"/>
      <c r="J277" s="13">
        <v>10</v>
      </c>
      <c r="K277" s="13"/>
    </row>
    <row r="278" spans="2:12" ht="23.25">
      <c r="B278" s="8">
        <v>118</v>
      </c>
      <c r="C278" s="8">
        <v>6</v>
      </c>
      <c r="D278" s="9">
        <v>8</v>
      </c>
      <c r="E278" s="35">
        <v>617</v>
      </c>
      <c r="F278" s="83"/>
      <c r="G278" s="33">
        <v>620</v>
      </c>
      <c r="H278" s="33">
        <v>4</v>
      </c>
      <c r="I278" s="13"/>
      <c r="J278" s="13">
        <v>10</v>
      </c>
      <c r="K278" s="13"/>
    </row>
    <row r="279" spans="2:12" ht="23.25">
      <c r="B279" s="8">
        <v>119</v>
      </c>
      <c r="C279" s="8">
        <v>6</v>
      </c>
      <c r="D279" s="9">
        <v>8</v>
      </c>
      <c r="E279" s="35">
        <v>818</v>
      </c>
      <c r="F279" s="83"/>
      <c r="G279" s="33">
        <v>820</v>
      </c>
      <c r="H279" s="33">
        <v>3</v>
      </c>
      <c r="I279" s="13"/>
      <c r="J279" s="13">
        <v>8</v>
      </c>
      <c r="K279" s="13"/>
    </row>
    <row r="280" spans="2:12" ht="23.25">
      <c r="B280" s="8">
        <v>120</v>
      </c>
      <c r="C280" s="8">
        <v>6</v>
      </c>
      <c r="D280" s="9">
        <v>8</v>
      </c>
      <c r="E280" s="35">
        <v>739</v>
      </c>
      <c r="F280" s="83"/>
      <c r="G280" s="33">
        <v>740</v>
      </c>
      <c r="H280" s="33">
        <v>7</v>
      </c>
      <c r="I280" s="13"/>
      <c r="J280" s="13">
        <v>17</v>
      </c>
      <c r="K280" s="13"/>
    </row>
    <row r="281" spans="2:12" ht="15.75">
      <c r="B281" s="44"/>
      <c r="C281" s="4"/>
      <c r="D281" s="4"/>
      <c r="E281" s="17"/>
      <c r="F281" s="13"/>
      <c r="G281" s="21"/>
      <c r="H281" s="4"/>
      <c r="I281" s="4"/>
      <c r="J281" s="4"/>
      <c r="K281" s="4"/>
      <c r="L281" s="4"/>
    </row>
    <row r="282" spans="2:12" ht="15.75">
      <c r="B282" s="42" t="s">
        <v>116</v>
      </c>
      <c r="C282" s="4"/>
      <c r="D282" s="1"/>
      <c r="E282" s="15"/>
      <c r="F282" s="13"/>
    </row>
    <row r="283" spans="2:12" ht="15.75" thickBot="1">
      <c r="F283"/>
      <c r="I283" s="13"/>
      <c r="J283" s="13"/>
      <c r="K283" s="13"/>
    </row>
    <row r="284" spans="2:12" ht="29.25" customHeight="1" thickBot="1">
      <c r="B284" s="52" t="s">
        <v>31</v>
      </c>
      <c r="C284" s="53" t="s">
        <v>32</v>
      </c>
      <c r="D284" s="36"/>
      <c r="E284" s="17"/>
      <c r="F284"/>
      <c r="G284" s="21"/>
      <c r="H284" s="13"/>
      <c r="I284" s="13"/>
      <c r="J284" s="64" t="s">
        <v>78</v>
      </c>
      <c r="K284" s="64" t="s">
        <v>79</v>
      </c>
      <c r="L284" s="108" t="s">
        <v>80</v>
      </c>
    </row>
    <row r="285" spans="2:12" ht="15.75">
      <c r="B285" s="10"/>
      <c r="C285" s="4"/>
      <c r="D285" s="4"/>
      <c r="E285" s="17"/>
      <c r="F285"/>
      <c r="G285" s="21"/>
      <c r="H285" s="13"/>
      <c r="I285" s="13"/>
      <c r="J285" s="91">
        <v>300</v>
      </c>
      <c r="K285" s="93">
        <v>0.18</v>
      </c>
      <c r="L285" s="106">
        <f>ROUND(PMT(K285/12,60,-1000),2)</f>
        <v>25.39</v>
      </c>
    </row>
    <row r="286" spans="2:12" ht="15.75">
      <c r="B286" s="22" t="s">
        <v>77</v>
      </c>
      <c r="C286" s="4"/>
      <c r="D286" s="1"/>
      <c r="E286" s="15"/>
      <c r="F286"/>
      <c r="H286" s="13"/>
      <c r="I286" s="13"/>
      <c r="J286" s="91">
        <v>580</v>
      </c>
      <c r="K286" s="93">
        <v>0.14000000000000001</v>
      </c>
      <c r="L286" s="106">
        <f t="shared" ref="L286:L292" si="13">ROUND(PMT(K286/12,60,-1000),2)</f>
        <v>23.27</v>
      </c>
    </row>
    <row r="287" spans="2:12" ht="15.75">
      <c r="B287" s="22" t="s">
        <v>81</v>
      </c>
      <c r="C287" s="4"/>
      <c r="D287" s="4"/>
      <c r="E287" s="17"/>
      <c r="F287"/>
      <c r="G287" s="20"/>
      <c r="H287" s="13"/>
      <c r="J287" s="91">
        <v>620</v>
      </c>
      <c r="K287" s="93">
        <v>0.11</v>
      </c>
      <c r="L287" s="106">
        <f t="shared" si="13"/>
        <v>21.74</v>
      </c>
    </row>
    <row r="288" spans="2:12" ht="15.75">
      <c r="B288" s="22" t="s">
        <v>83</v>
      </c>
      <c r="C288" s="4"/>
      <c r="D288" s="4"/>
      <c r="E288" s="17"/>
      <c r="F288"/>
      <c r="G288" s="20"/>
      <c r="H288" s="13"/>
      <c r="J288" s="91">
        <v>660</v>
      </c>
      <c r="K288" s="93">
        <v>0.09</v>
      </c>
      <c r="L288" s="106">
        <f t="shared" si="13"/>
        <v>20.76</v>
      </c>
    </row>
    <row r="289" spans="2:12" ht="15.75">
      <c r="B289" s="39" t="s">
        <v>82</v>
      </c>
      <c r="C289" s="4"/>
      <c r="D289" s="4"/>
      <c r="E289" s="17"/>
      <c r="F289"/>
      <c r="G289" s="20"/>
      <c r="H289" s="13"/>
      <c r="J289" s="91">
        <v>700</v>
      </c>
      <c r="K289" s="93">
        <v>7.4999999999999997E-2</v>
      </c>
      <c r="L289" s="106">
        <f t="shared" si="13"/>
        <v>20.04</v>
      </c>
    </row>
    <row r="290" spans="2:12" ht="15.75">
      <c r="B290" s="101" t="s">
        <v>101</v>
      </c>
      <c r="C290" s="4"/>
      <c r="D290" s="4"/>
      <c r="E290" s="17"/>
      <c r="F290"/>
      <c r="G290" s="20"/>
      <c r="H290" s="13"/>
      <c r="J290" s="91">
        <v>720</v>
      </c>
      <c r="K290" s="93">
        <v>6.5000000000000002E-2</v>
      </c>
      <c r="L290" s="106">
        <f t="shared" si="13"/>
        <v>19.57</v>
      </c>
    </row>
    <row r="291" spans="2:12" ht="15.75">
      <c r="B291" s="46" t="s">
        <v>146</v>
      </c>
      <c r="C291" s="4"/>
      <c r="D291" s="4"/>
      <c r="E291" s="17"/>
      <c r="F291"/>
      <c r="G291" s="20"/>
      <c r="H291" s="13"/>
      <c r="J291" s="91">
        <v>740</v>
      </c>
      <c r="K291" s="93">
        <v>5.5E-2</v>
      </c>
      <c r="L291" s="106">
        <f t="shared" si="13"/>
        <v>19.100000000000001</v>
      </c>
    </row>
    <row r="292" spans="2:12" ht="15.75">
      <c r="J292" s="92">
        <v>780</v>
      </c>
      <c r="K292" s="94">
        <v>4.4999999999999998E-2</v>
      </c>
      <c r="L292" s="107">
        <f t="shared" si="13"/>
        <v>18.64</v>
      </c>
    </row>
    <row r="293" spans="2:12" ht="15.75">
      <c r="B293" s="22" t="s">
        <v>84</v>
      </c>
      <c r="C293" s="4"/>
      <c r="D293" s="4"/>
      <c r="E293" s="17"/>
      <c r="F293"/>
      <c r="G293" s="20"/>
      <c r="H293" s="13"/>
    </row>
    <row r="294" spans="2:12" ht="15.75">
      <c r="B294" s="22" t="s">
        <v>85</v>
      </c>
      <c r="C294" s="4"/>
      <c r="D294" s="4"/>
      <c r="E294" s="17"/>
      <c r="F294"/>
      <c r="G294" s="20"/>
      <c r="H294" s="13"/>
    </row>
    <row r="295" spans="2:12" ht="15.75">
      <c r="B295" s="48" t="s">
        <v>145</v>
      </c>
      <c r="C295" s="4"/>
      <c r="D295" s="4"/>
      <c r="E295" s="17"/>
      <c r="F295"/>
      <c r="G295" s="20"/>
      <c r="H295" s="13"/>
    </row>
    <row r="296" spans="2:12" ht="15.75">
      <c r="B296" s="48"/>
      <c r="C296" s="4"/>
      <c r="D296" s="4"/>
      <c r="E296" s="17"/>
      <c r="F296"/>
      <c r="G296" s="20"/>
      <c r="H296" s="13"/>
    </row>
    <row r="297" spans="2:12" ht="15.75">
      <c r="B297" s="49" t="s">
        <v>18</v>
      </c>
      <c r="C297" s="4"/>
      <c r="D297" s="4"/>
      <c r="E297" s="17"/>
      <c r="F297"/>
      <c r="G297" s="20"/>
      <c r="H297" s="13"/>
    </row>
    <row r="298" spans="2:12" ht="15.75">
      <c r="B298" s="87" t="s">
        <v>98</v>
      </c>
      <c r="C298" s="4"/>
      <c r="D298" s="4"/>
      <c r="E298" s="17"/>
      <c r="F298"/>
      <c r="G298" s="20"/>
      <c r="H298" s="13"/>
      <c r="I298" s="4"/>
      <c r="J298" s="4"/>
      <c r="K298" s="4"/>
      <c r="L298" s="4"/>
    </row>
    <row r="299" spans="2:12" ht="15.75">
      <c r="B299" s="87" t="s">
        <v>99</v>
      </c>
      <c r="C299" s="4"/>
      <c r="D299" s="4"/>
      <c r="E299" s="17"/>
      <c r="F299"/>
      <c r="G299" s="20"/>
      <c r="H299" s="13"/>
      <c r="I299" s="4"/>
      <c r="J299" s="4"/>
      <c r="K299" s="4"/>
      <c r="L299" s="4"/>
    </row>
    <row r="300" spans="2:12" ht="15.75">
      <c r="B300" s="87" t="s">
        <v>100</v>
      </c>
      <c r="C300" s="1"/>
      <c r="D300" s="1"/>
      <c r="E300" s="15"/>
      <c r="F300"/>
      <c r="H300" s="13"/>
      <c r="I300" s="4"/>
      <c r="J300" s="4"/>
      <c r="K300" s="4"/>
      <c r="L300" s="4"/>
    </row>
    <row r="301" spans="2:12" ht="15.75" thickBot="1">
      <c r="B301" s="10"/>
      <c r="C301" s="1"/>
      <c r="D301" s="1"/>
      <c r="E301" s="15"/>
      <c r="F301"/>
      <c r="G301" s="11"/>
      <c r="H301" s="13"/>
      <c r="I301" s="4"/>
      <c r="J301" s="4"/>
      <c r="K301" s="4"/>
      <c r="L301" s="4"/>
    </row>
    <row r="302" spans="2:12" s="13" customFormat="1" ht="22.5" customHeight="1" thickBot="1">
      <c r="B302" s="62" t="s">
        <v>5</v>
      </c>
      <c r="C302" s="62" t="s">
        <v>19</v>
      </c>
      <c r="D302" s="62" t="s">
        <v>7</v>
      </c>
      <c r="E302" s="62" t="s">
        <v>8</v>
      </c>
      <c r="F302"/>
      <c r="G302" s="62" t="s">
        <v>102</v>
      </c>
      <c r="H302" s="62" t="s">
        <v>78</v>
      </c>
    </row>
    <row r="303" spans="2:12" ht="15.75">
      <c r="B303" s="1"/>
      <c r="C303" s="1"/>
      <c r="D303" s="1"/>
      <c r="E303" s="15"/>
      <c r="F303"/>
      <c r="G303" s="21"/>
      <c r="H303" s="13"/>
      <c r="I303" s="4"/>
      <c r="J303" s="4"/>
      <c r="K303" s="4"/>
      <c r="L303" s="4"/>
    </row>
    <row r="304" spans="2:12" ht="23.25">
      <c r="B304" s="8" t="s">
        <v>33</v>
      </c>
      <c r="C304" s="8">
        <v>7</v>
      </c>
      <c r="D304" s="9">
        <v>0</v>
      </c>
      <c r="E304" s="12">
        <v>22994</v>
      </c>
      <c r="F304" s="83"/>
      <c r="G304" s="85">
        <v>450</v>
      </c>
      <c r="H304" s="33">
        <v>720</v>
      </c>
      <c r="I304" s="4"/>
      <c r="J304" s="4"/>
      <c r="K304" s="4"/>
      <c r="L304" s="4"/>
    </row>
    <row r="306" spans="2:8" ht="23.25">
      <c r="B306" s="8">
        <v>121</v>
      </c>
      <c r="C306" s="8">
        <v>7</v>
      </c>
      <c r="D306" s="9">
        <v>10</v>
      </c>
      <c r="E306" s="12" cm="1">
        <f t="array" ref="E306:E325" xml:space="preserve"> ROUND(G306:G325 /  _xlfn.XLOOKUP(H306:H325,$J$285:$J$292,L285:L292,,-1,1) * 1000, 0)</f>
        <v>19960</v>
      </c>
      <c r="F306" s="83"/>
      <c r="G306" s="85">
        <v>400</v>
      </c>
      <c r="H306" s="33">
        <v>700</v>
      </c>
    </row>
    <row r="307" spans="2:8" ht="23.25">
      <c r="B307" s="8">
        <v>122</v>
      </c>
      <c r="C307" s="8">
        <v>7</v>
      </c>
      <c r="D307" s="9">
        <v>10</v>
      </c>
      <c r="E307" s="12">
        <v>16099</v>
      </c>
      <c r="F307" s="83"/>
      <c r="G307" s="85">
        <v>350</v>
      </c>
      <c r="H307" s="33">
        <v>620</v>
      </c>
    </row>
    <row r="308" spans="2:8" ht="23.25">
      <c r="B308" s="8">
        <v>123</v>
      </c>
      <c r="C308" s="8">
        <v>7</v>
      </c>
      <c r="D308" s="9">
        <v>10</v>
      </c>
      <c r="E308" s="12">
        <v>26178</v>
      </c>
      <c r="F308" s="83"/>
      <c r="G308" s="85">
        <v>500</v>
      </c>
      <c r="H308" s="33">
        <v>740</v>
      </c>
    </row>
    <row r="309" spans="2:8" ht="23.25">
      <c r="B309" s="8">
        <v>124</v>
      </c>
      <c r="C309" s="8">
        <v>7</v>
      </c>
      <c r="D309" s="9">
        <v>10</v>
      </c>
      <c r="E309" s="12">
        <v>32189</v>
      </c>
      <c r="F309" s="83"/>
      <c r="G309" s="85">
        <v>600</v>
      </c>
      <c r="H309" s="33">
        <v>780</v>
      </c>
    </row>
    <row r="310" spans="2:8" ht="23.25">
      <c r="B310" s="8">
        <v>125</v>
      </c>
      <c r="C310" s="8">
        <v>7</v>
      </c>
      <c r="D310" s="9">
        <v>10</v>
      </c>
      <c r="E310" s="12">
        <v>12892</v>
      </c>
      <c r="F310" s="83"/>
      <c r="G310" s="85">
        <v>300</v>
      </c>
      <c r="H310" s="33">
        <v>580</v>
      </c>
    </row>
    <row r="311" spans="2:8" ht="23.25">
      <c r="B311" s="8">
        <v>126</v>
      </c>
      <c r="C311" s="8">
        <v>7</v>
      </c>
      <c r="D311" s="9">
        <v>10</v>
      </c>
      <c r="E311" s="12">
        <v>21676</v>
      </c>
      <c r="F311" s="83"/>
      <c r="G311" s="85">
        <v>450</v>
      </c>
      <c r="H311" s="33">
        <v>660</v>
      </c>
    </row>
    <row r="312" spans="2:8" ht="23.25">
      <c r="B312" s="8">
        <v>127</v>
      </c>
      <c r="C312" s="8">
        <v>7</v>
      </c>
      <c r="D312" s="9">
        <v>10</v>
      </c>
      <c r="E312" s="12">
        <v>28104</v>
      </c>
      <c r="F312" s="83"/>
      <c r="G312" s="85">
        <v>550</v>
      </c>
      <c r="H312" s="33">
        <v>720</v>
      </c>
    </row>
    <row r="313" spans="2:8" ht="23.25">
      <c r="B313" s="8">
        <v>128</v>
      </c>
      <c r="C313" s="8">
        <v>7</v>
      </c>
      <c r="D313" s="9">
        <v>10</v>
      </c>
      <c r="E313" s="12">
        <v>17479</v>
      </c>
      <c r="F313" s="83"/>
      <c r="G313" s="85">
        <v>380</v>
      </c>
      <c r="H313" s="33">
        <v>620</v>
      </c>
    </row>
    <row r="314" spans="2:8" ht="23.25">
      <c r="B314" s="8">
        <v>129</v>
      </c>
      <c r="C314" s="8">
        <v>7</v>
      </c>
      <c r="D314" s="9">
        <v>10</v>
      </c>
      <c r="E314" s="12">
        <v>23703</v>
      </c>
      <c r="F314" s="83"/>
      <c r="G314" s="85">
        <v>475</v>
      </c>
      <c r="H314" s="33">
        <v>700</v>
      </c>
    </row>
    <row r="315" spans="2:8" ht="23.25">
      <c r="B315" s="8">
        <v>130</v>
      </c>
      <c r="C315" s="8">
        <v>7</v>
      </c>
      <c r="D315" s="9">
        <v>10</v>
      </c>
      <c r="E315" s="12">
        <v>34871</v>
      </c>
      <c r="F315" s="83"/>
      <c r="G315" s="85">
        <v>650</v>
      </c>
      <c r="H315" s="33">
        <v>780</v>
      </c>
    </row>
    <row r="316" spans="2:8" ht="23.25">
      <c r="B316" s="8">
        <v>131</v>
      </c>
      <c r="C316" s="8">
        <v>7</v>
      </c>
      <c r="D316" s="9">
        <v>10</v>
      </c>
      <c r="E316" s="12">
        <v>13752</v>
      </c>
      <c r="F316" s="83"/>
      <c r="G316" s="85">
        <v>320</v>
      </c>
      <c r="H316" s="33">
        <v>580</v>
      </c>
    </row>
    <row r="317" spans="2:8" ht="23.25">
      <c r="B317" s="8">
        <v>132</v>
      </c>
      <c r="C317" s="8">
        <v>7</v>
      </c>
      <c r="D317" s="9">
        <v>10</v>
      </c>
      <c r="E317" s="12">
        <v>20231</v>
      </c>
      <c r="F317" s="83"/>
      <c r="G317" s="85">
        <v>420</v>
      </c>
      <c r="H317" s="33">
        <v>660</v>
      </c>
    </row>
    <row r="318" spans="2:8" ht="23.25">
      <c r="B318" s="8">
        <v>133</v>
      </c>
      <c r="C318" s="8">
        <v>7</v>
      </c>
      <c r="D318" s="9">
        <v>10</v>
      </c>
      <c r="E318" s="12">
        <v>30366</v>
      </c>
      <c r="F318" s="83"/>
      <c r="G318" s="85">
        <v>580</v>
      </c>
      <c r="H318" s="33">
        <v>740</v>
      </c>
    </row>
    <row r="319" spans="2:8" ht="23.25">
      <c r="B319" s="8">
        <v>134</v>
      </c>
      <c r="C319" s="8">
        <v>7</v>
      </c>
      <c r="D319" s="9">
        <v>10</v>
      </c>
      <c r="E319" s="12">
        <v>16559</v>
      </c>
      <c r="F319" s="83"/>
      <c r="G319" s="85">
        <v>360</v>
      </c>
      <c r="H319" s="33">
        <v>620</v>
      </c>
    </row>
    <row r="320" spans="2:8" ht="23.25">
      <c r="B320" s="8">
        <v>135</v>
      </c>
      <c r="C320" s="8">
        <v>7</v>
      </c>
      <c r="D320" s="9">
        <v>10</v>
      </c>
      <c r="E320" s="12">
        <v>25549</v>
      </c>
      <c r="F320" s="83"/>
      <c r="G320" s="85">
        <v>500</v>
      </c>
      <c r="H320" s="33">
        <v>720</v>
      </c>
    </row>
    <row r="321" spans="2:8" ht="23.25">
      <c r="B321" s="8">
        <v>136</v>
      </c>
      <c r="C321" s="8">
        <v>7</v>
      </c>
      <c r="D321" s="9">
        <v>10</v>
      </c>
      <c r="E321" s="12">
        <v>21457</v>
      </c>
      <c r="F321" s="83"/>
      <c r="G321" s="85">
        <v>430</v>
      </c>
      <c r="H321" s="33">
        <v>700</v>
      </c>
    </row>
    <row r="322" spans="2:8" ht="23.25">
      <c r="B322" s="8">
        <v>137</v>
      </c>
      <c r="C322" s="8">
        <v>7</v>
      </c>
      <c r="D322" s="9">
        <v>10</v>
      </c>
      <c r="E322" s="12">
        <v>37554</v>
      </c>
      <c r="F322" s="83"/>
      <c r="G322" s="85">
        <v>700</v>
      </c>
      <c r="H322" s="33">
        <v>780</v>
      </c>
    </row>
    <row r="323" spans="2:8" ht="23.25">
      <c r="B323" s="8">
        <v>138</v>
      </c>
      <c r="C323" s="8">
        <v>7</v>
      </c>
      <c r="D323" s="9">
        <v>10</v>
      </c>
      <c r="E323" s="12">
        <v>12462</v>
      </c>
      <c r="F323" s="83"/>
      <c r="G323" s="85">
        <v>290</v>
      </c>
      <c r="H323" s="33">
        <v>580</v>
      </c>
    </row>
    <row r="324" spans="2:8" ht="23.25">
      <c r="B324" s="8">
        <v>139</v>
      </c>
      <c r="C324" s="8">
        <v>7</v>
      </c>
      <c r="D324" s="9">
        <v>10</v>
      </c>
      <c r="E324" s="12">
        <v>27225</v>
      </c>
      <c r="F324" s="83"/>
      <c r="G324" s="85">
        <v>520</v>
      </c>
      <c r="H324" s="33">
        <v>740</v>
      </c>
    </row>
    <row r="325" spans="2:8" ht="23.25">
      <c r="B325" s="8">
        <v>140</v>
      </c>
      <c r="C325" s="8">
        <v>7</v>
      </c>
      <c r="D325" s="9">
        <v>10</v>
      </c>
      <c r="E325" s="12">
        <v>22158</v>
      </c>
      <c r="F325" s="83"/>
      <c r="G325" s="85">
        <v>460</v>
      </c>
      <c r="H325" s="33">
        <v>660</v>
      </c>
    </row>
    <row r="326" spans="2:8" ht="15.75">
      <c r="B326" s="44"/>
      <c r="C326" s="4"/>
      <c r="D326" s="4"/>
      <c r="E326" s="17"/>
      <c r="F326" s="13"/>
      <c r="G326" s="21"/>
      <c r="H326" s="4"/>
    </row>
    <row r="327" spans="2:8" ht="15.75">
      <c r="B327" s="42" t="s">
        <v>115</v>
      </c>
      <c r="C327" s="4"/>
      <c r="D327" s="1"/>
      <c r="E327" s="15"/>
      <c r="F327" s="13"/>
    </row>
    <row r="1000" spans="648:648" ht="15.75">
      <c r="XX1000" s="110">
        <v>125713</v>
      </c>
    </row>
  </sheetData>
  <mergeCells count="5">
    <mergeCell ref="G25:O25"/>
    <mergeCell ref="G26:O26"/>
    <mergeCell ref="G27:O27"/>
    <mergeCell ref="G28:O28"/>
    <mergeCell ref="G29:O29"/>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15" id="{D57B6FCA-DF5A-4167-B85E-6CB13517F3C1}">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F25:F29</xm:sqref>
        </x14:conditionalFormatting>
        <x14:conditionalFormatting xmlns:xm="http://schemas.microsoft.com/office/excel/2006/main">
          <x14:cfRule type="iconSet" priority="14" id="{64771982-76C2-4090-88A8-13C62BEF94D0}">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F49</xm:sqref>
        </x14:conditionalFormatting>
        <x14:conditionalFormatting xmlns:xm="http://schemas.microsoft.com/office/excel/2006/main">
          <x14:cfRule type="iconSet" priority="13" id="{237D5A58-4E2C-439B-BBAC-75A10942F5F2}">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F51:F70</xm:sqref>
        </x14:conditionalFormatting>
        <x14:conditionalFormatting xmlns:xm="http://schemas.microsoft.com/office/excel/2006/main">
          <x14:cfRule type="iconSet" priority="12" id="{27F822FA-C5D3-4DB4-BF7D-E164DC25140D}">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F88</xm:sqref>
        </x14:conditionalFormatting>
        <x14:conditionalFormatting xmlns:xm="http://schemas.microsoft.com/office/excel/2006/main">
          <x14:cfRule type="iconSet" priority="11" id="{50B40CCB-93DE-4F08-8D02-F4508D5488B0}">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F90:F109</xm:sqref>
        </x14:conditionalFormatting>
        <x14:conditionalFormatting xmlns:xm="http://schemas.microsoft.com/office/excel/2006/main">
          <x14:cfRule type="iconSet" priority="10" id="{E82CE944-F424-485E-B44E-CB307AC819AD}">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F127</xm:sqref>
        </x14:conditionalFormatting>
        <x14:conditionalFormatting xmlns:xm="http://schemas.microsoft.com/office/excel/2006/main">
          <x14:cfRule type="iconSet" priority="9" id="{A2DB9473-FFEC-48B9-BE98-46A344DF4201}">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F129:F148</xm:sqref>
        </x14:conditionalFormatting>
        <x14:conditionalFormatting xmlns:xm="http://schemas.microsoft.com/office/excel/2006/main">
          <x14:cfRule type="iconSet" priority="8" id="{7F1A1E32-5577-4CBF-B0B9-BB3DFA33FF3C}">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F167</xm:sqref>
        </x14:conditionalFormatting>
        <x14:conditionalFormatting xmlns:xm="http://schemas.microsoft.com/office/excel/2006/main">
          <x14:cfRule type="iconSet" priority="7" id="{AD35A966-56DF-495A-9740-C119AF8AAF0D}">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F169:F188</xm:sqref>
        </x14:conditionalFormatting>
        <x14:conditionalFormatting xmlns:xm="http://schemas.microsoft.com/office/excel/2006/main">
          <x14:cfRule type="iconSet" priority="6" id="{B154A77C-094D-417E-823B-01807AE5F9BC}">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F214</xm:sqref>
        </x14:conditionalFormatting>
        <x14:conditionalFormatting xmlns:xm="http://schemas.microsoft.com/office/excel/2006/main">
          <x14:cfRule type="iconSet" priority="5" id="{F12F91C3-0B94-4809-8841-46FF338E8AA6}">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F216:F235</xm:sqref>
        </x14:conditionalFormatting>
        <x14:conditionalFormatting xmlns:xm="http://schemas.microsoft.com/office/excel/2006/main">
          <x14:cfRule type="iconSet" priority="4" id="{4FAF77FA-9782-4BEF-915C-0C9B2A24E960}">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F259</xm:sqref>
        </x14:conditionalFormatting>
        <x14:conditionalFormatting xmlns:xm="http://schemas.microsoft.com/office/excel/2006/main">
          <x14:cfRule type="iconSet" priority="3" id="{F400502B-7BFC-41E2-AC11-4A8BEE87AA25}">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F261:F280</xm:sqref>
        </x14:conditionalFormatting>
        <x14:conditionalFormatting xmlns:xm="http://schemas.microsoft.com/office/excel/2006/main">
          <x14:cfRule type="iconSet" priority="2" id="{712AD8CD-DA38-4830-A673-F81C66AC4AE5}">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F304</xm:sqref>
        </x14:conditionalFormatting>
        <x14:conditionalFormatting xmlns:xm="http://schemas.microsoft.com/office/excel/2006/main">
          <x14:cfRule type="iconSet" priority="1" id="{324DFC5E-27B9-4B1B-A0DB-E0016E0CB83B}">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F306:F325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3211F-1ABD-4EFA-BA99-0080CE4FBF33}">
  <sheetPr codeName="Sheet7"/>
  <dimension ref="A1:N149"/>
  <sheetViews>
    <sheetView showGridLines="0" topLeftCell="A106" zoomScale="70" zoomScaleNormal="70" workbookViewId="0">
      <selection activeCell="L149" sqref="L149"/>
    </sheetView>
  </sheetViews>
  <sheetFormatPr defaultColWidth="8.7109375" defaultRowHeight="23.25" customHeight="1"/>
  <cols>
    <col min="1" max="1" width="3.28515625" style="67" customWidth="1"/>
    <col min="2" max="2" width="13" style="77" customWidth="1"/>
    <col min="3" max="3" width="57" style="78" customWidth="1"/>
    <col min="4" max="4" width="9.85546875" style="67" customWidth="1"/>
    <col min="5" max="11" width="5.7109375" style="67" customWidth="1"/>
    <col min="12" max="12" width="11" style="67" customWidth="1"/>
    <col min="13" max="14" width="5.7109375" style="67" customWidth="1"/>
    <col min="15" max="38" width="8.5703125" style="68" customWidth="1"/>
    <col min="39" max="64" width="6.42578125" style="68" customWidth="1"/>
    <col min="65" max="16384" width="8.7109375" style="68"/>
  </cols>
  <sheetData>
    <row r="1" spans="2:14" ht="23.25" customHeight="1" thickBot="1">
      <c r="B1" s="65" t="s">
        <v>34</v>
      </c>
      <c r="C1" s="66"/>
      <c r="E1" s="109"/>
      <c r="F1" s="68"/>
      <c r="G1" s="68"/>
      <c r="H1" s="68"/>
      <c r="I1" s="68"/>
      <c r="J1" s="68"/>
      <c r="K1" s="68"/>
      <c r="L1" s="68"/>
      <c r="M1" s="68"/>
      <c r="N1" s="68"/>
    </row>
    <row r="2" spans="2:14" ht="23.25" customHeight="1" thickBot="1">
      <c r="B2" s="69" t="s">
        <v>5</v>
      </c>
      <c r="C2" s="70" t="s">
        <v>8</v>
      </c>
      <c r="D2" s="69" t="s">
        <v>7</v>
      </c>
      <c r="K2" s="68"/>
      <c r="L2" s="68"/>
      <c r="M2" s="68"/>
      <c r="N2" s="68"/>
    </row>
    <row r="3" spans="2:14" ht="23.25" customHeight="1">
      <c r="B3" s="71" t="s">
        <v>10</v>
      </c>
      <c r="C3" s="72">
        <f>IF(ISBLANK(Case!E25), "", Case!E25)</f>
        <v>30</v>
      </c>
      <c r="D3" s="73">
        <v>30</v>
      </c>
      <c r="E3" s="68"/>
      <c r="F3" s="68"/>
      <c r="G3" s="68"/>
      <c r="H3" s="68"/>
      <c r="I3" s="68"/>
      <c r="J3" s="68"/>
      <c r="K3" s="68"/>
      <c r="L3" s="68"/>
      <c r="M3" s="68"/>
      <c r="N3" s="68"/>
    </row>
    <row r="4" spans="2:14" ht="23.25" customHeight="1">
      <c r="B4" s="74" t="s">
        <v>11</v>
      </c>
      <c r="C4" s="72">
        <f>IF(ISBLANK(Case!E26), "", Case!E26)</f>
        <v>24</v>
      </c>
      <c r="D4" s="75">
        <v>40</v>
      </c>
      <c r="E4" s="68"/>
      <c r="F4" s="68"/>
      <c r="G4" s="68"/>
      <c r="H4" s="68"/>
      <c r="I4" s="68"/>
      <c r="J4" s="68"/>
      <c r="K4" s="68"/>
      <c r="L4" s="68"/>
      <c r="M4" s="68"/>
      <c r="N4" s="68"/>
    </row>
    <row r="5" spans="2:14" ht="23.25" customHeight="1">
      <c r="B5" s="74" t="s">
        <v>12</v>
      </c>
      <c r="C5" s="72">
        <f>IF(ISBLANK(Case!E27), "", Case!E27)</f>
        <v>715</v>
      </c>
      <c r="D5" s="75">
        <v>50</v>
      </c>
      <c r="E5" s="68"/>
      <c r="F5" s="68"/>
      <c r="G5" s="68"/>
      <c r="H5" s="68"/>
      <c r="I5" s="68"/>
      <c r="J5" s="68"/>
      <c r="K5" s="68"/>
      <c r="L5" s="68"/>
      <c r="M5" s="68"/>
      <c r="N5" s="68"/>
    </row>
    <row r="6" spans="2:14" ht="23.25" customHeight="1">
      <c r="B6" s="74" t="s">
        <v>13</v>
      </c>
      <c r="C6" s="72">
        <f>IF(ISBLANK(Case!E28), "", Case!E28)</f>
        <v>207</v>
      </c>
      <c r="D6" s="75">
        <v>60</v>
      </c>
      <c r="E6" s="68"/>
      <c r="F6" s="68"/>
      <c r="G6" s="68"/>
      <c r="H6" s="68"/>
      <c r="I6" s="68"/>
      <c r="J6" s="68"/>
      <c r="K6" s="68"/>
      <c r="L6" s="68"/>
      <c r="M6" s="68"/>
      <c r="N6" s="68"/>
    </row>
    <row r="7" spans="2:14" ht="23.25" customHeight="1">
      <c r="B7" s="74" t="s">
        <v>14</v>
      </c>
      <c r="C7" s="72">
        <f>IF(ISBLANK(Case!E29), "", Case!E29)</f>
        <v>153848</v>
      </c>
      <c r="D7" s="75">
        <v>70</v>
      </c>
      <c r="E7" s="68"/>
      <c r="F7" s="68"/>
      <c r="G7" s="68"/>
      <c r="H7" s="68"/>
      <c r="I7" s="68"/>
      <c r="J7" s="68"/>
      <c r="K7" s="68"/>
      <c r="L7" s="68"/>
      <c r="M7" s="68"/>
      <c r="N7" s="68"/>
    </row>
    <row r="8" spans="2:14" ht="23.25" customHeight="1">
      <c r="B8" s="76">
        <v>1</v>
      </c>
      <c r="C8" s="72">
        <f>IF(ISBLANK(Case!E51), "", Case!E51)</f>
        <v>22</v>
      </c>
      <c r="D8" s="71">
        <v>4</v>
      </c>
      <c r="E8" s="68"/>
      <c r="F8" s="68"/>
      <c r="G8" s="68"/>
      <c r="H8" s="68"/>
      <c r="I8" s="68"/>
      <c r="J8" s="68"/>
      <c r="K8" s="68"/>
      <c r="L8" s="68"/>
      <c r="M8" s="68"/>
      <c r="N8" s="68"/>
    </row>
    <row r="9" spans="2:14" ht="23.25" customHeight="1">
      <c r="B9" s="76">
        <f t="shared" ref="B9:B72" si="0">B8+1</f>
        <v>2</v>
      </c>
      <c r="C9" s="72">
        <f>IF(ISBLANK(Case!E52), "", Case!E52)</f>
        <v>32</v>
      </c>
      <c r="D9" s="71">
        <v>4</v>
      </c>
      <c r="E9" s="68"/>
      <c r="F9" s="68"/>
      <c r="G9" s="68"/>
      <c r="H9" s="68"/>
      <c r="I9" s="68"/>
      <c r="J9" s="68"/>
      <c r="K9" s="68"/>
      <c r="L9" s="68"/>
      <c r="M9" s="68"/>
      <c r="N9" s="68"/>
    </row>
    <row r="10" spans="2:14" ht="23.25" customHeight="1">
      <c r="B10" s="76">
        <f t="shared" si="0"/>
        <v>3</v>
      </c>
      <c r="C10" s="72">
        <f>IF(ISBLANK(Case!E53), "", Case!E53)</f>
        <v>8</v>
      </c>
      <c r="D10" s="71">
        <v>4</v>
      </c>
      <c r="E10" s="68"/>
      <c r="F10" s="68"/>
      <c r="G10" s="68"/>
      <c r="H10" s="68"/>
      <c r="I10" s="68"/>
      <c r="J10" s="68"/>
      <c r="K10" s="68"/>
      <c r="L10" s="68"/>
      <c r="M10" s="68"/>
      <c r="N10" s="68"/>
    </row>
    <row r="11" spans="2:14" ht="23.25" customHeight="1">
      <c r="B11" s="76">
        <f t="shared" si="0"/>
        <v>4</v>
      </c>
      <c r="C11" s="72">
        <f>IF(ISBLANK(Case!E54), "", Case!E54)</f>
        <v>33</v>
      </c>
      <c r="D11" s="71">
        <v>4</v>
      </c>
      <c r="E11" s="68"/>
      <c r="F11" s="68"/>
      <c r="G11" s="68"/>
      <c r="H11" s="68"/>
      <c r="I11" s="68"/>
      <c r="J11" s="68"/>
      <c r="K11" s="68"/>
      <c r="L11" s="68"/>
      <c r="M11" s="68"/>
      <c r="N11" s="68"/>
    </row>
    <row r="12" spans="2:14" ht="23.25" customHeight="1">
      <c r="B12" s="76">
        <f t="shared" si="0"/>
        <v>5</v>
      </c>
      <c r="C12" s="72">
        <f>IF(ISBLANK(Case!E55), "", Case!E55)</f>
        <v>35</v>
      </c>
      <c r="D12" s="71">
        <v>4</v>
      </c>
      <c r="E12" s="68"/>
      <c r="F12" s="68"/>
      <c r="G12" s="68"/>
      <c r="H12" s="68"/>
      <c r="I12" s="68"/>
      <c r="J12" s="68"/>
      <c r="K12" s="68"/>
      <c r="L12" s="68"/>
      <c r="M12" s="68"/>
      <c r="N12" s="68"/>
    </row>
    <row r="13" spans="2:14" ht="23.25" customHeight="1">
      <c r="B13" s="76">
        <f t="shared" si="0"/>
        <v>6</v>
      </c>
      <c r="C13" s="72">
        <f>IF(ISBLANK(Case!E56), "", Case!E56)</f>
        <v>19</v>
      </c>
      <c r="D13" s="71">
        <v>4</v>
      </c>
      <c r="E13" s="68"/>
      <c r="F13" s="68"/>
      <c r="G13" s="68"/>
      <c r="H13" s="68"/>
      <c r="I13" s="68"/>
      <c r="J13" s="68"/>
      <c r="K13" s="68"/>
      <c r="L13" s="68"/>
      <c r="M13" s="68"/>
      <c r="N13" s="68"/>
    </row>
    <row r="14" spans="2:14" ht="23.25" customHeight="1">
      <c r="B14" s="76">
        <f t="shared" si="0"/>
        <v>7</v>
      </c>
      <c r="C14" s="72">
        <f>IF(ISBLANK(Case!E57), "", Case!E57)</f>
        <v>30</v>
      </c>
      <c r="D14" s="71">
        <v>4</v>
      </c>
      <c r="E14" s="68"/>
      <c r="F14" s="68"/>
      <c r="G14" s="68"/>
      <c r="H14" s="68"/>
      <c r="I14" s="68"/>
      <c r="J14" s="68"/>
      <c r="K14" s="68"/>
      <c r="L14" s="68"/>
      <c r="M14" s="68"/>
      <c r="N14" s="68"/>
    </row>
    <row r="15" spans="2:14" ht="23.25" customHeight="1">
      <c r="B15" s="76">
        <f t="shared" si="0"/>
        <v>8</v>
      </c>
      <c r="C15" s="72">
        <f>IF(ISBLANK(Case!E58), "", Case!E58)</f>
        <v>48</v>
      </c>
      <c r="D15" s="71">
        <v>4</v>
      </c>
      <c r="E15" s="68"/>
      <c r="F15" s="68"/>
      <c r="G15" s="68"/>
      <c r="H15" s="68"/>
      <c r="I15" s="68"/>
      <c r="J15" s="68"/>
      <c r="K15" s="68"/>
      <c r="L15" s="68"/>
      <c r="M15" s="68"/>
      <c r="N15" s="68"/>
    </row>
    <row r="16" spans="2:14" ht="23.25" customHeight="1">
      <c r="B16" s="76">
        <f t="shared" si="0"/>
        <v>9</v>
      </c>
      <c r="C16" s="72">
        <f>IF(ISBLANK(Case!E59), "", Case!E59)</f>
        <v>18</v>
      </c>
      <c r="D16" s="71">
        <v>4</v>
      </c>
      <c r="E16" s="68"/>
      <c r="F16" s="68"/>
      <c r="G16" s="68"/>
      <c r="H16" s="68"/>
      <c r="I16" s="68"/>
      <c r="J16" s="68"/>
      <c r="K16" s="68"/>
      <c r="L16" s="68"/>
      <c r="M16" s="68"/>
      <c r="N16" s="68"/>
    </row>
    <row r="17" spans="2:14" ht="23.25" customHeight="1">
      <c r="B17" s="76">
        <f t="shared" si="0"/>
        <v>10</v>
      </c>
      <c r="C17" s="72">
        <f>IF(ISBLANK(Case!E60), "", Case!E60)</f>
        <v>42</v>
      </c>
      <c r="D17" s="71">
        <v>4</v>
      </c>
      <c r="E17" s="68"/>
      <c r="F17" s="68"/>
      <c r="G17" s="68"/>
      <c r="H17" s="68"/>
      <c r="I17" s="68"/>
      <c r="J17" s="68"/>
      <c r="K17" s="68"/>
      <c r="L17" s="68"/>
      <c r="M17" s="68"/>
      <c r="N17" s="68"/>
    </row>
    <row r="18" spans="2:14" ht="23.25" customHeight="1">
      <c r="B18" s="76">
        <f t="shared" si="0"/>
        <v>11</v>
      </c>
      <c r="C18" s="72">
        <f>IF(ISBLANK(Case!E61), "", Case!E61)</f>
        <v>22</v>
      </c>
      <c r="D18" s="71">
        <v>4</v>
      </c>
      <c r="E18" s="68"/>
      <c r="F18" s="68"/>
      <c r="G18" s="68"/>
      <c r="H18" s="68"/>
      <c r="I18" s="68"/>
      <c r="J18" s="68"/>
      <c r="K18" s="68"/>
      <c r="L18" s="68"/>
      <c r="M18" s="68"/>
      <c r="N18" s="68"/>
    </row>
    <row r="19" spans="2:14" ht="23.25" customHeight="1">
      <c r="B19" s="76">
        <f t="shared" si="0"/>
        <v>12</v>
      </c>
      <c r="C19" s="72">
        <f>IF(ISBLANK(Case!E62), "", Case!E62)</f>
        <v>45</v>
      </c>
      <c r="D19" s="71">
        <v>4</v>
      </c>
      <c r="E19" s="68"/>
      <c r="F19" s="68"/>
      <c r="G19" s="68"/>
      <c r="H19" s="68"/>
      <c r="I19" s="68"/>
      <c r="J19" s="68"/>
      <c r="K19" s="68"/>
      <c r="L19" s="68"/>
      <c r="M19" s="68"/>
      <c r="N19" s="68"/>
    </row>
    <row r="20" spans="2:14" ht="23.25" customHeight="1">
      <c r="B20" s="76">
        <f t="shared" si="0"/>
        <v>13</v>
      </c>
      <c r="C20" s="72">
        <f>IF(ISBLANK(Case!E63), "", Case!E63)</f>
        <v>39</v>
      </c>
      <c r="D20" s="71">
        <v>4</v>
      </c>
      <c r="E20" s="68"/>
      <c r="F20" s="68"/>
      <c r="G20" s="68"/>
      <c r="H20" s="68"/>
      <c r="I20" s="68"/>
      <c r="J20" s="68"/>
      <c r="K20" s="68"/>
      <c r="L20" s="68"/>
      <c r="M20" s="68"/>
      <c r="N20" s="68"/>
    </row>
    <row r="21" spans="2:14" ht="23.25" customHeight="1">
      <c r="B21" s="76">
        <f t="shared" si="0"/>
        <v>14</v>
      </c>
      <c r="C21" s="72">
        <f>IF(ISBLANK(Case!E64), "", Case!E64)</f>
        <v>28.999999999999996</v>
      </c>
      <c r="D21" s="71">
        <v>4</v>
      </c>
      <c r="E21" s="68"/>
      <c r="F21" s="68"/>
      <c r="G21" s="68"/>
      <c r="H21" s="68"/>
      <c r="I21" s="68"/>
      <c r="J21" s="68"/>
      <c r="K21" s="68"/>
      <c r="L21" s="68"/>
      <c r="M21" s="68"/>
      <c r="N21" s="68"/>
    </row>
    <row r="22" spans="2:14" ht="23.25" customHeight="1">
      <c r="B22" s="76">
        <f t="shared" si="0"/>
        <v>15</v>
      </c>
      <c r="C22" s="72">
        <f>IF(ISBLANK(Case!E65), "", Case!E65)</f>
        <v>39</v>
      </c>
      <c r="D22" s="71">
        <v>4</v>
      </c>
      <c r="E22" s="68"/>
      <c r="F22" s="68"/>
      <c r="G22" s="68"/>
      <c r="H22" s="68"/>
      <c r="I22" s="68"/>
      <c r="J22" s="68"/>
      <c r="K22" s="68"/>
      <c r="L22" s="68"/>
      <c r="M22" s="68"/>
      <c r="N22" s="68"/>
    </row>
    <row r="23" spans="2:14" ht="23.25" customHeight="1">
      <c r="B23" s="76">
        <f t="shared" si="0"/>
        <v>16</v>
      </c>
      <c r="C23" s="72">
        <f>IF(ISBLANK(Case!E66), "", Case!E66)</f>
        <v>10</v>
      </c>
      <c r="D23" s="71">
        <v>4</v>
      </c>
      <c r="E23" s="68"/>
      <c r="F23" s="68"/>
      <c r="G23" s="68"/>
      <c r="H23" s="68"/>
      <c r="I23" s="68"/>
      <c r="J23" s="68"/>
      <c r="K23" s="68"/>
      <c r="L23" s="68"/>
      <c r="M23" s="68"/>
      <c r="N23" s="68"/>
    </row>
    <row r="24" spans="2:14" ht="23.25" customHeight="1">
      <c r="B24" s="76">
        <f t="shared" si="0"/>
        <v>17</v>
      </c>
      <c r="C24" s="72">
        <f>IF(ISBLANK(Case!E67), "", Case!E67)</f>
        <v>14.000000000000002</v>
      </c>
      <c r="D24" s="71">
        <v>4</v>
      </c>
      <c r="E24" s="68"/>
      <c r="F24" s="68"/>
      <c r="G24" s="68"/>
      <c r="H24" s="68"/>
      <c r="I24" s="68"/>
      <c r="J24" s="68"/>
      <c r="K24" s="68"/>
      <c r="L24" s="68"/>
      <c r="M24" s="68"/>
      <c r="N24" s="68"/>
    </row>
    <row r="25" spans="2:14" ht="23.25" customHeight="1">
      <c r="B25" s="76">
        <f t="shared" si="0"/>
        <v>18</v>
      </c>
      <c r="C25" s="72">
        <f>IF(ISBLANK(Case!E68), "", Case!E68)</f>
        <v>30</v>
      </c>
      <c r="D25" s="71">
        <v>4</v>
      </c>
      <c r="E25" s="68"/>
      <c r="F25" s="68"/>
      <c r="G25" s="68"/>
      <c r="H25" s="68"/>
      <c r="I25" s="68"/>
      <c r="J25" s="68"/>
      <c r="K25" s="68"/>
      <c r="L25" s="68"/>
      <c r="M25" s="68"/>
      <c r="N25" s="68"/>
    </row>
    <row r="26" spans="2:14" ht="23.25" customHeight="1">
      <c r="B26" s="76">
        <f t="shared" si="0"/>
        <v>19</v>
      </c>
      <c r="C26" s="72">
        <f>IF(ISBLANK(Case!E69), "", Case!E69)</f>
        <v>36</v>
      </c>
      <c r="D26" s="71">
        <v>4</v>
      </c>
      <c r="E26" s="68"/>
      <c r="F26" s="68"/>
      <c r="G26" s="68"/>
      <c r="H26" s="68"/>
      <c r="I26" s="68"/>
      <c r="J26" s="68"/>
      <c r="K26" s="68"/>
      <c r="L26" s="68"/>
      <c r="M26" s="68"/>
      <c r="N26" s="68"/>
    </row>
    <row r="27" spans="2:14" ht="23.25" customHeight="1">
      <c r="B27" s="76">
        <f t="shared" si="0"/>
        <v>20</v>
      </c>
      <c r="C27" s="72">
        <f>IF(ISBLANK(Case!E70), "", Case!E70)</f>
        <v>30</v>
      </c>
      <c r="D27" s="71">
        <v>4</v>
      </c>
      <c r="E27" s="68"/>
      <c r="F27" s="68"/>
      <c r="G27" s="68"/>
      <c r="H27" s="68"/>
      <c r="I27" s="68"/>
      <c r="J27" s="68"/>
      <c r="K27" s="68"/>
      <c r="L27" s="68"/>
      <c r="M27" s="68"/>
      <c r="N27" s="68"/>
    </row>
    <row r="28" spans="2:14" ht="23.25" customHeight="1">
      <c r="B28" s="76">
        <f t="shared" si="0"/>
        <v>21</v>
      </c>
      <c r="C28" s="72">
        <f>IF(ISBLANK(Case!E90), "", Case!E90)</f>
        <v>1050</v>
      </c>
      <c r="D28" s="71">
        <v>6</v>
      </c>
    </row>
    <row r="29" spans="2:14" ht="23.25" customHeight="1">
      <c r="B29" s="76">
        <f t="shared" si="0"/>
        <v>22</v>
      </c>
      <c r="C29" s="72">
        <f>IF(ISBLANK(Case!E91), "", Case!E91)</f>
        <v>2580</v>
      </c>
      <c r="D29" s="71">
        <v>6</v>
      </c>
    </row>
    <row r="30" spans="2:14" ht="23.25" customHeight="1">
      <c r="B30" s="76">
        <f t="shared" si="0"/>
        <v>23</v>
      </c>
      <c r="C30" s="72">
        <f>IF(ISBLANK(Case!E92), "", Case!E92)</f>
        <v>790</v>
      </c>
      <c r="D30" s="71">
        <v>6</v>
      </c>
    </row>
    <row r="31" spans="2:14" ht="23.25" customHeight="1">
      <c r="B31" s="76">
        <f t="shared" si="0"/>
        <v>24</v>
      </c>
      <c r="C31" s="72">
        <f>IF(ISBLANK(Case!E93), "", Case!E93)</f>
        <v>3475</v>
      </c>
      <c r="D31" s="71">
        <v>6</v>
      </c>
    </row>
    <row r="32" spans="2:14" s="67" customFormat="1" ht="23.25" customHeight="1">
      <c r="B32" s="76">
        <f t="shared" si="0"/>
        <v>25</v>
      </c>
      <c r="C32" s="72">
        <f>IF(ISBLANK(Case!E94), "", Case!E94)</f>
        <v>790</v>
      </c>
      <c r="D32" s="71">
        <v>6</v>
      </c>
    </row>
    <row r="33" spans="2:4" s="67" customFormat="1" ht="23.25" customHeight="1">
      <c r="B33" s="76">
        <f t="shared" si="0"/>
        <v>26</v>
      </c>
      <c r="C33" s="72">
        <f>IF(ISBLANK(Case!E95), "", Case!E95)</f>
        <v>1310</v>
      </c>
      <c r="D33" s="71">
        <v>6</v>
      </c>
    </row>
    <row r="34" spans="2:4" s="67" customFormat="1" ht="23.25" customHeight="1">
      <c r="B34" s="76">
        <f t="shared" si="0"/>
        <v>27</v>
      </c>
      <c r="C34" s="72">
        <f>IF(ISBLANK(Case!E96), "", Case!E96)</f>
        <v>5970</v>
      </c>
      <c r="D34" s="71">
        <v>6</v>
      </c>
    </row>
    <row r="35" spans="2:4" s="67" customFormat="1" ht="23.25" customHeight="1">
      <c r="B35" s="76">
        <f t="shared" si="0"/>
        <v>28</v>
      </c>
      <c r="C35" s="72">
        <f>IF(ISBLANK(Case!E97), "", Case!E97)</f>
        <v>285</v>
      </c>
      <c r="D35" s="71">
        <v>6</v>
      </c>
    </row>
    <row r="36" spans="2:4" s="67" customFormat="1" ht="23.25" customHeight="1">
      <c r="B36" s="76">
        <f t="shared" si="0"/>
        <v>29</v>
      </c>
      <c r="C36" s="72">
        <f>IF(ISBLANK(Case!E98), "", Case!E98)</f>
        <v>1730</v>
      </c>
      <c r="D36" s="71">
        <v>6</v>
      </c>
    </row>
    <row r="37" spans="2:4" s="67" customFormat="1" ht="23.25" customHeight="1">
      <c r="B37" s="76">
        <f t="shared" si="0"/>
        <v>30</v>
      </c>
      <c r="C37" s="72">
        <f>IF(ISBLANK(Case!E99), "", Case!E99)</f>
        <v>1850</v>
      </c>
      <c r="D37" s="71">
        <v>6</v>
      </c>
    </row>
    <row r="38" spans="2:4" s="67" customFormat="1" ht="23.25" customHeight="1">
      <c r="B38" s="76">
        <f t="shared" si="0"/>
        <v>31</v>
      </c>
      <c r="C38" s="72">
        <f>IF(ISBLANK(Case!E100), "", Case!E100)</f>
        <v>4680</v>
      </c>
      <c r="D38" s="71">
        <v>6</v>
      </c>
    </row>
    <row r="39" spans="2:4" s="67" customFormat="1" ht="23.25" customHeight="1">
      <c r="B39" s="76">
        <f t="shared" si="0"/>
        <v>32</v>
      </c>
      <c r="C39" s="72">
        <f>IF(ISBLANK(Case!E101), "", Case!E101)</f>
        <v>225</v>
      </c>
      <c r="D39" s="71">
        <v>6</v>
      </c>
    </row>
    <row r="40" spans="2:4" s="67" customFormat="1" ht="23.25" customHeight="1">
      <c r="B40" s="76">
        <f t="shared" si="0"/>
        <v>33</v>
      </c>
      <c r="C40" s="72">
        <f>IF(ISBLANK(Case!E102), "", Case!E102)</f>
        <v>2230</v>
      </c>
      <c r="D40" s="71">
        <v>6</v>
      </c>
    </row>
    <row r="41" spans="2:4" s="67" customFormat="1" ht="23.25" customHeight="1">
      <c r="B41" s="76">
        <f t="shared" si="0"/>
        <v>34</v>
      </c>
      <c r="C41" s="72">
        <f>IF(ISBLANK(Case!E103), "", Case!E103)</f>
        <v>1145</v>
      </c>
      <c r="D41" s="71">
        <v>6</v>
      </c>
    </row>
    <row r="42" spans="2:4" s="67" customFormat="1" ht="23.25" customHeight="1">
      <c r="B42" s="76">
        <f t="shared" si="0"/>
        <v>35</v>
      </c>
      <c r="C42" s="72">
        <f>IF(ISBLANK(Case!E104), "", Case!E104)</f>
        <v>7050</v>
      </c>
      <c r="D42" s="71">
        <v>6</v>
      </c>
    </row>
    <row r="43" spans="2:4" s="67" customFormat="1" ht="23.25" customHeight="1">
      <c r="B43" s="76">
        <f t="shared" si="0"/>
        <v>36</v>
      </c>
      <c r="C43" s="72">
        <f>IF(ISBLANK(Case!E105), "", Case!E105)</f>
        <v>630</v>
      </c>
      <c r="D43" s="71">
        <v>6</v>
      </c>
    </row>
    <row r="44" spans="2:4" s="67" customFormat="1" ht="23.25" customHeight="1">
      <c r="B44" s="76">
        <f t="shared" si="0"/>
        <v>37</v>
      </c>
      <c r="C44" s="72">
        <f>IF(ISBLANK(Case!E106), "", Case!E106)</f>
        <v>1900</v>
      </c>
      <c r="D44" s="71">
        <v>6</v>
      </c>
    </row>
    <row r="45" spans="2:4" s="67" customFormat="1" ht="23.25" customHeight="1">
      <c r="B45" s="76">
        <f t="shared" si="0"/>
        <v>38</v>
      </c>
      <c r="C45" s="72">
        <f>IF(ISBLANK(Case!E107), "", Case!E107)</f>
        <v>590</v>
      </c>
      <c r="D45" s="71">
        <v>6</v>
      </c>
    </row>
    <row r="46" spans="2:4" s="67" customFormat="1" ht="23.25" customHeight="1">
      <c r="B46" s="76">
        <f t="shared" si="0"/>
        <v>39</v>
      </c>
      <c r="C46" s="72">
        <f>IF(ISBLANK(Case!E108), "", Case!E108)</f>
        <v>4260</v>
      </c>
      <c r="D46" s="71">
        <v>6</v>
      </c>
    </row>
    <row r="47" spans="2:4" s="67" customFormat="1" ht="23.25" customHeight="1">
      <c r="B47" s="76">
        <f t="shared" si="0"/>
        <v>40</v>
      </c>
      <c r="C47" s="72">
        <f>IF(ISBLANK(Case!E109), "", Case!E109)</f>
        <v>1400</v>
      </c>
      <c r="D47" s="71">
        <v>6</v>
      </c>
    </row>
    <row r="48" spans="2:4" s="67" customFormat="1" ht="23.25" customHeight="1">
      <c r="B48" s="76">
        <f t="shared" si="0"/>
        <v>41</v>
      </c>
      <c r="C48" s="72">
        <f>IF(ISBLANK(Case!E129), "", Case!E129)</f>
        <v>78</v>
      </c>
      <c r="D48" s="71">
        <v>7</v>
      </c>
    </row>
    <row r="49" spans="2:4" s="67" customFormat="1" ht="23.25" customHeight="1">
      <c r="B49" s="76">
        <f t="shared" si="0"/>
        <v>42</v>
      </c>
      <c r="C49" s="72">
        <f>IF(ISBLANK(Case!E130), "", Case!E130)</f>
        <v>80</v>
      </c>
      <c r="D49" s="71">
        <v>7</v>
      </c>
    </row>
    <row r="50" spans="2:4" s="67" customFormat="1" ht="23.25" customHeight="1">
      <c r="B50" s="76">
        <f t="shared" si="0"/>
        <v>43</v>
      </c>
      <c r="C50" s="72">
        <f>IF(ISBLANK(Case!E131), "", Case!E131)</f>
        <v>77</v>
      </c>
      <c r="D50" s="71">
        <v>7</v>
      </c>
    </row>
    <row r="51" spans="2:4" s="67" customFormat="1" ht="23.25" customHeight="1">
      <c r="B51" s="76">
        <f t="shared" si="0"/>
        <v>44</v>
      </c>
      <c r="C51" s="72">
        <f>IF(ISBLANK(Case!E132), "", Case!E132)</f>
        <v>65</v>
      </c>
      <c r="D51" s="71">
        <v>7</v>
      </c>
    </row>
    <row r="52" spans="2:4" s="67" customFormat="1" ht="23.25" customHeight="1">
      <c r="B52" s="76">
        <f t="shared" si="0"/>
        <v>45</v>
      </c>
      <c r="C52" s="72">
        <f>IF(ISBLANK(Case!E133), "", Case!E133)</f>
        <v>69</v>
      </c>
      <c r="D52" s="71">
        <v>7</v>
      </c>
    </row>
    <row r="53" spans="2:4" s="67" customFormat="1" ht="23.25" customHeight="1">
      <c r="B53" s="76">
        <f t="shared" si="0"/>
        <v>46</v>
      </c>
      <c r="C53" s="72">
        <f>IF(ISBLANK(Case!E134), "", Case!E134)</f>
        <v>61</v>
      </c>
      <c r="D53" s="71">
        <v>7</v>
      </c>
    </row>
    <row r="54" spans="2:4" s="67" customFormat="1" ht="23.25" customHeight="1">
      <c r="B54" s="76">
        <f t="shared" si="0"/>
        <v>47</v>
      </c>
      <c r="C54" s="72">
        <f>IF(ISBLANK(Case!E135), "", Case!E135)</f>
        <v>52</v>
      </c>
      <c r="D54" s="71">
        <v>7</v>
      </c>
    </row>
    <row r="55" spans="2:4" s="67" customFormat="1" ht="23.25" customHeight="1">
      <c r="B55" s="76">
        <f t="shared" si="0"/>
        <v>48</v>
      </c>
      <c r="C55" s="72">
        <f>IF(ISBLANK(Case!E136), "", Case!E136)</f>
        <v>57.999999999999993</v>
      </c>
      <c r="D55" s="71">
        <v>7</v>
      </c>
    </row>
    <row r="56" spans="2:4" s="67" customFormat="1" ht="23.25" customHeight="1">
      <c r="B56" s="76">
        <f t="shared" si="0"/>
        <v>49</v>
      </c>
      <c r="C56" s="72">
        <f>IF(ISBLANK(Case!E137), "", Case!E137)</f>
        <v>54</v>
      </c>
      <c r="D56" s="71">
        <v>7</v>
      </c>
    </row>
    <row r="57" spans="2:4" s="67" customFormat="1" ht="23.25" customHeight="1">
      <c r="B57" s="76">
        <f t="shared" si="0"/>
        <v>50</v>
      </c>
      <c r="C57" s="72">
        <f>IF(ISBLANK(Case!E138), "", Case!E138)</f>
        <v>79</v>
      </c>
      <c r="D57" s="71">
        <v>7</v>
      </c>
    </row>
    <row r="58" spans="2:4" s="67" customFormat="1" ht="23.25" customHeight="1">
      <c r="B58" s="76">
        <f t="shared" si="0"/>
        <v>51</v>
      </c>
      <c r="C58" s="72">
        <f>IF(ISBLANK(Case!E139), "", Case!E139)</f>
        <v>50</v>
      </c>
      <c r="D58" s="71">
        <v>7</v>
      </c>
    </row>
    <row r="59" spans="2:4" s="67" customFormat="1" ht="23.25" customHeight="1">
      <c r="B59" s="76">
        <f t="shared" si="0"/>
        <v>52</v>
      </c>
      <c r="C59" s="72">
        <f>IF(ISBLANK(Case!E140), "", Case!E140)</f>
        <v>69</v>
      </c>
      <c r="D59" s="71">
        <v>7</v>
      </c>
    </row>
    <row r="60" spans="2:4" s="67" customFormat="1" ht="23.25" customHeight="1">
      <c r="B60" s="76">
        <f t="shared" si="0"/>
        <v>53</v>
      </c>
      <c r="C60" s="72">
        <f>IF(ISBLANK(Case!E141), "", Case!E141)</f>
        <v>57.999999999999993</v>
      </c>
      <c r="D60" s="71">
        <v>7</v>
      </c>
    </row>
    <row r="61" spans="2:4" s="67" customFormat="1" ht="23.25" customHeight="1">
      <c r="B61" s="76">
        <f t="shared" si="0"/>
        <v>54</v>
      </c>
      <c r="C61" s="72">
        <f>IF(ISBLANK(Case!E142), "", Case!E142)</f>
        <v>77</v>
      </c>
      <c r="D61" s="71">
        <v>7</v>
      </c>
    </row>
    <row r="62" spans="2:4" s="67" customFormat="1" ht="23.25" customHeight="1">
      <c r="B62" s="76">
        <f t="shared" si="0"/>
        <v>55</v>
      </c>
      <c r="C62" s="72">
        <f>IF(ISBLANK(Case!E143), "", Case!E143)</f>
        <v>63</v>
      </c>
      <c r="D62" s="71">
        <v>7</v>
      </c>
    </row>
    <row r="63" spans="2:4" s="67" customFormat="1" ht="23.25" customHeight="1">
      <c r="B63" s="76">
        <f t="shared" si="0"/>
        <v>56</v>
      </c>
      <c r="C63" s="72">
        <f>IF(ISBLANK(Case!E144), "", Case!E144)</f>
        <v>41</v>
      </c>
      <c r="D63" s="71">
        <v>7</v>
      </c>
    </row>
    <row r="64" spans="2:4" s="67" customFormat="1" ht="23.25" customHeight="1">
      <c r="B64" s="76">
        <f t="shared" si="0"/>
        <v>57</v>
      </c>
      <c r="C64" s="72">
        <f>IF(ISBLANK(Case!E145), "", Case!E145)</f>
        <v>67</v>
      </c>
      <c r="D64" s="71">
        <v>7</v>
      </c>
    </row>
    <row r="65" spans="2:4" s="67" customFormat="1" ht="23.25" customHeight="1">
      <c r="B65" s="76">
        <f t="shared" si="0"/>
        <v>58</v>
      </c>
      <c r="C65" s="72">
        <f>IF(ISBLANK(Case!E146), "", Case!E146)</f>
        <v>75</v>
      </c>
      <c r="D65" s="71">
        <v>7</v>
      </c>
    </row>
    <row r="66" spans="2:4" s="67" customFormat="1" ht="23.25" customHeight="1">
      <c r="B66" s="76">
        <f t="shared" si="0"/>
        <v>59</v>
      </c>
      <c r="C66" s="72">
        <f>IF(ISBLANK(Case!E147), "", Case!E147)</f>
        <v>38</v>
      </c>
      <c r="D66" s="71">
        <v>7</v>
      </c>
    </row>
    <row r="67" spans="2:4" s="67" customFormat="1" ht="23.25" customHeight="1">
      <c r="B67" s="76">
        <f t="shared" si="0"/>
        <v>60</v>
      </c>
      <c r="C67" s="72">
        <f>IF(ISBLANK(Case!E148), "", Case!E148)</f>
        <v>67</v>
      </c>
      <c r="D67" s="71">
        <v>7</v>
      </c>
    </row>
    <row r="68" spans="2:4" s="67" customFormat="1" ht="23.25" customHeight="1">
      <c r="B68" s="76">
        <f t="shared" si="0"/>
        <v>61</v>
      </c>
      <c r="C68" s="72">
        <f>IF(ISBLANK(Case!E169), "", Case!E169)</f>
        <v>2</v>
      </c>
      <c r="D68" s="71">
        <v>7</v>
      </c>
    </row>
    <row r="69" spans="2:4" s="67" customFormat="1" ht="23.25" customHeight="1">
      <c r="B69" s="76">
        <f t="shared" si="0"/>
        <v>62</v>
      </c>
      <c r="C69" s="72">
        <f>IF(ISBLANK(Case!E170), "", Case!E170)</f>
        <v>3</v>
      </c>
      <c r="D69" s="71">
        <v>7</v>
      </c>
    </row>
    <row r="70" spans="2:4" s="67" customFormat="1" ht="23.25" customHeight="1">
      <c r="B70" s="76">
        <f t="shared" si="0"/>
        <v>63</v>
      </c>
      <c r="C70" s="72">
        <f>IF(ISBLANK(Case!E171), "", Case!E171)</f>
        <v>4</v>
      </c>
      <c r="D70" s="71">
        <v>7</v>
      </c>
    </row>
    <row r="71" spans="2:4" s="67" customFormat="1" ht="23.25" customHeight="1">
      <c r="B71" s="76">
        <f t="shared" si="0"/>
        <v>64</v>
      </c>
      <c r="C71" s="72">
        <f>IF(ISBLANK(Case!E172), "", Case!E172)</f>
        <v>4</v>
      </c>
      <c r="D71" s="71">
        <v>7</v>
      </c>
    </row>
    <row r="72" spans="2:4" s="67" customFormat="1" ht="23.25" customHeight="1">
      <c r="B72" s="76">
        <f t="shared" si="0"/>
        <v>65</v>
      </c>
      <c r="C72" s="72">
        <f>IF(ISBLANK(Case!E173), "", Case!E173)</f>
        <v>3</v>
      </c>
      <c r="D72" s="71">
        <v>7</v>
      </c>
    </row>
    <row r="73" spans="2:4" s="67" customFormat="1" ht="23.25" customHeight="1">
      <c r="B73" s="76">
        <f t="shared" ref="B73:B136" si="1">B72+1</f>
        <v>66</v>
      </c>
      <c r="C73" s="72">
        <f>IF(ISBLANK(Case!E174), "", Case!E174)</f>
        <v>4</v>
      </c>
      <c r="D73" s="71">
        <v>7</v>
      </c>
    </row>
    <row r="74" spans="2:4" s="67" customFormat="1" ht="23.25" customHeight="1">
      <c r="B74" s="76">
        <f t="shared" si="1"/>
        <v>67</v>
      </c>
      <c r="C74" s="72">
        <f>IF(ISBLANK(Case!E175), "", Case!E175)</f>
        <v>2</v>
      </c>
      <c r="D74" s="71">
        <v>7</v>
      </c>
    </row>
    <row r="75" spans="2:4" s="67" customFormat="1" ht="23.25" customHeight="1">
      <c r="B75" s="76">
        <f t="shared" si="1"/>
        <v>68</v>
      </c>
      <c r="C75" s="72">
        <f>IF(ISBLANK(Case!E176), "", Case!E176)</f>
        <v>5</v>
      </c>
      <c r="D75" s="71">
        <v>7</v>
      </c>
    </row>
    <row r="76" spans="2:4" s="67" customFormat="1" ht="23.25" customHeight="1">
      <c r="B76" s="76">
        <f t="shared" si="1"/>
        <v>69</v>
      </c>
      <c r="C76" s="72">
        <f>IF(ISBLANK(Case!E177), "", Case!E177)</f>
        <v>4</v>
      </c>
      <c r="D76" s="71">
        <v>7</v>
      </c>
    </row>
    <row r="77" spans="2:4" s="67" customFormat="1" ht="23.25" customHeight="1">
      <c r="B77" s="76">
        <f t="shared" si="1"/>
        <v>70</v>
      </c>
      <c r="C77" s="72">
        <f>IF(ISBLANK(Case!E178), "", Case!E178)</f>
        <v>2</v>
      </c>
      <c r="D77" s="71">
        <v>7</v>
      </c>
    </row>
    <row r="78" spans="2:4" s="67" customFormat="1" ht="23.25" customHeight="1">
      <c r="B78" s="76">
        <f t="shared" si="1"/>
        <v>71</v>
      </c>
      <c r="C78" s="72">
        <f>IF(ISBLANK(Case!E179), "", Case!E179)</f>
        <v>3</v>
      </c>
      <c r="D78" s="71">
        <v>7</v>
      </c>
    </row>
    <row r="79" spans="2:4" s="67" customFormat="1" ht="23.25" customHeight="1">
      <c r="B79" s="76">
        <f t="shared" si="1"/>
        <v>72</v>
      </c>
      <c r="C79" s="72">
        <f>IF(ISBLANK(Case!E180), "", Case!E180)</f>
        <v>4</v>
      </c>
      <c r="D79" s="71">
        <v>7</v>
      </c>
    </row>
    <row r="80" spans="2:4" s="67" customFormat="1" ht="23.25" customHeight="1">
      <c r="B80" s="76">
        <f t="shared" si="1"/>
        <v>73</v>
      </c>
      <c r="C80" s="72">
        <f>IF(ISBLANK(Case!E181), "", Case!E181)</f>
        <v>2</v>
      </c>
      <c r="D80" s="71">
        <v>7</v>
      </c>
    </row>
    <row r="81" spans="2:4" s="67" customFormat="1" ht="23.25" customHeight="1">
      <c r="B81" s="76">
        <f t="shared" si="1"/>
        <v>74</v>
      </c>
      <c r="C81" s="72">
        <f>IF(ISBLANK(Case!E182), "", Case!E182)</f>
        <v>5</v>
      </c>
      <c r="D81" s="71">
        <v>7</v>
      </c>
    </row>
    <row r="82" spans="2:4" s="67" customFormat="1" ht="23.25" customHeight="1">
      <c r="B82" s="76">
        <f t="shared" si="1"/>
        <v>75</v>
      </c>
      <c r="C82" s="72">
        <f>IF(ISBLANK(Case!E183), "", Case!E183)</f>
        <v>2</v>
      </c>
      <c r="D82" s="71">
        <v>7</v>
      </c>
    </row>
    <row r="83" spans="2:4" s="67" customFormat="1" ht="23.25" customHeight="1">
      <c r="B83" s="76">
        <f t="shared" si="1"/>
        <v>76</v>
      </c>
      <c r="C83" s="72">
        <f>IF(ISBLANK(Case!E184), "", Case!E184)</f>
        <v>4</v>
      </c>
      <c r="D83" s="71">
        <v>7</v>
      </c>
    </row>
    <row r="84" spans="2:4" s="67" customFormat="1" ht="23.25" customHeight="1">
      <c r="B84" s="76">
        <f t="shared" si="1"/>
        <v>77</v>
      </c>
      <c r="C84" s="72">
        <f>IF(ISBLANK(Case!E185), "", Case!E185)</f>
        <v>3</v>
      </c>
      <c r="D84" s="71">
        <v>7</v>
      </c>
    </row>
    <row r="85" spans="2:4" s="67" customFormat="1" ht="23.25" customHeight="1">
      <c r="B85" s="76">
        <f t="shared" si="1"/>
        <v>78</v>
      </c>
      <c r="C85" s="72">
        <f>IF(ISBLANK(Case!E186), "", Case!E186)</f>
        <v>3</v>
      </c>
      <c r="D85" s="71">
        <v>7</v>
      </c>
    </row>
    <row r="86" spans="2:4" s="67" customFormat="1" ht="23.25" customHeight="1">
      <c r="B86" s="76">
        <f t="shared" si="1"/>
        <v>79</v>
      </c>
      <c r="C86" s="72">
        <f>IF(ISBLANK(Case!E187), "", Case!E187)</f>
        <v>5</v>
      </c>
      <c r="D86" s="71">
        <v>7</v>
      </c>
    </row>
    <row r="87" spans="2:4" s="67" customFormat="1" ht="23.25" customHeight="1">
      <c r="B87" s="76">
        <f t="shared" si="1"/>
        <v>80</v>
      </c>
      <c r="C87" s="72">
        <f>IF(ISBLANK(Case!E188), "", Case!E188)</f>
        <v>4</v>
      </c>
      <c r="D87" s="71">
        <v>7</v>
      </c>
    </row>
    <row r="88" spans="2:4" s="67" customFormat="1" ht="23.25" customHeight="1">
      <c r="B88" s="76">
        <f t="shared" si="1"/>
        <v>81</v>
      </c>
      <c r="C88" s="72">
        <f>IF(ISBLANK(Case!E216), "", Case!E216)</f>
        <v>711</v>
      </c>
      <c r="D88" s="71">
        <v>8</v>
      </c>
    </row>
    <row r="89" spans="2:4" s="67" customFormat="1" ht="23.25" customHeight="1">
      <c r="B89" s="76">
        <f t="shared" si="1"/>
        <v>82</v>
      </c>
      <c r="C89" s="72">
        <f>IF(ISBLANK(Case!E217), "", Case!E217)</f>
        <v>669</v>
      </c>
      <c r="D89" s="71">
        <v>8</v>
      </c>
    </row>
    <row r="90" spans="2:4" s="67" customFormat="1" ht="23.25" customHeight="1">
      <c r="B90" s="76">
        <f t="shared" si="1"/>
        <v>83</v>
      </c>
      <c r="C90" s="72">
        <f>IF(ISBLANK(Case!E218), "", Case!E218)</f>
        <v>768</v>
      </c>
      <c r="D90" s="71">
        <v>8</v>
      </c>
    </row>
    <row r="91" spans="2:4" s="67" customFormat="1" ht="23.25" customHeight="1">
      <c r="B91" s="76">
        <f t="shared" si="1"/>
        <v>84</v>
      </c>
      <c r="C91" s="72">
        <f>IF(ISBLANK(Case!E219), "", Case!E219)</f>
        <v>787</v>
      </c>
      <c r="D91" s="71">
        <v>8</v>
      </c>
    </row>
    <row r="92" spans="2:4" s="67" customFormat="1" ht="23.25" customHeight="1">
      <c r="B92" s="76">
        <f t="shared" si="1"/>
        <v>85</v>
      </c>
      <c r="C92" s="72">
        <f>IF(ISBLANK(Case!E220), "", Case!E220)</f>
        <v>614</v>
      </c>
      <c r="D92" s="71">
        <v>8</v>
      </c>
    </row>
    <row r="93" spans="2:4" s="67" customFormat="1" ht="23.25" customHeight="1">
      <c r="B93" s="76">
        <f t="shared" si="1"/>
        <v>86</v>
      </c>
      <c r="C93" s="72">
        <f>IF(ISBLANK(Case!E221), "", Case!E221)</f>
        <v>696</v>
      </c>
      <c r="D93" s="71">
        <v>8</v>
      </c>
    </row>
    <row r="94" spans="2:4" s="67" customFormat="1" ht="23.25" customHeight="1">
      <c r="B94" s="76">
        <f t="shared" si="1"/>
        <v>87</v>
      </c>
      <c r="C94" s="72">
        <f>IF(ISBLANK(Case!E222), "", Case!E222)</f>
        <v>807</v>
      </c>
      <c r="D94" s="71">
        <v>8</v>
      </c>
    </row>
    <row r="95" spans="2:4" s="67" customFormat="1" ht="23.25" customHeight="1">
      <c r="B95" s="76">
        <f t="shared" si="1"/>
        <v>88</v>
      </c>
      <c r="C95" s="72">
        <f>IF(ISBLANK(Case!E223), "", Case!E223)</f>
        <v>654</v>
      </c>
      <c r="D95" s="71">
        <v>8</v>
      </c>
    </row>
    <row r="96" spans="2:4" s="67" customFormat="1" ht="23.25" customHeight="1">
      <c r="B96" s="76">
        <f t="shared" si="1"/>
        <v>89</v>
      </c>
      <c r="C96" s="72">
        <f>IF(ISBLANK(Case!E224), "", Case!E224)</f>
        <v>736</v>
      </c>
      <c r="D96" s="71">
        <v>8</v>
      </c>
    </row>
    <row r="97" spans="2:4" s="67" customFormat="1" ht="23.25" customHeight="1">
      <c r="B97" s="76">
        <f t="shared" si="1"/>
        <v>90</v>
      </c>
      <c r="C97" s="72">
        <f>IF(ISBLANK(Case!E225), "", Case!E225)</f>
        <v>586</v>
      </c>
      <c r="D97" s="71">
        <v>8</v>
      </c>
    </row>
    <row r="98" spans="2:4" s="67" customFormat="1" ht="23.25" customHeight="1">
      <c r="B98" s="76">
        <f t="shared" si="1"/>
        <v>91</v>
      </c>
      <c r="C98" s="72">
        <f>IF(ISBLANK(Case!E226), "", Case!E226)</f>
        <v>763</v>
      </c>
      <c r="D98" s="71">
        <v>8</v>
      </c>
    </row>
    <row r="99" spans="2:4" s="67" customFormat="1" ht="23.25" customHeight="1">
      <c r="B99" s="76">
        <f t="shared" si="1"/>
        <v>92</v>
      </c>
      <c r="C99" s="72">
        <f>IF(ISBLANK(Case!E227), "", Case!E227)</f>
        <v>682</v>
      </c>
      <c r="D99" s="71">
        <v>8</v>
      </c>
    </row>
    <row r="100" spans="2:4" s="67" customFormat="1" ht="23.25" customHeight="1">
      <c r="B100" s="76">
        <f t="shared" si="1"/>
        <v>93</v>
      </c>
      <c r="C100" s="72">
        <f>IF(ISBLANK(Case!E228), "", Case!E228)</f>
        <v>782</v>
      </c>
      <c r="D100" s="71">
        <v>8</v>
      </c>
    </row>
    <row r="101" spans="2:4" s="67" customFormat="1" ht="23.25" customHeight="1">
      <c r="B101" s="76">
        <f t="shared" si="1"/>
        <v>94</v>
      </c>
      <c r="C101" s="72">
        <f>IF(ISBLANK(Case!E229), "", Case!E229)</f>
        <v>642</v>
      </c>
      <c r="D101" s="71">
        <v>8</v>
      </c>
    </row>
    <row r="102" spans="2:4" s="67" customFormat="1" ht="23.25" customHeight="1">
      <c r="B102" s="76">
        <f t="shared" si="1"/>
        <v>95</v>
      </c>
      <c r="C102" s="72">
        <f>IF(ISBLANK(Case!E230), "", Case!E230)</f>
        <v>715</v>
      </c>
      <c r="D102" s="71">
        <v>8</v>
      </c>
    </row>
    <row r="103" spans="2:4" s="67" customFormat="1" ht="23.25" customHeight="1">
      <c r="B103" s="76">
        <f t="shared" si="1"/>
        <v>96</v>
      </c>
      <c r="C103" s="72">
        <f>IF(ISBLANK(Case!E231), "", Case!E231)</f>
        <v>751</v>
      </c>
      <c r="D103" s="71">
        <v>8</v>
      </c>
    </row>
    <row r="104" spans="2:4" s="67" customFormat="1" ht="23.25" customHeight="1">
      <c r="B104" s="76">
        <f t="shared" si="1"/>
        <v>97</v>
      </c>
      <c r="C104" s="72">
        <f>IF(ISBLANK(Case!E232), "", Case!E232)</f>
        <v>627</v>
      </c>
      <c r="D104" s="71">
        <v>8</v>
      </c>
    </row>
    <row r="105" spans="2:4" s="67" customFormat="1" ht="23.25" customHeight="1">
      <c r="B105" s="76">
        <f t="shared" si="1"/>
        <v>98</v>
      </c>
      <c r="C105" s="72">
        <f>IF(ISBLANK(Case!E233), "", Case!E233)</f>
        <v>801</v>
      </c>
      <c r="D105" s="71">
        <v>8</v>
      </c>
    </row>
    <row r="106" spans="2:4" s="67" customFormat="1" ht="23.25" customHeight="1">
      <c r="B106" s="76">
        <f t="shared" si="1"/>
        <v>99</v>
      </c>
      <c r="C106" s="72">
        <f>IF(ISBLANK(Case!E234), "", Case!E234)</f>
        <v>704</v>
      </c>
      <c r="D106" s="71">
        <v>8</v>
      </c>
    </row>
    <row r="107" spans="2:4" s="67" customFormat="1" ht="23.25" customHeight="1">
      <c r="B107" s="76">
        <f t="shared" si="1"/>
        <v>100</v>
      </c>
      <c r="C107" s="72">
        <f>IF(ISBLANK(Case!E235), "", Case!E235)</f>
        <v>743</v>
      </c>
      <c r="D107" s="71">
        <v>8</v>
      </c>
    </row>
    <row r="108" spans="2:4" s="67" customFormat="1" ht="23.25" customHeight="1">
      <c r="B108" s="76">
        <f t="shared" si="1"/>
        <v>101</v>
      </c>
      <c r="C108" s="72">
        <f>IF(ISBLANK(Case!E261), "", Case!E261)</f>
        <v>737</v>
      </c>
      <c r="D108" s="71">
        <v>8</v>
      </c>
    </row>
    <row r="109" spans="2:4" s="67" customFormat="1" ht="23.25" customHeight="1">
      <c r="B109" s="76">
        <f t="shared" si="1"/>
        <v>102</v>
      </c>
      <c r="C109" s="72">
        <f>IF(ISBLANK(Case!E262), "", Case!E262)</f>
        <v>739</v>
      </c>
      <c r="D109" s="71">
        <v>8</v>
      </c>
    </row>
    <row r="110" spans="2:4" s="67" customFormat="1" ht="23.25" customHeight="1">
      <c r="B110" s="76">
        <f t="shared" si="1"/>
        <v>103</v>
      </c>
      <c r="C110" s="72">
        <f>IF(ISBLANK(Case!E263), "", Case!E263)</f>
        <v>758</v>
      </c>
      <c r="D110" s="71">
        <v>8</v>
      </c>
    </row>
    <row r="111" spans="2:4" s="67" customFormat="1" ht="23.25" customHeight="1">
      <c r="B111" s="76">
        <f t="shared" si="1"/>
        <v>104</v>
      </c>
      <c r="C111" s="72">
        <f>IF(ISBLANK(Case!E264), "", Case!E264)</f>
        <v>779</v>
      </c>
      <c r="D111" s="71">
        <v>8</v>
      </c>
    </row>
    <row r="112" spans="2:4" s="67" customFormat="1" ht="23.25" customHeight="1">
      <c r="B112" s="76">
        <f t="shared" si="1"/>
        <v>105</v>
      </c>
      <c r="C112" s="72">
        <f>IF(ISBLANK(Case!E265), "", Case!E265)</f>
        <v>698</v>
      </c>
      <c r="D112" s="71">
        <v>8</v>
      </c>
    </row>
    <row r="113" spans="2:4" s="67" customFormat="1" ht="23.25" customHeight="1">
      <c r="B113" s="76">
        <f t="shared" si="1"/>
        <v>106</v>
      </c>
      <c r="C113" s="72">
        <f>IF(ISBLANK(Case!E266), "", Case!E266)</f>
        <v>717</v>
      </c>
      <c r="D113" s="71">
        <v>8</v>
      </c>
    </row>
    <row r="114" spans="2:4" s="67" customFormat="1" ht="23.25" customHeight="1">
      <c r="B114" s="76">
        <f t="shared" si="1"/>
        <v>107</v>
      </c>
      <c r="C114" s="72">
        <f>IF(ISBLANK(Case!E267), "", Case!E267)</f>
        <v>797</v>
      </c>
      <c r="D114" s="71">
        <v>8</v>
      </c>
    </row>
    <row r="115" spans="2:4" s="67" customFormat="1" ht="23.25" customHeight="1">
      <c r="B115" s="76">
        <f t="shared" si="1"/>
        <v>108</v>
      </c>
      <c r="C115" s="72">
        <f>IF(ISBLANK(Case!E268), "", Case!E268)</f>
        <v>679</v>
      </c>
      <c r="D115" s="71">
        <v>8</v>
      </c>
    </row>
    <row r="116" spans="2:4" s="67" customFormat="1" ht="23.25" customHeight="1">
      <c r="B116" s="76">
        <f t="shared" si="1"/>
        <v>109</v>
      </c>
      <c r="C116" s="72">
        <f>IF(ISBLANK(Case!E269), "", Case!E269)</f>
        <v>747</v>
      </c>
      <c r="D116" s="71">
        <v>8</v>
      </c>
    </row>
    <row r="117" spans="2:4" s="67" customFormat="1" ht="23.25" customHeight="1">
      <c r="B117" s="76">
        <f t="shared" si="1"/>
        <v>110</v>
      </c>
      <c r="C117" s="72">
        <f>IF(ISBLANK(Case!E270), "", Case!E270)</f>
        <v>659</v>
      </c>
      <c r="D117" s="71">
        <v>8</v>
      </c>
    </row>
    <row r="118" spans="2:4" s="67" customFormat="1" ht="23.25" customHeight="1">
      <c r="B118" s="76">
        <f t="shared" si="1"/>
        <v>111</v>
      </c>
      <c r="C118" s="72">
        <f>IF(ISBLANK(Case!E271), "", Case!E271)</f>
        <v>808</v>
      </c>
      <c r="D118" s="71">
        <v>8</v>
      </c>
    </row>
    <row r="119" spans="2:4" s="67" customFormat="1" ht="23.25" customHeight="1">
      <c r="B119" s="76">
        <f t="shared" si="1"/>
        <v>112</v>
      </c>
      <c r="C119" s="72">
        <f>IF(ISBLANK(Case!E272), "", Case!E272)</f>
        <v>729</v>
      </c>
      <c r="D119" s="71">
        <v>8</v>
      </c>
    </row>
    <row r="120" spans="2:4" s="67" customFormat="1" ht="23.25" customHeight="1">
      <c r="B120" s="76">
        <f t="shared" si="1"/>
        <v>113</v>
      </c>
      <c r="C120" s="72">
        <f>IF(ISBLANK(Case!E273), "", Case!E273)</f>
        <v>768</v>
      </c>
      <c r="D120" s="71">
        <v>8</v>
      </c>
    </row>
    <row r="121" spans="2:4" s="67" customFormat="1" ht="23.25" customHeight="1">
      <c r="B121" s="76">
        <f t="shared" si="1"/>
        <v>114</v>
      </c>
      <c r="C121" s="72">
        <f>IF(ISBLANK(Case!E274), "", Case!E274)</f>
        <v>637</v>
      </c>
      <c r="D121" s="71">
        <v>8</v>
      </c>
    </row>
    <row r="122" spans="2:4" s="67" customFormat="1" ht="23.25" customHeight="1">
      <c r="B122" s="76">
        <f t="shared" si="1"/>
        <v>115</v>
      </c>
      <c r="C122" s="72">
        <f>IF(ISBLANK(Case!E275), "", Case!E275)</f>
        <v>787</v>
      </c>
      <c r="D122" s="71">
        <v>8</v>
      </c>
    </row>
    <row r="123" spans="2:4" s="67" customFormat="1" ht="23.25" customHeight="1">
      <c r="B123" s="76">
        <f t="shared" si="1"/>
        <v>116</v>
      </c>
      <c r="C123" s="72">
        <f>IF(ISBLANK(Case!E276), "", Case!E276)</f>
        <v>707</v>
      </c>
      <c r="D123" s="71">
        <v>8</v>
      </c>
    </row>
    <row r="124" spans="2:4" s="67" customFormat="1" ht="23.25" customHeight="1">
      <c r="B124" s="76">
        <f t="shared" si="1"/>
        <v>117</v>
      </c>
      <c r="C124" s="72">
        <f>IF(ISBLANK(Case!E277), "", Case!E277)</f>
        <v>757</v>
      </c>
      <c r="D124" s="71">
        <v>8</v>
      </c>
    </row>
    <row r="125" spans="2:4" s="67" customFormat="1" ht="23.25" customHeight="1">
      <c r="B125" s="76">
        <f t="shared" si="1"/>
        <v>118</v>
      </c>
      <c r="C125" s="72">
        <f>IF(ISBLANK(Case!E278), "", Case!E278)</f>
        <v>617</v>
      </c>
      <c r="D125" s="71">
        <v>8</v>
      </c>
    </row>
    <row r="126" spans="2:4" s="67" customFormat="1" ht="23.25" customHeight="1">
      <c r="B126" s="76">
        <f t="shared" si="1"/>
        <v>119</v>
      </c>
      <c r="C126" s="72">
        <f>IF(ISBLANK(Case!E279), "", Case!E279)</f>
        <v>818</v>
      </c>
      <c r="D126" s="71">
        <v>8</v>
      </c>
    </row>
    <row r="127" spans="2:4" s="67" customFormat="1" ht="23.25" customHeight="1">
      <c r="B127" s="76">
        <f t="shared" si="1"/>
        <v>120</v>
      </c>
      <c r="C127" s="72">
        <f>IF(ISBLANK(Case!E280), "", Case!E280)</f>
        <v>739</v>
      </c>
      <c r="D127" s="71">
        <v>8</v>
      </c>
    </row>
    <row r="128" spans="2:4" s="67" customFormat="1" ht="23.25" customHeight="1">
      <c r="B128" s="76">
        <f t="shared" si="1"/>
        <v>121</v>
      </c>
      <c r="C128" s="72">
        <f>IF(ISBLANK(Case!E306), "", Case!E306)</f>
        <v>19960</v>
      </c>
      <c r="D128" s="71">
        <v>10</v>
      </c>
    </row>
    <row r="129" spans="2:4" ht="23.25" customHeight="1">
      <c r="B129" s="76">
        <f t="shared" si="1"/>
        <v>122</v>
      </c>
      <c r="C129" s="72">
        <f>IF(ISBLANK(Case!E307), "", Case!E307)</f>
        <v>16099</v>
      </c>
      <c r="D129" s="71">
        <v>10</v>
      </c>
    </row>
    <row r="130" spans="2:4" ht="23.25" customHeight="1">
      <c r="B130" s="76">
        <f t="shared" si="1"/>
        <v>123</v>
      </c>
      <c r="C130" s="72">
        <f>IF(ISBLANK(Case!E308), "", Case!E308)</f>
        <v>26178</v>
      </c>
      <c r="D130" s="71">
        <v>10</v>
      </c>
    </row>
    <row r="131" spans="2:4" ht="23.25" customHeight="1">
      <c r="B131" s="76">
        <f t="shared" si="1"/>
        <v>124</v>
      </c>
      <c r="C131" s="72">
        <f>IF(ISBLANK(Case!E309), "", Case!E309)</f>
        <v>32189</v>
      </c>
      <c r="D131" s="71">
        <v>10</v>
      </c>
    </row>
    <row r="132" spans="2:4" ht="23.25" customHeight="1">
      <c r="B132" s="76">
        <f t="shared" si="1"/>
        <v>125</v>
      </c>
      <c r="C132" s="72">
        <f>IF(ISBLANK(Case!E310), "", Case!E310)</f>
        <v>12892</v>
      </c>
      <c r="D132" s="71">
        <v>10</v>
      </c>
    </row>
    <row r="133" spans="2:4" ht="23.25" customHeight="1">
      <c r="B133" s="76">
        <f t="shared" si="1"/>
        <v>126</v>
      </c>
      <c r="C133" s="72">
        <f>IF(ISBLANK(Case!E311), "", Case!E311)</f>
        <v>21676</v>
      </c>
      <c r="D133" s="71">
        <v>10</v>
      </c>
    </row>
    <row r="134" spans="2:4" ht="23.25" customHeight="1">
      <c r="B134" s="76">
        <f t="shared" si="1"/>
        <v>127</v>
      </c>
      <c r="C134" s="72">
        <f>IF(ISBLANK(Case!E312), "", Case!E312)</f>
        <v>28104</v>
      </c>
      <c r="D134" s="71">
        <v>10</v>
      </c>
    </row>
    <row r="135" spans="2:4" ht="23.25" customHeight="1">
      <c r="B135" s="76">
        <f t="shared" si="1"/>
        <v>128</v>
      </c>
      <c r="C135" s="72">
        <f>IF(ISBLANK(Case!E313), "", Case!E313)</f>
        <v>17479</v>
      </c>
      <c r="D135" s="71">
        <v>10</v>
      </c>
    </row>
    <row r="136" spans="2:4" ht="23.25" customHeight="1">
      <c r="B136" s="76">
        <f t="shared" si="1"/>
        <v>129</v>
      </c>
      <c r="C136" s="72">
        <f>IF(ISBLANK(Case!E314), "", Case!E314)</f>
        <v>23703</v>
      </c>
      <c r="D136" s="71">
        <v>10</v>
      </c>
    </row>
    <row r="137" spans="2:4" ht="23.25" customHeight="1">
      <c r="B137" s="76">
        <f t="shared" ref="B137:B147" si="2">B136+1</f>
        <v>130</v>
      </c>
      <c r="C137" s="72">
        <f>IF(ISBLANK(Case!E315), "", Case!E315)</f>
        <v>34871</v>
      </c>
      <c r="D137" s="71">
        <v>10</v>
      </c>
    </row>
    <row r="138" spans="2:4" ht="23.25" customHeight="1">
      <c r="B138" s="76">
        <f t="shared" si="2"/>
        <v>131</v>
      </c>
      <c r="C138" s="72">
        <f>IF(ISBLANK(Case!E316), "", Case!E316)</f>
        <v>13752</v>
      </c>
      <c r="D138" s="71">
        <v>10</v>
      </c>
    </row>
    <row r="139" spans="2:4" ht="23.25" customHeight="1">
      <c r="B139" s="76">
        <f t="shared" si="2"/>
        <v>132</v>
      </c>
      <c r="C139" s="72">
        <f>IF(ISBLANK(Case!E317), "", Case!E317)</f>
        <v>20231</v>
      </c>
      <c r="D139" s="71">
        <v>10</v>
      </c>
    </row>
    <row r="140" spans="2:4" ht="23.25" customHeight="1">
      <c r="B140" s="76">
        <f t="shared" si="2"/>
        <v>133</v>
      </c>
      <c r="C140" s="72">
        <f>IF(ISBLANK(Case!E318), "", Case!E318)</f>
        <v>30366</v>
      </c>
      <c r="D140" s="71">
        <v>10</v>
      </c>
    </row>
    <row r="141" spans="2:4" ht="23.25" customHeight="1">
      <c r="B141" s="76">
        <f t="shared" si="2"/>
        <v>134</v>
      </c>
      <c r="C141" s="72">
        <f>IF(ISBLANK(Case!E319), "", Case!E319)</f>
        <v>16559</v>
      </c>
      <c r="D141" s="71">
        <v>10</v>
      </c>
    </row>
    <row r="142" spans="2:4" ht="23.25" customHeight="1">
      <c r="B142" s="76">
        <f t="shared" si="2"/>
        <v>135</v>
      </c>
      <c r="C142" s="72">
        <f>IF(ISBLANK(Case!E320), "", Case!E320)</f>
        <v>25549</v>
      </c>
      <c r="D142" s="71">
        <v>10</v>
      </c>
    </row>
    <row r="143" spans="2:4" ht="23.25" customHeight="1">
      <c r="B143" s="76">
        <f t="shared" si="2"/>
        <v>136</v>
      </c>
      <c r="C143" s="72">
        <f>IF(ISBLANK(Case!E321), "", Case!E321)</f>
        <v>21457</v>
      </c>
      <c r="D143" s="71">
        <v>10</v>
      </c>
    </row>
    <row r="144" spans="2:4" ht="23.25" customHeight="1">
      <c r="B144" s="76">
        <f t="shared" si="2"/>
        <v>137</v>
      </c>
      <c r="C144" s="72">
        <f>IF(ISBLANK(Case!E322), "", Case!E322)</f>
        <v>37554</v>
      </c>
      <c r="D144" s="71">
        <v>10</v>
      </c>
    </row>
    <row r="145" spans="2:12" ht="23.25" customHeight="1">
      <c r="B145" s="76">
        <f t="shared" si="2"/>
        <v>138</v>
      </c>
      <c r="C145" s="72">
        <f>IF(ISBLANK(Case!E323), "", Case!E323)</f>
        <v>12462</v>
      </c>
      <c r="D145" s="71">
        <v>10</v>
      </c>
    </row>
    <row r="146" spans="2:12" ht="23.25" customHeight="1">
      <c r="B146" s="76">
        <f t="shared" si="2"/>
        <v>139</v>
      </c>
      <c r="C146" s="72">
        <f>IF(ISBLANK(Case!E324), "", Case!E324)</f>
        <v>27225</v>
      </c>
      <c r="D146" s="71">
        <v>10</v>
      </c>
    </row>
    <row r="147" spans="2:12" ht="23.25" customHeight="1">
      <c r="B147" s="76">
        <f t="shared" si="2"/>
        <v>140</v>
      </c>
      <c r="C147" s="72">
        <f>IF(ISBLANK(Case!E325), "", Case!E325)</f>
        <v>22158</v>
      </c>
      <c r="D147" s="71">
        <v>10</v>
      </c>
    </row>
    <row r="148" spans="2:12" ht="23.25" customHeight="1">
      <c r="D148" s="67">
        <f>SUM(D3:D147)</f>
        <v>1250</v>
      </c>
      <c r="J148" s="67">
        <f>D148*0.78</f>
        <v>975</v>
      </c>
    </row>
    <row r="149" spans="2:12" ht="23.25" customHeight="1">
      <c r="L149" s="67">
        <f>J148+270</f>
        <v>1245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Case</vt:lpstr>
      <vt:lpstr>Graded Answers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FMWC</dc:creator>
  <cp:keywords/>
  <dc:description/>
  <cp:lastModifiedBy>Maciej Kopczyński</cp:lastModifiedBy>
  <cp:revision/>
  <dcterms:created xsi:type="dcterms:W3CDTF">2021-08-11T13:47:05Z</dcterms:created>
  <dcterms:modified xsi:type="dcterms:W3CDTF">2026-03-25T17:37:08Z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{50F4E8AB-4640-4F5D-BA39-192C65DEFCB0}</vt:lpwstr>
  </property>
  <property fmtid="{D5CDD505-2E9C-101B-9397-08002B2CF9AE}" pid="3" name="MSIP_Label_38f1469a-2c2a-4aee-b92b-090d4c5468ff_Enabled">
    <vt:lpwstr>true</vt:lpwstr>
  </property>
  <property fmtid="{D5CDD505-2E9C-101B-9397-08002B2CF9AE}" pid="4" name="MSIP_Label_38f1469a-2c2a-4aee-b92b-090d4c5468ff_SetDate">
    <vt:lpwstr>2023-11-06T13:47:34Z</vt:lpwstr>
  </property>
  <property fmtid="{D5CDD505-2E9C-101B-9397-08002B2CF9AE}" pid="5" name="MSIP_Label_38f1469a-2c2a-4aee-b92b-090d4c5468ff_Method">
    <vt:lpwstr>Standard</vt:lpwstr>
  </property>
  <property fmtid="{D5CDD505-2E9C-101B-9397-08002B2CF9AE}" pid="6" name="MSIP_Label_38f1469a-2c2a-4aee-b92b-090d4c5468ff_Name">
    <vt:lpwstr>Confidential - Unmarked</vt:lpwstr>
  </property>
  <property fmtid="{D5CDD505-2E9C-101B-9397-08002B2CF9AE}" pid="7" name="MSIP_Label_38f1469a-2c2a-4aee-b92b-090d4c5468ff_SiteId">
    <vt:lpwstr>2a6e6092-73e4-4752-b1a5-477a17f5056d</vt:lpwstr>
  </property>
  <property fmtid="{D5CDD505-2E9C-101B-9397-08002B2CF9AE}" pid="8" name="MSIP_Label_38f1469a-2c2a-4aee-b92b-090d4c5468ff_ActionId">
    <vt:lpwstr>55bcb695-1c55-4ea3-805d-04828c086c26</vt:lpwstr>
  </property>
  <property fmtid="{D5CDD505-2E9C-101B-9397-08002B2CF9AE}" pid="9" name="MSIP_Label_38f1469a-2c2a-4aee-b92b-090d4c5468ff_ContentBits">
    <vt:lpwstr>0</vt:lpwstr>
  </property>
</Properties>
</file>